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sar Iglesias - Sin 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52514E"/>
      <sz val="10"/>
    </font>
    <font>
      <i val="1"/>
      <color rgb="0052514E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Devolución Sin Inventario + Eliminados de Pedidos (RD$)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'Cesar Iglesias - Sin Inventario'!C1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'Cesar Iglesias - Sin Inventario'!$A$2:$A$10</f>
            </numRef>
          </cat>
          <val>
            <numRef>
              <f>'Cesar Iglesias - Sin Inventario'!$C$2:$C$10</f>
            </numRef>
          </val>
        </ser>
        <ser>
          <idx val="1"/>
          <order val="1"/>
          <tx>
            <strRef>
              <f>'Cesar Iglesias - Sin Inventario'!D1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'Cesar Iglesias - Sin Inventario'!$A$2:$A$10</f>
            </numRef>
          </cat>
          <val>
            <numRef>
              <f>'Cesar Iglesias - Sin Inventario'!$D$2:$D$10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RD$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Impacto vs. Venta Facturada</a:t>
            </a:r>
          </a:p>
        </rich>
      </tx>
    </title>
    <plotArea>
      <lineChart>
        <grouping val="standard"/>
        <ser>
          <idx val="0"/>
          <order val="0"/>
          <tx>
            <strRef>
              <f>'Cesar Iglesias - Sin Inventario'!F1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'Cesar Iglesias - Sin Inventario'!$A$2:$A$10</f>
            </numRef>
          </cat>
          <val>
            <numRef>
              <f>'Cesar Iglesias - Sin Inventario'!$F$2:$F$10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31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33" customWidth="1" min="3" max="3"/>
    <col width="28" customWidth="1" min="4" max="4"/>
    <col width="21" customWidth="1" min="5" max="5"/>
    <col width="15" customWidth="1" min="6" max="6"/>
    <col width="33" customWidth="1" min="7" max="7"/>
    <col width="19" customWidth="1" min="8" max="8"/>
  </cols>
  <sheetData>
    <row r="1" ht="32" customHeight="1">
      <c r="A1" s="1" t="inlineStr">
        <is>
          <t>Mes</t>
        </is>
      </c>
      <c r="B1" s="1" t="inlineStr">
        <is>
          <t>Venta Facturada RD$</t>
        </is>
      </c>
      <c r="C1" s="1" t="inlineStr">
        <is>
          <t>Devolucion Sin Inventario RD$</t>
        </is>
      </c>
      <c r="D1" s="1" t="inlineStr">
        <is>
          <t>Eliminado de Pedidos RD$</t>
        </is>
      </c>
      <c r="E1" s="1" t="inlineStr">
        <is>
          <t>Impacto Total RD$</t>
        </is>
      </c>
      <c r="F1" s="1" t="inlineStr">
        <is>
          <t>% vs Venta</t>
        </is>
      </c>
      <c r="G1" s="1" t="inlineStr">
        <is>
          <t>Prevendido (Pedido Bruto) RD$</t>
        </is>
      </c>
      <c r="H1" s="1" t="inlineStr">
        <is>
          <t>% vs Prevendido</t>
        </is>
      </c>
    </row>
    <row r="2">
      <c r="A2" t="inlineStr">
        <is>
          <t>Enero</t>
        </is>
      </c>
      <c r="B2" s="2" t="n">
        <v>9158963.76</v>
      </c>
      <c r="C2" s="2" t="n">
        <v>338821.14</v>
      </c>
      <c r="D2" s="2" t="n">
        <v>0</v>
      </c>
      <c r="E2" s="2" t="n">
        <v>338821.14</v>
      </c>
      <c r="F2" s="3" t="n">
        <v>3.7</v>
      </c>
      <c r="G2" s="2" t="inlineStr"/>
      <c r="H2" s="3" t="inlineStr"/>
    </row>
    <row r="3">
      <c r="A3" t="inlineStr">
        <is>
          <t>Febrero</t>
        </is>
      </c>
      <c r="B3" s="2" t="n">
        <v>5680364.2</v>
      </c>
      <c r="C3" s="2" t="n">
        <v>192766.96</v>
      </c>
      <c r="D3" s="2" t="n">
        <v>0</v>
      </c>
      <c r="E3" s="2" t="n">
        <v>192766.96</v>
      </c>
      <c r="F3" s="3" t="n">
        <v>3.39</v>
      </c>
      <c r="G3" s="2" t="inlineStr"/>
      <c r="H3" s="3" t="inlineStr"/>
    </row>
    <row r="4">
      <c r="A4" t="inlineStr">
        <is>
          <t>Marzo</t>
        </is>
      </c>
      <c r="B4" s="2" t="n">
        <v>7628114.56</v>
      </c>
      <c r="C4" s="2" t="n">
        <v>135416.33</v>
      </c>
      <c r="D4" s="2" t="n">
        <v>0</v>
      </c>
      <c r="E4" s="2" t="n">
        <v>135416.33</v>
      </c>
      <c r="F4" s="3" t="n">
        <v>1.78</v>
      </c>
      <c r="G4" s="2" t="inlineStr"/>
      <c r="H4" s="3" t="inlineStr"/>
    </row>
    <row r="5">
      <c r="A5" t="inlineStr">
        <is>
          <t>Abril</t>
        </is>
      </c>
      <c r="B5" s="2" t="n">
        <v>7159688.28</v>
      </c>
      <c r="C5" s="2" t="n">
        <v>113190.31</v>
      </c>
      <c r="D5" s="2" t="n">
        <v>0</v>
      </c>
      <c r="E5" s="2" t="n">
        <v>113190.31</v>
      </c>
      <c r="F5" s="3" t="n">
        <v>1.58</v>
      </c>
      <c r="G5" s="2" t="n">
        <v>6646454.39</v>
      </c>
      <c r="H5" s="3" t="n">
        <v>1.7</v>
      </c>
    </row>
    <row r="6">
      <c r="A6" t="inlineStr">
        <is>
          <t>Mayo</t>
        </is>
      </c>
      <c r="B6" s="2" t="n">
        <v>7731871.57</v>
      </c>
      <c r="C6" s="2" t="n">
        <v>535418.36</v>
      </c>
      <c r="D6" s="2" t="n">
        <v>0</v>
      </c>
      <c r="E6" s="2" t="n">
        <v>535418.36</v>
      </c>
      <c r="F6" s="3" t="n">
        <v>6.92</v>
      </c>
      <c r="G6" s="2" t="n">
        <v>9078424.699999999</v>
      </c>
      <c r="H6" s="3" t="n">
        <v>5.9</v>
      </c>
    </row>
    <row r="7">
      <c r="A7" t="inlineStr">
        <is>
          <t>Junio</t>
        </is>
      </c>
      <c r="B7" s="2" t="n">
        <v>7752816.04</v>
      </c>
      <c r="C7" s="2" t="n">
        <v>174049.57</v>
      </c>
      <c r="D7" s="2" t="n">
        <v>0</v>
      </c>
      <c r="E7" s="2" t="n">
        <v>174049.57</v>
      </c>
      <c r="F7" s="3" t="n">
        <v>2.24</v>
      </c>
      <c r="G7" s="2" t="n">
        <v>10586559</v>
      </c>
      <c r="H7" s="3" t="n">
        <v>1.64</v>
      </c>
    </row>
    <row r="8">
      <c r="A8" t="inlineStr">
        <is>
          <t>Julio</t>
        </is>
      </c>
      <c r="B8" s="2" t="n">
        <v>9359158.75</v>
      </c>
      <c r="C8" s="2" t="n">
        <v>553789.05</v>
      </c>
      <c r="D8" s="2" t="n">
        <v>0</v>
      </c>
      <c r="E8" s="2" t="n">
        <v>553789.05</v>
      </c>
      <c r="F8" s="3" t="n">
        <v>5.92</v>
      </c>
      <c r="G8" s="2" t="n">
        <v>9491992.67</v>
      </c>
      <c r="H8" s="3" t="n">
        <v>5.83</v>
      </c>
    </row>
    <row r="9">
      <c r="A9" t="inlineStr">
        <is>
          <t>Agosto</t>
        </is>
      </c>
      <c r="B9" s="2" t="n">
        <v>8201582.65</v>
      </c>
      <c r="C9" s="2" t="n">
        <v>488694.81</v>
      </c>
      <c r="D9" s="2" t="n">
        <v>0</v>
      </c>
      <c r="E9" s="2" t="n">
        <v>488694.81</v>
      </c>
      <c r="F9" s="3" t="n">
        <v>5.96</v>
      </c>
      <c r="G9" s="2" t="n">
        <v>10566905.03</v>
      </c>
      <c r="H9" s="3" t="n">
        <v>4.62</v>
      </c>
    </row>
    <row r="10">
      <c r="A10" t="inlineStr">
        <is>
          <t>Septiembre</t>
        </is>
      </c>
      <c r="B10" s="2" t="n">
        <v>4581873.46</v>
      </c>
      <c r="C10" s="2" t="n">
        <v>606353.8</v>
      </c>
      <c r="D10" s="2" t="n">
        <v>1361696.7</v>
      </c>
      <c r="E10" s="2" t="n">
        <v>1968050.5</v>
      </c>
      <c r="F10" s="3" t="n">
        <v>42.95</v>
      </c>
      <c r="G10" s="2" t="n">
        <v>6110079.19</v>
      </c>
      <c r="H10" s="3" t="n">
        <v>32.21</v>
      </c>
    </row>
    <row r="13">
      <c r="A13" s="4" t="inlineStr">
        <is>
          <t>Notas metodológicas:</t>
        </is>
      </c>
    </row>
    <row r="14">
      <c r="A14" s="5" t="inlineStr">
        <is>
          <t>- Devolución Sin Inventario: TipoVenta=-1 y MotivoDevolucion='PROD. FACTURADO SIN EXISTENCIA FISICA EN ALMACEN' en VWVentasResumen2026, suplidor Cesar Iglesias (Unilever).</t>
        </is>
      </c>
    </row>
    <row r="15">
      <c r="A15" s="5" t="inlineStr">
        <is>
          <t>- Eliminado de Pedidos: valor (PedCantidad x PedPrecio) de líneas eliminadas de pedidos antes de facturar (tabla PedidosDetallesEliminados_RM). Se suma a la devolución porque, de haberse facturado sin existencia, habría terminado como devolución igual.</t>
        </is>
      </c>
    </row>
    <row r="16">
      <c r="A16" s="5" t="inlineStr">
        <is>
          <t>- Esta tabla de eliminados solo tiene datos desde el 17-sep-2026 en adelante; por eso solo aparece valor en Septiembre, y ese mes no es comparable 1:1 con los meses anteriores (además Septiembre está incompleto, datos al 28-sep).</t>
        </is>
      </c>
    </row>
    <row r="17">
      <c r="A17" s="5" t="inlineStr">
        <is>
          <t>- Prevendido (Pedido Bruto): Monto pedido en la vista VwPedidosVsFacutadosMenosDevolucionRM, disponible solo desde Abril 2026 (no tiene Enero-Marzo).</t>
        </is>
      </c>
    </row>
  </sheetData>
  <mergeCells count="5">
    <mergeCell ref="A15:H15"/>
    <mergeCell ref="A16:H16"/>
    <mergeCell ref="A13:H13"/>
    <mergeCell ref="A14:H14"/>
    <mergeCell ref="A17:H1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2026-09-28T14:09:42Z</dcterms:created>
  <dcterms:modified xmlns:dcterms="http://purl.org/dc/terms/" xmlns:xsi="http://www.w3.org/2001/XMLSchema-instance" xsi:type="dcterms:W3CDTF">2026-09-28T14:09:42Z</dcterms:modified>
</cp:coreProperties>
</file>