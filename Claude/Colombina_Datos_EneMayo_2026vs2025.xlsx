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Mensual" sheetId="1" state="visible" r:id="rId1"/>
    <sheet name="Por Categoría" sheetId="2" state="visible" r:id="rId2"/>
    <sheet name="Por Supervisor" sheetId="3" state="visible" r:id="rId3"/>
    <sheet name="Activaciones" sheetId="4" state="visible" r:id="rId4"/>
    <sheet name="Efectividad Rutas" sheetId="5" state="visible" r:id="rId5"/>
    <sheet name="Canal y Tamaño" sheetId="6" state="visible" r:id="rId6"/>
    <sheet name="Plan de Acc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E8A020"/>
      <sz val="10"/>
    </font>
    <font>
      <name val="Calibri"/>
      <color rgb="001A1A2E"/>
      <sz val="10"/>
    </font>
    <font>
      <name val="Calibri"/>
      <b val="1"/>
      <color rgb="001E2D4E"/>
      <sz val="10"/>
    </font>
    <font>
      <name val="Calibri"/>
      <b val="1"/>
      <color rgb="001A5CA8"/>
      <sz val="10"/>
    </font>
    <font>
      <name val="Calibri"/>
      <b val="1"/>
      <color rgb="001A7A4A"/>
      <sz val="10"/>
    </font>
    <font>
      <name val="Calibri"/>
      <b val="1"/>
      <color rgb="001A1A2E"/>
      <sz val="10"/>
    </font>
    <font>
      <name val="Calibri"/>
      <b val="1"/>
      <color rgb="00C0392B"/>
      <sz val="10"/>
    </font>
    <font>
      <name val="Calibri"/>
      <b val="1"/>
      <color rgb="00FFFFFF"/>
      <sz val="10"/>
    </font>
    <font>
      <name val="Calibri"/>
      <b val="1"/>
      <color rgb="001E2D4E"/>
      <sz val="11"/>
    </font>
    <font>
      <name val="Calibri"/>
      <color rgb="001A1A2E"/>
      <sz val="9"/>
    </font>
    <font>
      <name val="Calibri"/>
      <b val="1"/>
      <color rgb="00E8A020"/>
      <sz val="9"/>
    </font>
    <font>
      <name val="Calibri"/>
      <b val="1"/>
      <color rgb="001E2D4E"/>
      <sz val="9"/>
    </font>
    <font>
      <name val="Calibri"/>
      <b val="1"/>
      <color rgb="001A5CA8"/>
      <sz val="9"/>
    </font>
    <font>
      <name val="Calibri"/>
      <b val="1"/>
      <color rgb="00E8A020"/>
      <sz val="11"/>
    </font>
    <font>
      <name val="Calibri"/>
      <b val="1"/>
      <color rgb="001A5CA8"/>
      <sz val="11"/>
    </font>
    <font>
      <name val="Calibri"/>
      <color rgb="001A7A4A"/>
      <sz val="10"/>
    </font>
    <font>
      <name val="Calibri"/>
      <color rgb="00E8A020"/>
      <sz val="10"/>
    </font>
    <font>
      <name val="Calibri"/>
      <color rgb="00C0392B"/>
      <sz val="10"/>
    </font>
    <font>
      <name val="Calibri"/>
      <b val="1"/>
      <color rgb="00D97706"/>
      <sz val="10"/>
    </font>
  </fonts>
  <fills count="9">
    <fill>
      <patternFill/>
    </fill>
    <fill>
      <patternFill patternType="gray125"/>
    </fill>
    <fill>
      <patternFill patternType="solid">
        <fgColor rgb="001E2D4E"/>
      </patternFill>
    </fill>
    <fill>
      <patternFill patternType="solid">
        <fgColor rgb="00FFF7ED"/>
      </patternFill>
    </fill>
    <fill>
      <patternFill patternType="solid">
        <fgColor rgb="00F5F7FA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F0FDF4"/>
      </patternFill>
    </fill>
    <fill>
      <patternFill patternType="solid">
        <fgColor rgb="001A5CA8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1" pivotButton="0" quotePrefix="0" xfId="0"/>
    <xf numFmtId="3" fontId="3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/>
    </xf>
    <xf numFmtId="3" fontId="0" fillId="4" borderId="1" applyAlignment="1" pivotButton="0" quotePrefix="0" xfId="0">
      <alignment horizontal="right"/>
    </xf>
    <xf numFmtId="0" fontId="5" fillId="5" borderId="0" pivotButton="0" quotePrefix="0" xfId="0"/>
    <xf numFmtId="0" fontId="3" fillId="6" borderId="1" pivotButton="0" quotePrefix="0" xfId="0"/>
    <xf numFmtId="3" fontId="3" fillId="6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6" fillId="7" borderId="0" pivotButton="0" quotePrefix="0" xfId="0"/>
    <xf numFmtId="0" fontId="3" fillId="7" borderId="1" pivotButton="0" quotePrefix="0" xfId="0"/>
    <xf numFmtId="3" fontId="0" fillId="7" borderId="1" applyAlignment="1" pivotButton="0" quotePrefix="0" xfId="0">
      <alignment horizontal="right"/>
    </xf>
    <xf numFmtId="0" fontId="7" fillId="7" borderId="1" pivotButton="0" quotePrefix="0" xfId="0"/>
    <xf numFmtId="164" fontId="0" fillId="7" borderId="1" applyAlignment="1" pivotButton="0" quotePrefix="0" xfId="0">
      <alignment horizontal="right"/>
    </xf>
    <xf numFmtId="0" fontId="7" fillId="4" borderId="1" pivotButton="0" quotePrefix="0" xfId="0"/>
    <xf numFmtId="164" fontId="6" fillId="4" borderId="1" applyAlignment="1" pivotButton="0" quotePrefix="0" xfId="0">
      <alignment horizontal="right"/>
    </xf>
    <xf numFmtId="164" fontId="8" fillId="4" borderId="1" applyAlignment="1" pivotButton="0" quotePrefix="0" xfId="0">
      <alignment horizontal="right"/>
    </xf>
    <xf numFmtId="0" fontId="7" fillId="6" borderId="1" pivotButton="0" quotePrefix="0" xfId="0"/>
    <xf numFmtId="164" fontId="8" fillId="6" borderId="1" applyAlignment="1" pivotButton="0" quotePrefix="0" xfId="0">
      <alignment horizontal="right"/>
    </xf>
    <xf numFmtId="164" fontId="6" fillId="6" borderId="1" applyAlignment="1" pivotButton="0" quotePrefix="0" xfId="0">
      <alignment horizontal="right"/>
    </xf>
    <xf numFmtId="0" fontId="9" fillId="2" borderId="1" pivotButton="0" quotePrefix="0" xfId="0"/>
    <xf numFmtId="3" fontId="9" fillId="2" borderId="1" applyAlignment="1" pivotButton="0" quotePrefix="0" xfId="0">
      <alignment horizontal="right"/>
    </xf>
    <xf numFmtId="164" fontId="9" fillId="2" borderId="1" applyAlignment="1" pivotButton="0" quotePrefix="0" xfId="0">
      <alignment horizontal="right"/>
    </xf>
    <xf numFmtId="0" fontId="10" fillId="0" borderId="0" pivotButton="0" quotePrefix="0" xfId="0"/>
    <xf numFmtId="0" fontId="1" fillId="8" borderId="1" applyAlignment="1" pivotButton="0" quotePrefix="0" xfId="0">
      <alignment horizontal="center" vertical="center" wrapText="1"/>
    </xf>
    <xf numFmtId="0" fontId="11" fillId="4" borderId="1" pivotButton="0" quotePrefix="0" xfId="0"/>
    <xf numFmtId="0" fontId="12" fillId="4" borderId="1" pivotButton="0" quotePrefix="0" xfId="0"/>
    <xf numFmtId="3" fontId="13" fillId="4" borderId="1" applyAlignment="1" pivotButton="0" quotePrefix="0" xfId="0">
      <alignment horizontal="right"/>
    </xf>
    <xf numFmtId="0" fontId="11" fillId="5" borderId="1" pivotButton="0" quotePrefix="0" xfId="0"/>
    <xf numFmtId="0" fontId="14" fillId="5" borderId="1" pivotButton="0" quotePrefix="0" xfId="0"/>
    <xf numFmtId="3" fontId="3" fillId="5" borderId="1" applyAlignment="1" pivotButton="0" quotePrefix="0" xfId="0">
      <alignment horizontal="right" vertical="center"/>
    </xf>
    <xf numFmtId="3" fontId="13" fillId="5" borderId="1" applyAlignment="1" pivotButton="0" quotePrefix="0" xfId="0">
      <alignment horizontal="right"/>
    </xf>
    <xf numFmtId="3" fontId="2" fillId="4" borderId="1" applyAlignment="1" pivotButton="0" quotePrefix="0" xfId="0">
      <alignment horizontal="right"/>
    </xf>
    <xf numFmtId="3" fontId="5" fillId="4" borderId="1" applyAlignment="1" pivotButton="0" quotePrefix="0" xfId="0">
      <alignment horizontal="right"/>
    </xf>
    <xf numFmtId="0" fontId="6" fillId="4" borderId="1" pivotButton="0" quotePrefix="0" xfId="0"/>
    <xf numFmtId="3" fontId="2" fillId="6" borderId="1" applyAlignment="1" pivotButton="0" quotePrefix="0" xfId="0">
      <alignment horizontal="right"/>
    </xf>
    <xf numFmtId="3" fontId="5" fillId="6" borderId="1" applyAlignment="1" pivotButton="0" quotePrefix="0" xfId="0">
      <alignment horizontal="right"/>
    </xf>
    <xf numFmtId="0" fontId="6" fillId="6" borderId="1" pivotButton="0" quotePrefix="0" xfId="0"/>
    <xf numFmtId="0" fontId="8" fillId="4" borderId="1" pivotButton="0" quotePrefix="0" xfId="0"/>
    <xf numFmtId="0" fontId="8" fillId="6" borderId="1" pivotButton="0" quotePrefix="0" xfId="0"/>
    <xf numFmtId="0" fontId="15" fillId="4" borderId="1" pivotButton="0" quotePrefix="0" xfId="0"/>
    <xf numFmtId="0" fontId="16" fillId="6" borderId="1" pivotButton="0" quotePrefix="0" xfId="0"/>
    <xf numFmtId="3" fontId="4" fillId="6" borderId="1" applyAlignment="1" pivotButton="0" quotePrefix="0" xfId="0">
      <alignment horizontal="right"/>
    </xf>
    <xf numFmtId="3" fontId="8" fillId="7" borderId="1" applyAlignment="1" pivotButton="0" quotePrefix="0" xfId="0">
      <alignment horizontal="right"/>
    </xf>
    <xf numFmtId="164" fontId="8" fillId="7" borderId="1" applyAlignment="1" pivotButton="0" quotePrefix="0" xfId="0">
      <alignment horizontal="right"/>
    </xf>
    <xf numFmtId="164" fontId="17" fillId="4" borderId="1" applyAlignment="1" pivotButton="0" quotePrefix="0" xfId="0">
      <alignment horizontal="right"/>
    </xf>
    <xf numFmtId="164" fontId="17" fillId="6" borderId="1" applyAlignment="1" pivotButton="0" quotePrefix="0" xfId="0">
      <alignment horizontal="right"/>
    </xf>
    <xf numFmtId="164" fontId="18" fillId="4" borderId="1" applyAlignment="1" pivotButton="0" quotePrefix="0" xfId="0">
      <alignment horizontal="right"/>
    </xf>
    <xf numFmtId="164" fontId="18" fillId="6" borderId="1" applyAlignment="1" pivotButton="0" quotePrefix="0" xfId="0">
      <alignment horizontal="right"/>
    </xf>
    <xf numFmtId="164" fontId="19" fillId="4" borderId="1" applyAlignment="1" pivotButton="0" quotePrefix="0" xfId="0">
      <alignment horizontal="right"/>
    </xf>
    <xf numFmtId="164" fontId="19" fillId="6" borderId="1" applyAlignment="1" pivotButton="0" quotePrefix="0" xfId="0">
      <alignment horizontal="right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 wrapText="1"/>
    </xf>
    <xf numFmtId="0" fontId="20" fillId="6" borderId="1" applyAlignment="1" pivotButton="0" quotePrefix="0" xfId="0">
      <alignment vertical="center"/>
    </xf>
    <xf numFmtId="0" fontId="20" fillId="4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" t="inlineStr">
        <is>
          <t>Métrica</t>
        </is>
      </c>
      <c r="B1" s="1" t="inlineStr">
        <is>
          <t>Enero</t>
        </is>
      </c>
      <c r="C1" s="1" t="inlineStr">
        <is>
          <t>Febrero</t>
        </is>
      </c>
      <c r="D1" s="1" t="inlineStr">
        <is>
          <t>Marzo</t>
        </is>
      </c>
      <c r="E1" s="1" t="inlineStr">
        <is>
          <t>Abril</t>
        </is>
      </c>
      <c r="F1" s="1" t="inlineStr">
        <is>
          <t>Mayo</t>
        </is>
      </c>
      <c r="G1" s="1" t="inlineStr">
        <is>
          <t>Total / Prom</t>
        </is>
      </c>
    </row>
    <row r="2">
      <c r="A2" s="2" t="inlineStr">
        <is>
          <t>─── 2025 ───</t>
        </is>
      </c>
    </row>
    <row r="3">
      <c r="A3" s="3" t="inlineStr">
        <is>
          <t>Ventas Brutas (RD$)</t>
        </is>
      </c>
      <c r="B3" s="4" t="n">
        <v>7495020</v>
      </c>
      <c r="C3" s="4" t="n">
        <v>7084851</v>
      </c>
      <c r="D3" s="4" t="n">
        <v>7211892</v>
      </c>
      <c r="E3" s="4" t="n">
        <v>6880151</v>
      </c>
      <c r="F3" s="4" t="n">
        <v>7921745</v>
      </c>
      <c r="G3" s="5">
        <f>SUM(B3:F3)</f>
        <v/>
      </c>
    </row>
    <row r="4">
      <c r="A4" s="3" t="inlineStr">
        <is>
          <t>Activaciones (clientes únicos)</t>
        </is>
      </c>
      <c r="B4" s="4" t="n">
        <v>9738</v>
      </c>
      <c r="C4" s="4" t="n">
        <v>9990</v>
      </c>
      <c r="D4" s="4" t="n">
        <v>10171</v>
      </c>
      <c r="E4" s="4" t="n">
        <v>10228</v>
      </c>
      <c r="F4" s="4" t="n">
        <v>10628</v>
      </c>
      <c r="G4" s="5">
        <f>AVERAGE(B4:F4)</f>
        <v/>
      </c>
    </row>
    <row r="5">
      <c r="A5" s="3" t="inlineStr">
        <is>
          <t>Drop Size (RD$/activ.) 2025</t>
        </is>
      </c>
      <c r="B5" s="6">
        <f>B3/B4</f>
        <v/>
      </c>
      <c r="C5" s="6">
        <f>C3/C4</f>
        <v/>
      </c>
      <c r="D5" s="6">
        <f>D3/D4</f>
        <v/>
      </c>
      <c r="E5" s="6">
        <f>E3/E4</f>
        <v/>
      </c>
      <c r="F5" s="6">
        <f>F3/F4</f>
        <v/>
      </c>
      <c r="G5" s="5">
        <f>AVERAGE(B5:F5)</f>
        <v/>
      </c>
    </row>
    <row r="6">
      <c r="A6" s="7" t="inlineStr">
        <is>
          <t>─── 2026 ───</t>
        </is>
      </c>
    </row>
    <row r="7">
      <c r="A7" s="8" t="inlineStr">
        <is>
          <t>Ventas Brutas (RD$)</t>
        </is>
      </c>
      <c r="B7" s="9" t="n">
        <v>9367135</v>
      </c>
      <c r="C7" s="9" t="n">
        <v>8095318</v>
      </c>
      <c r="D7" s="9" t="n">
        <v>8362293</v>
      </c>
      <c r="E7" s="9" t="n">
        <v>7285664</v>
      </c>
      <c r="F7" s="9" t="n">
        <v>7236209</v>
      </c>
      <c r="G7" s="10">
        <f>SUM(B7:F7)</f>
        <v/>
      </c>
    </row>
    <row r="8">
      <c r="A8" s="8" t="inlineStr">
        <is>
          <t>Activaciones (clientes únicos)</t>
        </is>
      </c>
      <c r="B8" s="9" t="n">
        <v>10324</v>
      </c>
      <c r="C8" s="9" t="n">
        <v>9614</v>
      </c>
      <c r="D8" s="9" t="n">
        <v>9909</v>
      </c>
      <c r="E8" s="9" t="n">
        <v>8395</v>
      </c>
      <c r="F8" s="9" t="n">
        <v>8094</v>
      </c>
      <c r="G8" s="10">
        <f>AVERAGE(B8:F8)</f>
        <v/>
      </c>
    </row>
    <row r="9">
      <c r="A9" s="8" t="inlineStr">
        <is>
          <t>Drop Size (RD$/activ.) 2026</t>
        </is>
      </c>
      <c r="B9" s="11">
        <f>B7/B8</f>
        <v/>
      </c>
      <c r="C9" s="11">
        <f>C7/C8</f>
        <v/>
      </c>
      <c r="D9" s="11">
        <f>D7/D8</f>
        <v/>
      </c>
      <c r="E9" s="11">
        <f>E7/E8</f>
        <v/>
      </c>
      <c r="F9" s="11">
        <f>F7/F8</f>
        <v/>
      </c>
      <c r="G9" s="10">
        <f>AVERAGE(B9:F9)</f>
        <v/>
      </c>
    </row>
    <row r="10">
      <c r="A10" s="12" t="inlineStr">
        <is>
          <t>─── Variación 2026 vs 2025 ───</t>
        </is>
      </c>
    </row>
    <row r="11">
      <c r="A11" s="13" t="inlineStr">
        <is>
          <t>Δ Ventas Brutas (RD$)</t>
        </is>
      </c>
      <c r="B11" s="14">
        <f>B7-B3</f>
        <v/>
      </c>
      <c r="C11" s="14">
        <f>C7-C3</f>
        <v/>
      </c>
      <c r="D11" s="14">
        <f>D7-D3</f>
        <v/>
      </c>
      <c r="E11" s="14">
        <f>E7-E3</f>
        <v/>
      </c>
      <c r="F11" s="14">
        <f>F7-F3</f>
        <v/>
      </c>
      <c r="G11" s="14">
        <f>G7-G3</f>
        <v/>
      </c>
    </row>
    <row r="12">
      <c r="A12" s="13" t="inlineStr">
        <is>
          <t>Δ Activaciones</t>
        </is>
      </c>
      <c r="B12" s="14">
        <f>B8-B4</f>
        <v/>
      </c>
      <c r="C12" s="14">
        <f>C8-C4</f>
        <v/>
      </c>
      <c r="D12" s="14">
        <f>D8-D4</f>
        <v/>
      </c>
      <c r="E12" s="14">
        <f>E8-E4</f>
        <v/>
      </c>
      <c r="F12" s="14">
        <f>F8-F4</f>
        <v/>
      </c>
      <c r="G12" s="14">
        <f>G8-G4</f>
        <v/>
      </c>
    </row>
    <row r="13">
      <c r="A13" s="13" t="inlineStr">
        <is>
          <t>Δ Drop Size</t>
        </is>
      </c>
      <c r="B13" s="14">
        <f>B9-B5</f>
        <v/>
      </c>
      <c r="C13" s="14">
        <f>C9-C5</f>
        <v/>
      </c>
      <c r="D13" s="14">
        <f>D9-D5</f>
        <v/>
      </c>
      <c r="E13" s="14">
        <f>E9-E5</f>
        <v/>
      </c>
      <c r="F13" s="14">
        <f>F9-F5</f>
        <v/>
      </c>
      <c r="G13" s="14">
        <f>G9-G5</f>
        <v/>
      </c>
    </row>
    <row r="14">
      <c r="A14" s="15" t="inlineStr">
        <is>
          <t>Var% Ventas</t>
        </is>
      </c>
      <c r="B14" s="16">
        <f>(B7-B3)/B3</f>
        <v/>
      </c>
      <c r="C14" s="16">
        <f>(C7-C3)/C3</f>
        <v/>
      </c>
      <c r="D14" s="16">
        <f>(D7-D3)/D3</f>
        <v/>
      </c>
      <c r="E14" s="16">
        <f>(E7-E3)/E3</f>
        <v/>
      </c>
      <c r="F14" s="16">
        <f>(F7-F3)/F3</f>
        <v/>
      </c>
      <c r="G14" s="16">
        <f>(G7-G3)/G3</f>
        <v/>
      </c>
    </row>
    <row r="15">
      <c r="A15" s="15" t="inlineStr">
        <is>
          <t>Var% Activaciones</t>
        </is>
      </c>
      <c r="B15" s="16">
        <f>(B8-B4)/B4</f>
        <v/>
      </c>
      <c r="C15" s="16">
        <f>(C8-C4)/C4</f>
        <v/>
      </c>
      <c r="D15" s="16">
        <f>(D8-D4)/D4</f>
        <v/>
      </c>
      <c r="E15" s="16">
        <f>(E8-E4)/E4</f>
        <v/>
      </c>
      <c r="F15" s="16">
        <f>(F8-F4)/F4</f>
        <v/>
      </c>
      <c r="G15" s="16">
        <f>(G8-G4)/G4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Categoría</t>
        </is>
      </c>
      <c r="B1" s="1" t="inlineStr">
        <is>
          <t>Ventas 2025</t>
        </is>
      </c>
      <c r="C1" s="1" t="inlineStr">
        <is>
          <t>Ventas 2026</t>
        </is>
      </c>
      <c r="D1" s="1" t="inlineStr">
        <is>
          <t>Var% Ventas</t>
        </is>
      </c>
      <c r="E1" s="1" t="inlineStr">
        <is>
          <t>Act. 2025</t>
        </is>
      </c>
      <c r="F1" s="1" t="inlineStr">
        <is>
          <t>Act. 2026</t>
        </is>
      </c>
      <c r="G1" s="1" t="inlineStr">
        <is>
          <t>Var% Act.</t>
        </is>
      </c>
    </row>
    <row r="2">
      <c r="A2" s="17" t="inlineStr">
        <is>
          <t>BOLONES</t>
        </is>
      </c>
      <c r="B2" s="4" t="n">
        <v>16628825</v>
      </c>
      <c r="C2" s="4" t="n">
        <v>17464928</v>
      </c>
      <c r="D2" s="18">
        <f>(C2-B2)/B2</f>
        <v/>
      </c>
      <c r="E2" s="4" t="n">
        <v>14124</v>
      </c>
      <c r="F2" s="4" t="n">
        <v>13391</v>
      </c>
      <c r="G2" s="19">
        <f>(F2-E2)/E2</f>
        <v/>
      </c>
    </row>
    <row r="3">
      <c r="A3" s="20" t="inlineStr">
        <is>
          <t>CARAMELOS DUROS</t>
        </is>
      </c>
      <c r="B3" s="9" t="n">
        <v>8967234</v>
      </c>
      <c r="C3" s="9" t="n">
        <v>8321834</v>
      </c>
      <c r="D3" s="21">
        <f>(C3-B3)/B3</f>
        <v/>
      </c>
      <c r="E3" s="9" t="n">
        <v>12062</v>
      </c>
      <c r="F3" s="9" t="n">
        <v>11686</v>
      </c>
      <c r="G3" s="21">
        <f>(F3-E3)/E3</f>
        <v/>
      </c>
    </row>
    <row r="4">
      <c r="A4" s="17" t="inlineStr">
        <is>
          <t>GRISSLY SNACK</t>
        </is>
      </c>
      <c r="B4" s="4" t="n">
        <v>1474685</v>
      </c>
      <c r="C4" s="4" t="n">
        <v>4714153</v>
      </c>
      <c r="D4" s="18">
        <f>(C4-B4)/B4</f>
        <v/>
      </c>
      <c r="E4" s="4" t="n">
        <v>9382</v>
      </c>
      <c r="F4" s="4" t="n">
        <v>2561</v>
      </c>
      <c r="G4" s="19">
        <f>(F4-E4)/E4</f>
        <v/>
      </c>
    </row>
    <row r="5">
      <c r="A5" s="20" t="inlineStr">
        <is>
          <t>PALETAS</t>
        </is>
      </c>
      <c r="B5" s="9" t="n">
        <v>4087560</v>
      </c>
      <c r="C5" s="9" t="n">
        <v>3970918</v>
      </c>
      <c r="D5" s="21">
        <f>(C5-B5)/B5</f>
        <v/>
      </c>
      <c r="E5" s="9" t="n">
        <v>9229</v>
      </c>
      <c r="F5" s="9" t="n">
        <v>9809</v>
      </c>
      <c r="G5" s="22">
        <f>(F5-E5)/E5</f>
        <v/>
      </c>
    </row>
    <row r="6">
      <c r="A6" s="17" t="inlineStr">
        <is>
          <t>CONFITERIA CICHLET</t>
        </is>
      </c>
      <c r="B6" s="4" t="n">
        <v>2425681</v>
      </c>
      <c r="C6" s="4" t="n">
        <v>3150587</v>
      </c>
      <c r="D6" s="18">
        <f>(C6-B6)/B6</f>
        <v/>
      </c>
      <c r="E6" s="4" t="n">
        <v>3186</v>
      </c>
      <c r="F6" s="4" t="n">
        <v>3274</v>
      </c>
      <c r="G6" s="18">
        <f>(F6-E6)/E6</f>
        <v/>
      </c>
    </row>
    <row r="7">
      <c r="A7" s="20" t="inlineStr">
        <is>
          <t>CONFITERIA GOMAS</t>
        </is>
      </c>
      <c r="B7" s="9" t="n">
        <v>1820510</v>
      </c>
      <c r="C7" s="9" t="n">
        <v>1434556</v>
      </c>
      <c r="D7" s="21">
        <f>(C7-B7)/B7</f>
        <v/>
      </c>
      <c r="E7" s="9" t="n">
        <v>5797</v>
      </c>
      <c r="F7" s="9" t="n">
        <v>3283</v>
      </c>
      <c r="G7" s="21">
        <f>(F7-E7)/E7</f>
        <v/>
      </c>
    </row>
    <row r="8">
      <c r="A8" s="17" t="inlineStr">
        <is>
          <t>CHOCOLATERIA</t>
        </is>
      </c>
      <c r="B8" s="4" t="n">
        <v>1180953</v>
      </c>
      <c r="C8" s="4" t="n">
        <v>1126040</v>
      </c>
      <c r="D8" s="19">
        <f>(C8-B8)/B8</f>
        <v/>
      </c>
      <c r="E8" s="4" t="n">
        <v>4437</v>
      </c>
      <c r="F8" s="4" t="n">
        <v>2274</v>
      </c>
      <c r="G8" s="19">
        <f>(F8-E8)/E8</f>
        <v/>
      </c>
    </row>
    <row r="9">
      <c r="A9" s="20" t="inlineStr">
        <is>
          <t>CARAMELOS BLANDOS</t>
        </is>
      </c>
      <c r="B9" s="9" t="n">
        <v>8210</v>
      </c>
      <c r="C9" s="9" t="n">
        <v>163602</v>
      </c>
      <c r="D9" s="22">
        <f>(C9-B9)/B9</f>
        <v/>
      </c>
      <c r="E9" s="9" t="n">
        <v>47</v>
      </c>
      <c r="F9" s="9" t="n">
        <v>1046</v>
      </c>
      <c r="G9" s="22">
        <f>(F9-E9)/E9</f>
        <v/>
      </c>
    </row>
    <row r="10">
      <c r="A10" s="23" t="inlineStr">
        <is>
          <t>TOTAL</t>
        </is>
      </c>
      <c r="B10" s="24">
        <f>SUM(B2:B9)</f>
        <v/>
      </c>
      <c r="C10" s="24">
        <f>SUM(C2:C9)</f>
        <v/>
      </c>
      <c r="D10" s="25">
        <f>(C10-B10)/B10</f>
        <v/>
      </c>
      <c r="E10" s="24">
        <f>SUM(E2:E9)</f>
        <v/>
      </c>
      <c r="F10" s="24">
        <f>SUM(F2:F9)</f>
        <v/>
      </c>
      <c r="G10" s="25">
        <f>(F10-E10)/E10</f>
        <v/>
      </c>
    </row>
    <row r="12">
      <c r="A12" s="26" t="inlineStr">
        <is>
          <t>TENDENCIA MENSUAL POR CATEGORÍA (2025 vs 2026)</t>
        </is>
      </c>
    </row>
    <row r="13">
      <c r="A13" s="27" t="inlineStr">
        <is>
          <t>Categoría</t>
        </is>
      </c>
      <c r="B13" s="27" t="inlineStr">
        <is>
          <t>Año</t>
        </is>
      </c>
      <c r="C13" s="27" t="inlineStr">
        <is>
          <t>Enero</t>
        </is>
      </c>
      <c r="D13" s="27" t="inlineStr">
        <is>
          <t>Febrero</t>
        </is>
      </c>
      <c r="E13" s="27" t="inlineStr">
        <is>
          <t>Marzo</t>
        </is>
      </c>
      <c r="F13" s="27" t="inlineStr">
        <is>
          <t>Abril</t>
        </is>
      </c>
      <c r="G13" s="27" t="inlineStr">
        <is>
          <t>Mayo</t>
        </is>
      </c>
      <c r="H13" s="27" t="inlineStr">
        <is>
          <t>Total</t>
        </is>
      </c>
    </row>
    <row r="14">
      <c r="A14" s="28" t="inlineStr">
        <is>
          <t>BOLONES</t>
        </is>
      </c>
      <c r="B14" s="29" t="n">
        <v>2025</v>
      </c>
      <c r="C14" s="4" t="n">
        <v>3524240</v>
      </c>
      <c r="D14" s="4" t="n">
        <v>3123008</v>
      </c>
      <c r="E14" s="4" t="n">
        <v>3536287</v>
      </c>
      <c r="F14" s="4" t="n">
        <v>3078864</v>
      </c>
      <c r="G14" s="4" t="n">
        <v>3366425</v>
      </c>
      <c r="H14" s="30">
        <f>SUM(C14:G14)</f>
        <v/>
      </c>
    </row>
    <row r="15">
      <c r="A15" s="31" t="inlineStr">
        <is>
          <t>BOLONES</t>
        </is>
      </c>
      <c r="B15" s="32" t="n">
        <v>2026</v>
      </c>
      <c r="C15" s="33" t="n">
        <v>3957729</v>
      </c>
      <c r="D15" s="33" t="n">
        <v>3009633</v>
      </c>
      <c r="E15" s="33" t="n">
        <v>3759955</v>
      </c>
      <c r="F15" s="33" t="n">
        <v>3304323</v>
      </c>
      <c r="G15" s="33" t="n">
        <v>3433289</v>
      </c>
      <c r="H15" s="34">
        <f>SUM(C15:G15)</f>
        <v/>
      </c>
    </row>
    <row r="16">
      <c r="A16" s="28" t="inlineStr">
        <is>
          <t>CARAMELOS DUROS</t>
        </is>
      </c>
      <c r="B16" s="29" t="n">
        <v>2025</v>
      </c>
      <c r="C16" s="4" t="n">
        <v>1890029</v>
      </c>
      <c r="D16" s="4" t="n">
        <v>1699827</v>
      </c>
      <c r="E16" s="4" t="n">
        <v>1685469</v>
      </c>
      <c r="F16" s="4" t="n">
        <v>1641994</v>
      </c>
      <c r="G16" s="4" t="n">
        <v>2049915</v>
      </c>
      <c r="H16" s="30">
        <f>SUM(C16:G16)</f>
        <v/>
      </c>
    </row>
    <row r="17">
      <c r="A17" s="31" t="inlineStr">
        <is>
          <t>CARAMELOS DUROS</t>
        </is>
      </c>
      <c r="B17" s="32" t="n">
        <v>2026</v>
      </c>
      <c r="C17" s="33" t="n">
        <v>1855281</v>
      </c>
      <c r="D17" s="33" t="n">
        <v>1565409</v>
      </c>
      <c r="E17" s="33" t="n">
        <v>1775724</v>
      </c>
      <c r="F17" s="33" t="n">
        <v>1502633</v>
      </c>
      <c r="G17" s="33" t="n">
        <v>1622786</v>
      </c>
      <c r="H17" s="34">
        <f>SUM(C17:G17)</f>
        <v/>
      </c>
    </row>
    <row r="18">
      <c r="A18" s="28" t="inlineStr">
        <is>
          <t>GRISSLY SNACK</t>
        </is>
      </c>
      <c r="B18" s="29" t="n">
        <v>2025</v>
      </c>
      <c r="C18" s="4" t="n">
        <v>240966</v>
      </c>
      <c r="D18" s="4" t="n">
        <v>248284</v>
      </c>
      <c r="E18" s="4" t="n">
        <v>246442</v>
      </c>
      <c r="F18" s="4" t="n">
        <v>368976</v>
      </c>
      <c r="G18" s="4" t="n">
        <v>370017</v>
      </c>
      <c r="H18" s="30">
        <f>SUM(C18:G18)</f>
        <v/>
      </c>
    </row>
    <row r="19">
      <c r="A19" s="31" t="inlineStr">
        <is>
          <t>GRISSLY SNACK</t>
        </is>
      </c>
      <c r="B19" s="32" t="n">
        <v>2026</v>
      </c>
      <c r="C19" s="33" t="n">
        <v>1208261</v>
      </c>
      <c r="D19" s="33" t="n">
        <v>1080974</v>
      </c>
      <c r="E19" s="33" t="n">
        <v>868936</v>
      </c>
      <c r="F19" s="33" t="n">
        <v>806661</v>
      </c>
      <c r="G19" s="33" t="n">
        <v>749321</v>
      </c>
      <c r="H19" s="34">
        <f>SUM(C19:G19)</f>
        <v/>
      </c>
    </row>
    <row r="20">
      <c r="A20" s="28" t="inlineStr">
        <is>
          <t>PALETAS</t>
        </is>
      </c>
      <c r="B20" s="29" t="n">
        <v>2025</v>
      </c>
      <c r="C20" s="4" t="n">
        <v>857307</v>
      </c>
      <c r="D20" s="4" t="n">
        <v>1016962</v>
      </c>
      <c r="E20" s="4" t="n">
        <v>727810</v>
      </c>
      <c r="F20" s="4" t="n">
        <v>645566</v>
      </c>
      <c r="G20" s="4" t="n">
        <v>839915</v>
      </c>
      <c r="H20" s="30">
        <f>SUM(C20:G20)</f>
        <v/>
      </c>
    </row>
    <row r="21">
      <c r="A21" s="31" t="inlineStr">
        <is>
          <t>PALETAS</t>
        </is>
      </c>
      <c r="B21" s="32" t="n">
        <v>2026</v>
      </c>
      <c r="C21" s="33" t="n">
        <v>843205</v>
      </c>
      <c r="D21" s="33" t="n">
        <v>1076769</v>
      </c>
      <c r="E21" s="33" t="n">
        <v>759218</v>
      </c>
      <c r="F21" s="33" t="n">
        <v>718455</v>
      </c>
      <c r="G21" s="33" t="n">
        <v>573271</v>
      </c>
      <c r="H21" s="34">
        <f>SUM(C21:G21)</f>
        <v/>
      </c>
    </row>
    <row r="22">
      <c r="A22" s="28" t="inlineStr">
        <is>
          <t>CICHLET</t>
        </is>
      </c>
      <c r="B22" s="29" t="n">
        <v>2025</v>
      </c>
      <c r="C22" s="4" t="n">
        <v>565094</v>
      </c>
      <c r="D22" s="4" t="n">
        <v>384836</v>
      </c>
      <c r="E22" s="4" t="n">
        <v>409323</v>
      </c>
      <c r="F22" s="4" t="n">
        <v>431332</v>
      </c>
      <c r="G22" s="4" t="n">
        <v>635096</v>
      </c>
      <c r="H22" s="30">
        <f>SUM(C22:G22)</f>
        <v/>
      </c>
    </row>
    <row r="23">
      <c r="A23" s="31" t="inlineStr">
        <is>
          <t>CICHLET</t>
        </is>
      </c>
      <c r="B23" s="32" t="n">
        <v>2026</v>
      </c>
      <c r="C23" s="33" t="n">
        <v>736296</v>
      </c>
      <c r="D23" s="33" t="n">
        <v>727835</v>
      </c>
      <c r="E23" s="33" t="n">
        <v>686380</v>
      </c>
      <c r="F23" s="33" t="n">
        <v>534914</v>
      </c>
      <c r="G23" s="33" t="n">
        <v>465162</v>
      </c>
      <c r="H23" s="34">
        <f>SUM(C23:G23)</f>
        <v/>
      </c>
    </row>
    <row r="24">
      <c r="A24" s="28" t="inlineStr">
        <is>
          <t>GOMAS</t>
        </is>
      </c>
      <c r="B24" s="29" t="n">
        <v>2025</v>
      </c>
      <c r="C24" s="4" t="n">
        <v>314598</v>
      </c>
      <c r="D24" s="4" t="n">
        <v>494277</v>
      </c>
      <c r="E24" s="4" t="n">
        <v>398472</v>
      </c>
      <c r="F24" s="4" t="n">
        <v>346459</v>
      </c>
      <c r="G24" s="4" t="n">
        <v>266705</v>
      </c>
      <c r="H24" s="30">
        <f>SUM(C24:G24)</f>
        <v/>
      </c>
    </row>
    <row r="25">
      <c r="A25" s="31" t="inlineStr">
        <is>
          <t>GOMAS</t>
        </is>
      </c>
      <c r="B25" s="32" t="n">
        <v>2026</v>
      </c>
      <c r="C25" s="33" t="n">
        <v>399656</v>
      </c>
      <c r="D25" s="33" t="n">
        <v>290698</v>
      </c>
      <c r="E25" s="33" t="n">
        <v>261979</v>
      </c>
      <c r="F25" s="33" t="n">
        <v>268259</v>
      </c>
      <c r="G25" s="33" t="n">
        <v>213965</v>
      </c>
      <c r="H25" s="34">
        <f>SUM(C25:G25)</f>
        <v/>
      </c>
    </row>
    <row r="26">
      <c r="A26" s="28" t="inlineStr">
        <is>
          <t>CHOCOLATERIA</t>
        </is>
      </c>
      <c r="B26" s="29" t="n">
        <v>2025</v>
      </c>
      <c r="C26" s="4" t="n">
        <v>101430</v>
      </c>
      <c r="D26" s="4" t="n">
        <v>115793</v>
      </c>
      <c r="E26" s="4" t="n">
        <v>207411</v>
      </c>
      <c r="F26" s="4" t="n">
        <v>363835</v>
      </c>
      <c r="G26" s="4" t="n">
        <v>392485</v>
      </c>
      <c r="H26" s="30">
        <f>SUM(C26:G26)</f>
        <v/>
      </c>
    </row>
    <row r="27">
      <c r="A27" s="31" t="inlineStr">
        <is>
          <t>CHOCOLATERIA</t>
        </is>
      </c>
      <c r="B27" s="32" t="n">
        <v>2026</v>
      </c>
      <c r="C27" s="33" t="n">
        <v>294493</v>
      </c>
      <c r="D27" s="33" t="n">
        <v>283823</v>
      </c>
      <c r="E27" s="33" t="n">
        <v>238308</v>
      </c>
      <c r="F27" s="33" t="n">
        <v>142255</v>
      </c>
      <c r="G27" s="33" t="n">
        <v>167160</v>
      </c>
      <c r="H27" s="34">
        <f>SUM(C27:G27)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4" customWidth="1" min="15" max="15"/>
  </cols>
  <sheetData>
    <row r="1">
      <c r="A1" s="1" t="inlineStr">
        <is>
          <t>Supervisor / Zona</t>
        </is>
      </c>
      <c r="B1" s="1" t="inlineStr">
        <is>
          <t>Ene 25</t>
        </is>
      </c>
      <c r="C1" s="1" t="inlineStr">
        <is>
          <t>Feb 25</t>
        </is>
      </c>
      <c r="D1" s="1" t="inlineStr">
        <is>
          <t>Mar 25</t>
        </is>
      </c>
      <c r="E1" s="1" t="inlineStr">
        <is>
          <t>Abr 25</t>
        </is>
      </c>
      <c r="F1" s="1" t="inlineStr">
        <is>
          <t>May 25</t>
        </is>
      </c>
      <c r="G1" s="1" t="inlineStr">
        <is>
          <t>Total 2025</t>
        </is>
      </c>
      <c r="H1" s="1" t="inlineStr">
        <is>
          <t>Ene 26</t>
        </is>
      </c>
      <c r="I1" s="1" t="inlineStr">
        <is>
          <t>Feb 26</t>
        </is>
      </c>
      <c r="J1" s="1" t="inlineStr">
        <is>
          <t>Mar 26</t>
        </is>
      </c>
      <c r="K1" s="1" t="inlineStr">
        <is>
          <t>Abr 26</t>
        </is>
      </c>
      <c r="L1" s="1" t="inlineStr">
        <is>
          <t>May 26</t>
        </is>
      </c>
      <c r="M1" s="1" t="inlineStr">
        <is>
          <t>Total 2026</t>
        </is>
      </c>
      <c r="N1" s="1" t="inlineStr">
        <is>
          <t>Var%</t>
        </is>
      </c>
      <c r="O1" s="1" t="inlineStr">
        <is>
          <t>Estado</t>
        </is>
      </c>
    </row>
    <row r="2">
      <c r="A2" s="17" t="inlineStr">
        <is>
          <t>Sur L. (Piña Bello)</t>
        </is>
      </c>
      <c r="B2" s="4" t="n">
        <v>1991152</v>
      </c>
      <c r="C2" s="4" t="n">
        <v>1885418</v>
      </c>
      <c r="D2" s="4" t="n">
        <v>1853905</v>
      </c>
      <c r="E2" s="4" t="n">
        <v>2046554</v>
      </c>
      <c r="F2" s="4" t="n">
        <v>1970754</v>
      </c>
      <c r="G2" s="35">
        <f>SUM(B2:F2)</f>
        <v/>
      </c>
      <c r="H2" s="4" t="n">
        <v>2956787</v>
      </c>
      <c r="I2" s="4" t="n">
        <v>2577484</v>
      </c>
      <c r="J2" s="4" t="n">
        <v>2585346</v>
      </c>
      <c r="K2" s="4" t="n">
        <v>2364581</v>
      </c>
      <c r="L2" s="4" t="n">
        <v>2315097</v>
      </c>
      <c r="M2" s="36">
        <f>SUM(H2:L2)</f>
        <v/>
      </c>
      <c r="N2" s="18">
        <f>(M2-G2)/G2</f>
        <v/>
      </c>
      <c r="O2" s="37" t="inlineStr">
        <is>
          <t>CRECIENDO</t>
        </is>
      </c>
    </row>
    <row r="3">
      <c r="A3" s="20" t="inlineStr">
        <is>
          <t>SDE (Pimentel)</t>
        </is>
      </c>
      <c r="B3" s="9" t="n">
        <v>45322</v>
      </c>
      <c r="C3" s="9" t="n">
        <v>534661</v>
      </c>
      <c r="D3" s="9" t="n">
        <v>777616</v>
      </c>
      <c r="E3" s="9" t="n">
        <v>771533</v>
      </c>
      <c r="F3" s="9" t="n">
        <v>999490</v>
      </c>
      <c r="G3" s="38">
        <f>SUM(B3:F3)</f>
        <v/>
      </c>
      <c r="H3" s="9" t="n">
        <v>1415385</v>
      </c>
      <c r="I3" s="9" t="n">
        <v>1168600</v>
      </c>
      <c r="J3" s="9" t="n">
        <v>1199981</v>
      </c>
      <c r="K3" s="9" t="n">
        <v>1134895</v>
      </c>
      <c r="L3" s="9" t="n">
        <v>975516</v>
      </c>
      <c r="M3" s="39">
        <f>SUM(H3:L3)</f>
        <v/>
      </c>
      <c r="N3" s="22">
        <f>(M3-G3)/G3</f>
        <v/>
      </c>
      <c r="O3" s="40" t="inlineStr">
        <is>
          <t>CRECIENDO</t>
        </is>
      </c>
    </row>
    <row r="4">
      <c r="A4" s="17" t="inlineStr">
        <is>
          <t>Sur Corto (SC)</t>
        </is>
      </c>
      <c r="B4" s="4" t="n">
        <v>875529</v>
      </c>
      <c r="C4" s="4" t="n">
        <v>930284</v>
      </c>
      <c r="D4" s="4" t="n">
        <v>864546</v>
      </c>
      <c r="E4" s="4" t="n">
        <v>937061</v>
      </c>
      <c r="F4" s="4" t="n">
        <v>1074798</v>
      </c>
      <c r="G4" s="35">
        <f>SUM(B4:F4)</f>
        <v/>
      </c>
      <c r="H4" s="4" t="n">
        <v>1064249</v>
      </c>
      <c r="I4" s="4" t="n">
        <v>1072689</v>
      </c>
      <c r="J4" s="4" t="n">
        <v>1265277</v>
      </c>
      <c r="K4" s="4" t="n">
        <v>1120302</v>
      </c>
      <c r="L4" s="4" t="n">
        <v>1201360</v>
      </c>
      <c r="M4" s="36">
        <f>SUM(H4:L4)</f>
        <v/>
      </c>
      <c r="N4" s="18">
        <f>(M4-G4)/G4</f>
        <v/>
      </c>
      <c r="O4" s="37" t="inlineStr">
        <is>
          <t>CRECIENDO</t>
        </is>
      </c>
    </row>
    <row r="5">
      <c r="A5" s="20" t="inlineStr">
        <is>
          <t>SDN (Valenzuela)</t>
        </is>
      </c>
      <c r="B5" s="9" t="n">
        <v>901143</v>
      </c>
      <c r="C5" s="9" t="n">
        <v>886222</v>
      </c>
      <c r="D5" s="9" t="n">
        <v>906873</v>
      </c>
      <c r="E5" s="9" t="n">
        <v>778573</v>
      </c>
      <c r="F5" s="9" t="n">
        <v>946245</v>
      </c>
      <c r="G5" s="38">
        <f>SUM(B5:F5)</f>
        <v/>
      </c>
      <c r="H5" s="9" t="n">
        <v>1107834</v>
      </c>
      <c r="I5" s="9" t="n">
        <v>962723</v>
      </c>
      <c r="J5" s="9" t="n">
        <v>999395</v>
      </c>
      <c r="K5" s="9" t="n">
        <v>902874</v>
      </c>
      <c r="L5" s="9" t="n">
        <v>900878</v>
      </c>
      <c r="M5" s="39">
        <f>SUM(H5:L5)</f>
        <v/>
      </c>
      <c r="N5" s="22">
        <f>(M5-G5)/G5</f>
        <v/>
      </c>
      <c r="O5" s="40" t="inlineStr">
        <is>
          <t>CRECIENDO</t>
        </is>
      </c>
    </row>
    <row r="6">
      <c r="A6" s="17" t="inlineStr">
        <is>
          <t>SDO (F. Martínez)</t>
        </is>
      </c>
      <c r="B6" s="4" t="n">
        <v>998646</v>
      </c>
      <c r="C6" s="4" t="n">
        <v>981103</v>
      </c>
      <c r="D6" s="4" t="n">
        <v>941014</v>
      </c>
      <c r="E6" s="4" t="n">
        <v>874059</v>
      </c>
      <c r="F6" s="4" t="n">
        <v>1013524</v>
      </c>
      <c r="G6" s="35">
        <f>SUM(B6:F6)</f>
        <v/>
      </c>
      <c r="H6" s="4" t="n">
        <v>1221518</v>
      </c>
      <c r="I6" s="4" t="n">
        <v>994981</v>
      </c>
      <c r="J6" s="4" t="n">
        <v>1007879</v>
      </c>
      <c r="K6" s="4" t="n">
        <v>684964</v>
      </c>
      <c r="L6" s="4" t="n">
        <v>702529</v>
      </c>
      <c r="M6" s="36">
        <f>SUM(H6:L6)</f>
        <v/>
      </c>
      <c r="N6" s="19">
        <f>(M6-G6)/G6</f>
        <v/>
      </c>
      <c r="O6" s="41" t="inlineStr">
        <is>
          <t>DECLIVE</t>
        </is>
      </c>
    </row>
    <row r="7">
      <c r="A7" s="20" t="inlineStr">
        <is>
          <t>DN (F. Martínez)</t>
        </is>
      </c>
      <c r="B7" s="9" t="n">
        <v>731937</v>
      </c>
      <c r="C7" s="9" t="n">
        <v>656791</v>
      </c>
      <c r="D7" s="9" t="n">
        <v>839747</v>
      </c>
      <c r="E7" s="9" t="n">
        <v>760702</v>
      </c>
      <c r="F7" s="9" t="n">
        <v>872229</v>
      </c>
      <c r="G7" s="38">
        <f>SUM(B7:F7)</f>
        <v/>
      </c>
      <c r="H7" s="9" t="n">
        <v>859832</v>
      </c>
      <c r="I7" s="9" t="n">
        <v>729691</v>
      </c>
      <c r="J7" s="9" t="n">
        <v>741407</v>
      </c>
      <c r="K7" s="9" t="n">
        <v>609175</v>
      </c>
      <c r="L7" s="9" t="n">
        <v>580691</v>
      </c>
      <c r="M7" s="39">
        <f>SUM(H7:L7)</f>
        <v/>
      </c>
      <c r="N7" s="21">
        <f>(M7-G7)/G7</f>
        <v/>
      </c>
      <c r="O7" s="42" t="inlineStr">
        <is>
          <t>DECLIVE</t>
        </is>
      </c>
    </row>
    <row r="8">
      <c r="A8" s="17" t="inlineStr">
        <is>
          <t>Cristiano (Trad.)</t>
        </is>
      </c>
      <c r="B8" s="4" t="n">
        <v>143439</v>
      </c>
      <c r="C8" s="4" t="n">
        <v>298629</v>
      </c>
      <c r="D8" s="4" t="n">
        <v>341794</v>
      </c>
      <c r="E8" s="4" t="n">
        <v>291555</v>
      </c>
      <c r="F8" s="4" t="n">
        <v>502060</v>
      </c>
      <c r="G8" s="35">
        <f>SUM(B8:F8)</f>
        <v/>
      </c>
      <c r="H8" s="4" t="n">
        <v>401895</v>
      </c>
      <c r="I8" s="4" t="n">
        <v>281509</v>
      </c>
      <c r="J8" s="4" t="n">
        <v>238161</v>
      </c>
      <c r="K8" s="4" t="n">
        <v>165922</v>
      </c>
      <c r="L8" s="4" t="n">
        <v>275054</v>
      </c>
      <c r="M8" s="36">
        <f>SUM(H8:L8)</f>
        <v/>
      </c>
      <c r="N8" s="19">
        <f>(M8-G8)/G8</f>
        <v/>
      </c>
      <c r="O8" s="41" t="inlineStr">
        <is>
          <t>DECLIVE</t>
        </is>
      </c>
    </row>
    <row r="9">
      <c r="A9" s="20" t="inlineStr">
        <is>
          <t>BC (Pimentel)</t>
        </is>
      </c>
      <c r="B9" s="9" t="n">
        <v>561624</v>
      </c>
      <c r="C9" s="9" t="n">
        <v>497810</v>
      </c>
      <c r="D9" s="9" t="n">
        <v>508079</v>
      </c>
      <c r="E9" s="9" t="n">
        <v>419802</v>
      </c>
      <c r="F9" s="9" t="n">
        <v>541511</v>
      </c>
      <c r="G9" s="38">
        <f>SUM(B9:F9)</f>
        <v/>
      </c>
      <c r="H9" s="9" t="n">
        <v>339440</v>
      </c>
      <c r="I9" s="9" t="n">
        <v>307547</v>
      </c>
      <c r="J9" s="9" t="n">
        <v>324475</v>
      </c>
      <c r="K9" s="9" t="n">
        <v>302755</v>
      </c>
      <c r="L9" s="9" t="n">
        <v>284433</v>
      </c>
      <c r="M9" s="39">
        <f>SUM(H9:L9)</f>
        <v/>
      </c>
      <c r="N9" s="21">
        <f>(M9-G9)/G9</f>
        <v/>
      </c>
      <c r="O9" s="42" t="inlineStr">
        <is>
          <t>DECLIVE</t>
        </is>
      </c>
    </row>
    <row r="10">
      <c r="A10" s="23" t="inlineStr">
        <is>
          <t>TOTAL</t>
        </is>
      </c>
      <c r="B10" s="24">
        <f>SUM(B2:B9)</f>
        <v/>
      </c>
      <c r="C10" s="24">
        <f>SUM(C2:C9)</f>
        <v/>
      </c>
      <c r="D10" s="24">
        <f>SUM(D2:D9)</f>
        <v/>
      </c>
      <c r="E10" s="24">
        <f>SUM(E2:E9)</f>
        <v/>
      </c>
      <c r="F10" s="24">
        <f>SUM(F2:F9)</f>
        <v/>
      </c>
      <c r="G10" s="24">
        <f>SUM(G2:G9)</f>
        <v/>
      </c>
      <c r="H10" s="24">
        <f>SUM(H2:H9)</f>
        <v/>
      </c>
      <c r="I10" s="24">
        <f>SUM(I2:I9)</f>
        <v/>
      </c>
      <c r="J10" s="24">
        <f>SUM(J2:J9)</f>
        <v/>
      </c>
      <c r="K10" s="24">
        <f>SUM(K2:K9)</f>
        <v/>
      </c>
      <c r="L10" s="24">
        <f>SUM(L2:L9)</f>
        <v/>
      </c>
      <c r="M10" s="24">
        <f>SUM(M2:M9)</f>
        <v/>
      </c>
      <c r="N10" s="25">
        <f>(M10-G10)/G10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Año</t>
        </is>
      </c>
      <c r="B1" s="1" t="inlineStr">
        <is>
          <t>Enero</t>
        </is>
      </c>
      <c r="C1" s="1" t="inlineStr">
        <is>
          <t>Febrero</t>
        </is>
      </c>
      <c r="D1" s="1" t="inlineStr">
        <is>
          <t>Marzo</t>
        </is>
      </c>
      <c r="E1" s="1" t="inlineStr">
        <is>
          <t>Abril</t>
        </is>
      </c>
      <c r="F1" s="1" t="inlineStr">
        <is>
          <t>Mayo</t>
        </is>
      </c>
      <c r="G1" s="1" t="inlineStr">
        <is>
          <t>Promedio</t>
        </is>
      </c>
    </row>
    <row r="2">
      <c r="A2" s="43" t="n">
        <v>2025</v>
      </c>
      <c r="B2" s="4" t="n">
        <v>9738</v>
      </c>
      <c r="C2" s="4" t="n">
        <v>9990</v>
      </c>
      <c r="D2" s="4" t="n">
        <v>10171</v>
      </c>
      <c r="E2" s="4" t="n">
        <v>10228</v>
      </c>
      <c r="F2" s="4" t="n">
        <v>10628</v>
      </c>
      <c r="G2" s="5">
        <f>AVERAGE(B2:F2)</f>
        <v/>
      </c>
    </row>
    <row r="3">
      <c r="A3" s="44" t="n">
        <v>2026</v>
      </c>
      <c r="B3" s="9" t="n">
        <v>10324</v>
      </c>
      <c r="C3" s="9" t="n">
        <v>9614</v>
      </c>
      <c r="D3" s="9" t="n">
        <v>9909</v>
      </c>
      <c r="E3" s="9" t="n">
        <v>8395</v>
      </c>
      <c r="F3" s="9" t="n">
        <v>8094</v>
      </c>
      <c r="G3" s="45">
        <f>AVERAGE(B3:F3)</f>
        <v/>
      </c>
    </row>
    <row r="4">
      <c r="A4" s="15" t="inlineStr">
        <is>
          <t>Diferencia</t>
        </is>
      </c>
      <c r="B4" s="46">
        <f>B3-B2</f>
        <v/>
      </c>
      <c r="C4" s="46">
        <f>C3-C2</f>
        <v/>
      </c>
      <c r="D4" s="46">
        <f>D3-D2</f>
        <v/>
      </c>
      <c r="E4" s="46">
        <f>E3-E2</f>
        <v/>
      </c>
      <c r="F4" s="46">
        <f>F3-F2</f>
        <v/>
      </c>
      <c r="G4" s="46">
        <f>G3-G2</f>
        <v/>
      </c>
    </row>
    <row r="5">
      <c r="A5" s="15" t="inlineStr">
        <is>
          <t>Var%</t>
        </is>
      </c>
      <c r="B5" s="47">
        <f>(B3-B2)/B2</f>
        <v/>
      </c>
      <c r="C5" s="47">
        <f>(C3-C2)/C2</f>
        <v/>
      </c>
      <c r="D5" s="47">
        <f>(D3-D2)/D2</f>
        <v/>
      </c>
      <c r="E5" s="47">
        <f>(E3-E2)/E2</f>
        <v/>
      </c>
      <c r="F5" s="47">
        <f>(F3-F2)/F2</f>
        <v/>
      </c>
      <c r="G5" s="47">
        <f>(G3-G2)/G2</f>
        <v/>
      </c>
    </row>
    <row r="7">
      <c r="A7" s="26" t="inlineStr">
        <is>
          <t>ACTIVACIONES POR SUPERVISOR</t>
        </is>
      </c>
    </row>
    <row r="8">
      <c r="A8" s="27" t="inlineStr">
        <is>
          <t>Supervisor</t>
        </is>
      </c>
      <c r="B8" s="27" t="inlineStr">
        <is>
          <t>Act. 2025</t>
        </is>
      </c>
      <c r="C8" s="27" t="inlineStr">
        <is>
          <t>Act. 2026</t>
        </is>
      </c>
      <c r="D8" s="27" t="inlineStr">
        <is>
          <t>Var%</t>
        </is>
      </c>
    </row>
    <row r="9">
      <c r="A9" s="8" t="inlineStr">
        <is>
          <t>Sur L. (Piña Bello)</t>
        </is>
      </c>
      <c r="B9" s="9" t="n">
        <v>8793</v>
      </c>
      <c r="C9" s="9" t="n">
        <v>9113</v>
      </c>
      <c r="D9" s="22">
        <f>(C9-B9)/B9</f>
        <v/>
      </c>
    </row>
    <row r="10">
      <c r="A10" s="3" t="inlineStr">
        <is>
          <t>SDE (Pimentel)</t>
        </is>
      </c>
      <c r="B10" s="4" t="n">
        <v>5166</v>
      </c>
      <c r="C10" s="4" t="n">
        <v>9068</v>
      </c>
      <c r="D10" s="18">
        <f>(C10-B10)/B10</f>
        <v/>
      </c>
    </row>
    <row r="11">
      <c r="A11" s="8" t="inlineStr">
        <is>
          <t>Sur Corto (SC)</t>
        </is>
      </c>
      <c r="B11" s="9" t="n">
        <v>7167</v>
      </c>
      <c r="C11" s="9" t="n">
        <v>7385</v>
      </c>
      <c r="D11" s="22">
        <f>(C11-B11)/B11</f>
        <v/>
      </c>
    </row>
    <row r="12">
      <c r="A12" s="3" t="inlineStr">
        <is>
          <t>SDN (Valenzuela)</t>
        </is>
      </c>
      <c r="B12" s="4" t="n">
        <v>7158</v>
      </c>
      <c r="C12" s="4" t="n">
        <v>6479</v>
      </c>
      <c r="D12" s="19">
        <f>(C12-B12)/B12</f>
        <v/>
      </c>
    </row>
    <row r="13">
      <c r="A13" s="8" t="inlineStr">
        <is>
          <t>SDO (F. Martínez)</t>
        </is>
      </c>
      <c r="B13" s="9" t="n">
        <v>7743</v>
      </c>
      <c r="C13" s="9" t="n">
        <v>6583</v>
      </c>
      <c r="D13" s="21">
        <f>(C13-B13)/B13</f>
        <v/>
      </c>
    </row>
    <row r="14">
      <c r="A14" s="3" t="inlineStr">
        <is>
          <t>DN (F. Martínez)</t>
        </is>
      </c>
      <c r="B14" s="4" t="n">
        <v>6941</v>
      </c>
      <c r="C14" s="4" t="n">
        <v>4367</v>
      </c>
      <c r="D14" s="19">
        <f>(C14-B14)/B14</f>
        <v/>
      </c>
    </row>
    <row r="15">
      <c r="A15" s="8" t="inlineStr">
        <is>
          <t>BC (Pimentel)</t>
        </is>
      </c>
      <c r="B15" s="9" t="n">
        <v>4092</v>
      </c>
      <c r="C15" s="9" t="n">
        <v>2198</v>
      </c>
      <c r="D15" s="21">
        <f>(C15-B15)/B15</f>
        <v/>
      </c>
    </row>
    <row r="16">
      <c r="A16" s="3" t="inlineStr">
        <is>
          <t>Cristiano (Trad.)</t>
        </is>
      </c>
      <c r="B16" s="4" t="n">
        <v>157</v>
      </c>
      <c r="C16" s="4" t="n">
        <v>158</v>
      </c>
      <c r="D16" s="18">
        <f>(C16-B16)/B16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Ruta</t>
        </is>
      </c>
      <c r="B1" s="1" t="inlineStr">
        <is>
          <t>Supervisor</t>
        </is>
      </c>
      <c r="C1" s="1" t="inlineStr">
        <is>
          <t>Asignados</t>
        </is>
      </c>
      <c r="D1" s="1" t="inlineStr">
        <is>
          <t>Comp.2025</t>
        </is>
      </c>
      <c r="E1" s="1" t="inlineStr">
        <is>
          <t>Efect.2025</t>
        </is>
      </c>
      <c r="F1" s="1" t="inlineStr">
        <is>
          <t>Comp.2026</t>
        </is>
      </c>
      <c r="G1" s="1" t="inlineStr">
        <is>
          <t>Efect.2026</t>
        </is>
      </c>
      <c r="H1" s="1" t="inlineStr">
        <is>
          <t>Var pp</t>
        </is>
      </c>
    </row>
    <row r="2">
      <c r="A2" s="3" t="inlineStr">
        <is>
          <t>132</t>
        </is>
      </c>
      <c r="B2" s="3" t="inlineStr">
        <is>
          <t>Narciso Piña Bello (Sur L)</t>
        </is>
      </c>
      <c r="C2" s="4" t="n">
        <v>402</v>
      </c>
      <c r="D2" s="4" t="n">
        <v>395</v>
      </c>
      <c r="E2" s="48" t="n">
        <v>0.983</v>
      </c>
      <c r="F2" s="4" t="n">
        <v>402</v>
      </c>
      <c r="G2" s="48" t="n">
        <v>1</v>
      </c>
      <c r="H2" s="18" t="n">
        <v>0.01700000000000003</v>
      </c>
    </row>
    <row r="3">
      <c r="A3" s="8" t="inlineStr">
        <is>
          <t>129</t>
        </is>
      </c>
      <c r="B3" s="8" t="inlineStr">
        <is>
          <t>Narciso Piña Bello (Sur L)</t>
        </is>
      </c>
      <c r="C3" s="9" t="n">
        <v>395</v>
      </c>
      <c r="D3" s="9" t="n">
        <v>406</v>
      </c>
      <c r="E3" s="49" t="n">
        <v>1</v>
      </c>
      <c r="F3" s="9" t="n">
        <v>388</v>
      </c>
      <c r="G3" s="49" t="n">
        <v>0.982</v>
      </c>
      <c r="H3" s="21" t="n">
        <v>-0.01799999999999997</v>
      </c>
    </row>
    <row r="4">
      <c r="A4" s="3" t="inlineStr">
        <is>
          <t>91</t>
        </is>
      </c>
      <c r="B4" s="3" t="inlineStr">
        <is>
          <t>Fernando Mtz (DN)</t>
        </is>
      </c>
      <c r="C4" s="4" t="n">
        <v>571</v>
      </c>
      <c r="D4" s="4" t="n">
        <v>347</v>
      </c>
      <c r="E4" s="50" t="n">
        <v>0.608</v>
      </c>
      <c r="F4" s="4" t="n">
        <v>560</v>
      </c>
      <c r="G4" s="48" t="n">
        <v>0.981</v>
      </c>
      <c r="H4" s="18" t="n">
        <v>0.373</v>
      </c>
    </row>
    <row r="5">
      <c r="A5" s="8" t="inlineStr">
        <is>
          <t>93</t>
        </is>
      </c>
      <c r="B5" s="8" t="inlineStr">
        <is>
          <t>Fernando Mtz (DN)</t>
        </is>
      </c>
      <c r="C5" s="9" t="n">
        <v>591</v>
      </c>
      <c r="D5" s="9" t="n">
        <v>353</v>
      </c>
      <c r="E5" s="51" t="n">
        <v>0.597</v>
      </c>
      <c r="F5" s="9" t="n">
        <v>559</v>
      </c>
      <c r="G5" s="49" t="n">
        <v>0.946</v>
      </c>
      <c r="H5" s="22" t="n">
        <v>0.3489999999999999</v>
      </c>
    </row>
    <row r="6">
      <c r="A6" s="3" t="inlineStr">
        <is>
          <t>72</t>
        </is>
      </c>
      <c r="B6" s="3" t="inlineStr">
        <is>
          <t>Fernando Mtz (SDO)</t>
        </is>
      </c>
      <c r="C6" s="4" t="n">
        <v>617</v>
      </c>
      <c r="D6" s="4" t="n">
        <v>291</v>
      </c>
      <c r="E6" s="50" t="n">
        <v>0.472</v>
      </c>
      <c r="F6" s="4" t="n">
        <v>583</v>
      </c>
      <c r="G6" s="48" t="n">
        <v>0.945</v>
      </c>
      <c r="H6" s="18" t="n">
        <v>0.473</v>
      </c>
    </row>
    <row r="7">
      <c r="A7" s="8" t="inlineStr">
        <is>
          <t>97</t>
        </is>
      </c>
      <c r="B7" s="8" t="inlineStr">
        <is>
          <t>Ramon Pimentel (SDE)</t>
        </is>
      </c>
      <c r="C7" s="9" t="n">
        <v>588</v>
      </c>
      <c r="D7" s="9" t="n">
        <v>383</v>
      </c>
      <c r="E7" s="51" t="n">
        <v>0.6509999999999999</v>
      </c>
      <c r="F7" s="9" t="n">
        <v>553</v>
      </c>
      <c r="G7" s="49" t="n">
        <v>0.9399999999999999</v>
      </c>
      <c r="H7" s="22" t="n">
        <v>0.289</v>
      </c>
    </row>
    <row r="8">
      <c r="A8" s="3" t="inlineStr">
        <is>
          <t>118</t>
        </is>
      </c>
      <c r="B8" s="3" t="inlineStr">
        <is>
          <t>Narciso Piña Bello (Sur L)</t>
        </is>
      </c>
      <c r="C8" s="4" t="n">
        <v>400</v>
      </c>
      <c r="D8" s="4" t="n">
        <v>0</v>
      </c>
      <c r="E8" s="52" t="n">
        <v>0</v>
      </c>
      <c r="F8" s="4" t="n">
        <v>362</v>
      </c>
      <c r="G8" s="48" t="n">
        <v>0.905</v>
      </c>
      <c r="H8" s="18" t="n">
        <v>0.905</v>
      </c>
    </row>
    <row r="9">
      <c r="A9" s="8" t="inlineStr">
        <is>
          <t>74</t>
        </is>
      </c>
      <c r="B9" s="8" t="inlineStr">
        <is>
          <t>Disponible SC</t>
        </is>
      </c>
      <c r="C9" s="9" t="n">
        <v>472</v>
      </c>
      <c r="D9" s="9" t="n">
        <v>405</v>
      </c>
      <c r="E9" s="49" t="n">
        <v>0.858</v>
      </c>
      <c r="F9" s="9" t="n">
        <v>427</v>
      </c>
      <c r="G9" s="49" t="n">
        <v>0.905</v>
      </c>
      <c r="H9" s="22" t="n">
        <v>0.04700000000000003</v>
      </c>
    </row>
    <row r="10">
      <c r="A10" s="3" t="inlineStr">
        <is>
          <t>43</t>
        </is>
      </c>
      <c r="B10" s="3" t="inlineStr">
        <is>
          <t>Fernando Mtz (SDO)</t>
        </is>
      </c>
      <c r="C10" s="4" t="n">
        <v>600</v>
      </c>
      <c r="D10" s="4" t="n">
        <v>331</v>
      </c>
      <c r="E10" s="50" t="n">
        <v>0.552</v>
      </c>
      <c r="F10" s="4" t="n">
        <v>542</v>
      </c>
      <c r="G10" s="48" t="n">
        <v>0.903</v>
      </c>
      <c r="H10" s="18" t="n">
        <v>0.3509999999999999</v>
      </c>
    </row>
    <row r="11">
      <c r="A11" s="8" t="inlineStr">
        <is>
          <t>50</t>
        </is>
      </c>
      <c r="B11" s="8" t="inlineStr">
        <is>
          <t>Samuel Valenzuela (SDN)</t>
        </is>
      </c>
      <c r="C11" s="9" t="n">
        <v>489</v>
      </c>
      <c r="D11" s="9" t="n">
        <v>375</v>
      </c>
      <c r="E11" s="49" t="n">
        <v>0.767</v>
      </c>
      <c r="F11" s="9" t="n">
        <v>438</v>
      </c>
      <c r="G11" s="49" t="n">
        <v>0.8959999999999999</v>
      </c>
      <c r="H11" s="22" t="n">
        <v>0.1289999999999999</v>
      </c>
    </row>
    <row r="12">
      <c r="A12" s="3" t="inlineStr">
        <is>
          <t>160</t>
        </is>
      </c>
      <c r="B12" s="3" t="inlineStr">
        <is>
          <t>Disponible SC</t>
        </is>
      </c>
      <c r="C12" s="4" t="n">
        <v>509</v>
      </c>
      <c r="D12" s="4" t="n">
        <v>386</v>
      </c>
      <c r="E12" s="48" t="n">
        <v>0.758</v>
      </c>
      <c r="F12" s="4" t="n">
        <v>449</v>
      </c>
      <c r="G12" s="48" t="n">
        <v>0.882</v>
      </c>
      <c r="H12" s="18" t="n">
        <v>0.1240000000000001</v>
      </c>
    </row>
    <row r="13">
      <c r="A13" s="8" t="inlineStr">
        <is>
          <t>155</t>
        </is>
      </c>
      <c r="B13" s="8" t="inlineStr">
        <is>
          <t>Narciso Piña Bello (Sur L)</t>
        </is>
      </c>
      <c r="C13" s="9" t="n">
        <v>453</v>
      </c>
      <c r="D13" s="9" t="n">
        <v>394</v>
      </c>
      <c r="E13" s="49" t="n">
        <v>0.87</v>
      </c>
      <c r="F13" s="9" t="n">
        <v>396</v>
      </c>
      <c r="G13" s="49" t="n">
        <v>0.8740000000000001</v>
      </c>
      <c r="H13" s="22" t="n">
        <v>0.004000000000000056</v>
      </c>
    </row>
    <row r="14">
      <c r="A14" s="3" t="inlineStr">
        <is>
          <t>56</t>
        </is>
      </c>
      <c r="B14" s="3" t="inlineStr">
        <is>
          <t>Fernando Mtz (SDO)</t>
        </is>
      </c>
      <c r="C14" s="4" t="n">
        <v>617</v>
      </c>
      <c r="D14" s="4" t="n">
        <v>296</v>
      </c>
      <c r="E14" s="50" t="n">
        <v>0.48</v>
      </c>
      <c r="F14" s="4" t="n">
        <v>538</v>
      </c>
      <c r="G14" s="48" t="n">
        <v>0.872</v>
      </c>
      <c r="H14" s="18" t="n">
        <v>0.392</v>
      </c>
    </row>
    <row r="15">
      <c r="A15" s="8" t="inlineStr">
        <is>
          <t>70</t>
        </is>
      </c>
      <c r="B15" s="8" t="inlineStr">
        <is>
          <t>Fernando Mtz (SDO)</t>
        </is>
      </c>
      <c r="C15" s="9" t="n">
        <v>571</v>
      </c>
      <c r="D15" s="9" t="n">
        <v>347</v>
      </c>
      <c r="E15" s="51" t="n">
        <v>0.608</v>
      </c>
      <c r="F15" s="9" t="n">
        <v>497</v>
      </c>
      <c r="G15" s="49" t="n">
        <v>0.87</v>
      </c>
      <c r="H15" s="22" t="n">
        <v>0.262</v>
      </c>
    </row>
    <row r="16">
      <c r="A16" s="3" t="inlineStr">
        <is>
          <t>76</t>
        </is>
      </c>
      <c r="B16" s="3" t="inlineStr">
        <is>
          <t>Disponible SC</t>
        </is>
      </c>
      <c r="C16" s="4" t="n">
        <v>503</v>
      </c>
      <c r="D16" s="4" t="n">
        <v>449</v>
      </c>
      <c r="E16" s="48" t="n">
        <v>0.893</v>
      </c>
      <c r="F16" s="4" t="n">
        <v>399</v>
      </c>
      <c r="G16" s="48" t="n">
        <v>0.7929999999999999</v>
      </c>
      <c r="H16" s="19" t="n">
        <v>-0.1</v>
      </c>
    </row>
    <row r="17">
      <c r="A17" s="8" t="inlineStr">
        <is>
          <t>78</t>
        </is>
      </c>
      <c r="B17" s="8" t="inlineStr">
        <is>
          <t>Samuel Valenzuela (SDN)</t>
        </is>
      </c>
      <c r="C17" s="9" t="n">
        <v>485</v>
      </c>
      <c r="D17" s="9" t="n">
        <v>417</v>
      </c>
      <c r="E17" s="49" t="n">
        <v>0.86</v>
      </c>
      <c r="F17" s="9" t="n">
        <v>379</v>
      </c>
      <c r="G17" s="49" t="n">
        <v>0.7809999999999999</v>
      </c>
      <c r="H17" s="21" t="n">
        <v>-0.07900000000000006</v>
      </c>
    </row>
    <row r="18">
      <c r="A18" s="3" t="inlineStr">
        <is>
          <t>102</t>
        </is>
      </c>
      <c r="B18" s="3" t="inlineStr">
        <is>
          <t>Ramon Pimentel (BC)</t>
        </is>
      </c>
      <c r="C18" s="4" t="n">
        <v>609</v>
      </c>
      <c r="D18" s="4" t="n">
        <v>358</v>
      </c>
      <c r="E18" s="50" t="n">
        <v>0.588</v>
      </c>
      <c r="F18" s="4" t="n">
        <v>456</v>
      </c>
      <c r="G18" s="48" t="n">
        <v>0.7490000000000001</v>
      </c>
      <c r="H18" s="18" t="n">
        <v>0.1610000000000001</v>
      </c>
    </row>
    <row r="19">
      <c r="A19" s="8" t="inlineStr">
        <is>
          <t>18</t>
        </is>
      </c>
      <c r="B19" s="8" t="inlineStr">
        <is>
          <t>Samuel Valenzuela (SDN)</t>
        </is>
      </c>
      <c r="C19" s="9" t="n">
        <v>582</v>
      </c>
      <c r="D19" s="9" t="n">
        <v>343</v>
      </c>
      <c r="E19" s="51" t="n">
        <v>0.589</v>
      </c>
      <c r="F19" s="9" t="n">
        <v>327</v>
      </c>
      <c r="G19" s="51" t="n">
        <v>0.5620000000000001</v>
      </c>
      <c r="H19" s="21" t="n">
        <v>-0.02699999999999996</v>
      </c>
    </row>
    <row r="20">
      <c r="A20" s="3" t="inlineStr">
        <is>
          <t>84</t>
        </is>
      </c>
      <c r="B20" s="3" t="inlineStr">
        <is>
          <t>Ramon Pimentel (BC)</t>
        </is>
      </c>
      <c r="C20" s="4" t="n">
        <v>591</v>
      </c>
      <c r="D20" s="4" t="n">
        <v>347</v>
      </c>
      <c r="E20" s="50" t="n">
        <v>0.5870000000000001</v>
      </c>
      <c r="F20" s="4" t="n">
        <v>397</v>
      </c>
      <c r="G20" s="50" t="n">
        <v>0.672</v>
      </c>
      <c r="H20" s="18" t="n">
        <v>0.08500000000000001</v>
      </c>
    </row>
    <row r="21">
      <c r="A21" s="8" t="inlineStr">
        <is>
          <t>106</t>
        </is>
      </c>
      <c r="B21" s="8" t="inlineStr">
        <is>
          <t>Cristiano Perez</t>
        </is>
      </c>
      <c r="C21" s="9" t="n">
        <v>230</v>
      </c>
      <c r="D21" s="9" t="n">
        <v>58</v>
      </c>
      <c r="E21" s="53" t="n">
        <v>0.252</v>
      </c>
      <c r="F21" s="9" t="n">
        <v>62</v>
      </c>
      <c r="G21" s="53" t="n">
        <v>0.27</v>
      </c>
      <c r="H21" s="22" t="n">
        <v>0.01800000000000001</v>
      </c>
    </row>
    <row r="22">
      <c r="A22" s="3" t="inlineStr">
        <is>
          <t>36</t>
        </is>
      </c>
      <c r="B22" s="3" t="inlineStr">
        <is>
          <t>Cristiano Perez</t>
        </is>
      </c>
      <c r="C22" s="4" t="n">
        <v>118</v>
      </c>
      <c r="D22" s="4" t="n">
        <v>10</v>
      </c>
      <c r="E22" s="52" t="n">
        <v>0.08500000000000001</v>
      </c>
      <c r="F22" s="4" t="n">
        <v>15</v>
      </c>
      <c r="G22" s="52" t="n">
        <v>0.127</v>
      </c>
      <c r="H22" s="18" t="n">
        <v>0.042</v>
      </c>
    </row>
    <row r="23">
      <c r="A23" s="8" t="inlineStr">
        <is>
          <t>88</t>
        </is>
      </c>
      <c r="B23" s="8" t="inlineStr">
        <is>
          <t>Narciso Piña Bello (Sur L)</t>
        </is>
      </c>
      <c r="C23" s="9" t="n">
        <v>532</v>
      </c>
      <c r="D23" s="9" t="n">
        <v>379</v>
      </c>
      <c r="E23" s="49" t="n">
        <v>0.7120000000000001</v>
      </c>
      <c r="F23" s="9" t="n">
        <v>0</v>
      </c>
      <c r="G23" s="53" t="n">
        <v>0</v>
      </c>
      <c r="H23" s="21" t="n">
        <v>-0.7120000000000001</v>
      </c>
    </row>
    <row r="24">
      <c r="A24" s="3" t="inlineStr">
        <is>
          <t>6</t>
        </is>
      </c>
      <c r="B24" s="3" t="inlineStr">
        <is>
          <t>Narciso Piña Bello (Sur L)</t>
        </is>
      </c>
      <c r="C24" s="4" t="n">
        <v>471</v>
      </c>
      <c r="D24" s="4" t="n">
        <v>0</v>
      </c>
      <c r="E24" s="52" t="n">
        <v>0</v>
      </c>
      <c r="F24" s="4" t="n">
        <v>0</v>
      </c>
      <c r="G24" s="52" t="n">
        <v>0</v>
      </c>
      <c r="H24" s="18" t="n">
        <v>0</v>
      </c>
    </row>
    <row r="25">
      <c r="A25" s="8" t="inlineStr">
        <is>
          <t>112</t>
        </is>
      </c>
      <c r="B25" s="8" t="inlineStr">
        <is>
          <t>Disponible SC</t>
        </is>
      </c>
      <c r="C25" s="9" t="n">
        <v>573</v>
      </c>
      <c r="D25" s="9" t="n">
        <v>0</v>
      </c>
      <c r="E25" s="53" t="n">
        <v>0</v>
      </c>
      <c r="F25" s="9" t="n">
        <v>0</v>
      </c>
      <c r="G25" s="53" t="n">
        <v>0</v>
      </c>
      <c r="H25" s="22" t="n">
        <v>0</v>
      </c>
    </row>
    <row r="26">
      <c r="A26" s="3" t="inlineStr">
        <is>
          <t>115</t>
        </is>
      </c>
      <c r="B26" s="3" t="inlineStr">
        <is>
          <t>Disponible SC</t>
        </is>
      </c>
      <c r="C26" s="4" t="n">
        <v>501</v>
      </c>
      <c r="D26" s="4" t="n">
        <v>0</v>
      </c>
      <c r="E26" s="52" t="n">
        <v>0</v>
      </c>
      <c r="F26" s="4" t="n">
        <v>0</v>
      </c>
      <c r="G26" s="52" t="n">
        <v>0</v>
      </c>
      <c r="H26" s="18" t="n">
        <v>0</v>
      </c>
    </row>
    <row r="27">
      <c r="A27" s="8" t="inlineStr">
        <is>
          <t>130</t>
        </is>
      </c>
      <c r="B27" s="8" t="inlineStr">
        <is>
          <t>Disponible SC</t>
        </is>
      </c>
      <c r="C27" s="9" t="n">
        <v>511</v>
      </c>
      <c r="D27" s="9" t="n">
        <v>0</v>
      </c>
      <c r="E27" s="53" t="n">
        <v>0</v>
      </c>
      <c r="F27" s="9" t="n">
        <v>0</v>
      </c>
      <c r="G27" s="53" t="n">
        <v>0</v>
      </c>
      <c r="H27" s="22" t="n">
        <v>0</v>
      </c>
    </row>
    <row r="28">
      <c r="A28" s="3" t="inlineStr">
        <is>
          <t>207</t>
        </is>
      </c>
      <c r="B28" s="3" t="inlineStr">
        <is>
          <t>Narciso Piña Bello (Sur L)</t>
        </is>
      </c>
      <c r="C28" s="4" t="n">
        <v>452</v>
      </c>
      <c r="D28" s="4" t="n">
        <v>0</v>
      </c>
      <c r="E28" s="52" t="n">
        <v>0</v>
      </c>
      <c r="F28" s="4" t="n">
        <v>0</v>
      </c>
      <c r="G28" s="52" t="n">
        <v>0</v>
      </c>
      <c r="H28" s="18" t="n">
        <v>0</v>
      </c>
    </row>
    <row r="29">
      <c r="A29" s="8" t="inlineStr">
        <is>
          <t>206</t>
        </is>
      </c>
      <c r="B29" s="8" t="inlineStr">
        <is>
          <t>Narciso Piña Bello (Sur L)</t>
        </is>
      </c>
      <c r="C29" s="9" t="n">
        <v>401</v>
      </c>
      <c r="D29" s="9" t="n">
        <v>0</v>
      </c>
      <c r="E29" s="53" t="n">
        <v>0</v>
      </c>
      <c r="F29" s="9" t="n">
        <v>0</v>
      </c>
      <c r="G29" s="53" t="n">
        <v>0</v>
      </c>
      <c r="H29" s="22" t="n">
        <v>0</v>
      </c>
    </row>
    <row r="30">
      <c r="A30" s="3" t="inlineStr">
        <is>
          <t>157</t>
        </is>
      </c>
      <c r="B30" s="3" t="inlineStr">
        <is>
          <t>Narciso Piña Bello (Sur L)</t>
        </is>
      </c>
      <c r="C30" s="4" t="n">
        <v>394</v>
      </c>
      <c r="D30" s="4" t="n">
        <v>0</v>
      </c>
      <c r="E30" s="52" t="n">
        <v>0</v>
      </c>
      <c r="F30" s="4" t="n">
        <v>0</v>
      </c>
      <c r="G30" s="52" t="n">
        <v>0</v>
      </c>
      <c r="H30" s="18" t="n">
        <v>0</v>
      </c>
    </row>
    <row r="31">
      <c r="A31" s="8" t="inlineStr">
        <is>
          <t>158</t>
        </is>
      </c>
      <c r="B31" s="8" t="inlineStr">
        <is>
          <t>Narciso Piña Bello (Sur L)</t>
        </is>
      </c>
      <c r="C31" s="9" t="n">
        <v>395</v>
      </c>
      <c r="D31" s="9" t="n">
        <v>0</v>
      </c>
      <c r="E31" s="53" t="n">
        <v>0</v>
      </c>
      <c r="F31" s="9" t="n">
        <v>0</v>
      </c>
      <c r="G31" s="53" t="n">
        <v>0</v>
      </c>
      <c r="H31" s="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Canal</t>
        </is>
      </c>
      <c r="B1" s="1" t="inlineStr">
        <is>
          <t>Tamaño</t>
        </is>
      </c>
      <c r="C1" s="1" t="inlineStr">
        <is>
          <t>Ventas 2025</t>
        </is>
      </c>
      <c r="D1" s="1" t="inlineStr">
        <is>
          <t>Ventas 2026</t>
        </is>
      </c>
      <c r="E1" s="1" t="inlineStr">
        <is>
          <t>Var%</t>
        </is>
      </c>
      <c r="F1" s="1" t="inlineStr">
        <is>
          <t>Act. 2025</t>
        </is>
      </c>
      <c r="G1" s="1" t="inlineStr">
        <is>
          <t>Act. 2026</t>
        </is>
      </c>
      <c r="H1" s="1" t="inlineStr">
        <is>
          <t>Var% Act.</t>
        </is>
      </c>
    </row>
    <row r="2">
      <c r="A2" s="3" t="inlineStr">
        <is>
          <t>Colmados</t>
        </is>
      </c>
      <c r="B2" s="3" t="inlineStr">
        <is>
          <t>A Grande</t>
        </is>
      </c>
      <c r="C2" s="4" t="n">
        <v>12157847</v>
      </c>
      <c r="D2" s="4" t="n">
        <v>12672803</v>
      </c>
      <c r="E2" s="18">
        <f>(D2-C2)/C2</f>
        <v/>
      </c>
      <c r="F2" s="4" t="n">
        <v>3414</v>
      </c>
      <c r="G2" s="4" t="n">
        <v>3330</v>
      </c>
      <c r="H2" s="19">
        <f>(G2-F2)/F2</f>
        <v/>
      </c>
    </row>
    <row r="3">
      <c r="A3" s="8" t="inlineStr">
        <is>
          <t>Colmados</t>
        </is>
      </c>
      <c r="B3" s="8" t="inlineStr">
        <is>
          <t>B Mediano</t>
        </is>
      </c>
      <c r="C3" s="9" t="n">
        <v>11684229</v>
      </c>
      <c r="D3" s="9" t="n">
        <v>12727063</v>
      </c>
      <c r="E3" s="22">
        <f>(D3-C3)/C3</f>
        <v/>
      </c>
      <c r="F3" s="9" t="n">
        <v>5745</v>
      </c>
      <c r="G3" s="9" t="n">
        <v>5509</v>
      </c>
      <c r="H3" s="21">
        <f>(G3-F3)/F3</f>
        <v/>
      </c>
    </row>
    <row r="4">
      <c r="A4" s="3" t="inlineStr">
        <is>
          <t>Colmados</t>
        </is>
      </c>
      <c r="B4" s="3" t="inlineStr">
        <is>
          <t>C Pequeño</t>
        </is>
      </c>
      <c r="C4" s="4" t="n">
        <v>4495610</v>
      </c>
      <c r="D4" s="4" t="n">
        <v>4911609</v>
      </c>
      <c r="E4" s="18">
        <f>(D4-C4)/C4</f>
        <v/>
      </c>
      <c r="F4" s="4" t="n">
        <v>3037</v>
      </c>
      <c r="G4" s="4" t="n">
        <v>2996</v>
      </c>
      <c r="H4" s="19">
        <f>(G4-F4)/F4</f>
        <v/>
      </c>
    </row>
    <row r="5">
      <c r="A5" s="8" t="inlineStr">
        <is>
          <t>Colmados</t>
        </is>
      </c>
      <c r="B5" s="8" t="inlineStr">
        <is>
          <t>D1 Muy Pequeño</t>
        </is>
      </c>
      <c r="C5" s="9" t="n">
        <v>2502871</v>
      </c>
      <c r="D5" s="9" t="n">
        <v>2718670</v>
      </c>
      <c r="E5" s="22">
        <f>(D5-C5)/C5</f>
        <v/>
      </c>
      <c r="F5" s="9" t="n">
        <v>2010</v>
      </c>
      <c r="G5" s="9" t="n">
        <v>1804</v>
      </c>
      <c r="H5" s="21">
        <f>(G5-F5)/F5</f>
        <v/>
      </c>
    </row>
    <row r="6">
      <c r="A6" s="3" t="inlineStr">
        <is>
          <t>Colmados</t>
        </is>
      </c>
      <c r="B6" s="3" t="inlineStr">
        <is>
          <t>D2 Muy Pequeño</t>
        </is>
      </c>
      <c r="C6" s="4" t="n">
        <v>1223597</v>
      </c>
      <c r="D6" s="4" t="n">
        <v>1497492</v>
      </c>
      <c r="E6" s="18">
        <f>(D6-C6)/C6</f>
        <v/>
      </c>
      <c r="F6" s="4" t="n">
        <v>1572</v>
      </c>
      <c r="G6" s="4" t="n">
        <v>1329</v>
      </c>
      <c r="H6" s="19">
        <f>(G6-F6)/F6</f>
        <v/>
      </c>
    </row>
    <row r="7">
      <c r="A7" s="8" t="inlineStr">
        <is>
          <t>Colmados</t>
        </is>
      </c>
      <c r="B7" s="8" t="inlineStr">
        <is>
          <t>D4 Muy Pequeño</t>
        </is>
      </c>
      <c r="C7" s="9" t="n">
        <v>610320</v>
      </c>
      <c r="D7" s="9" t="n">
        <v>698624</v>
      </c>
      <c r="E7" s="22">
        <f>(D7-C7)/C7</f>
        <v/>
      </c>
      <c r="F7" s="9" t="n">
        <v>1145</v>
      </c>
      <c r="G7" s="9" t="n">
        <v>747</v>
      </c>
      <c r="H7" s="21">
        <f>(G7-F7)/F7</f>
        <v/>
      </c>
    </row>
    <row r="8">
      <c r="A8" s="3" t="inlineStr">
        <is>
          <t>Colmados</t>
        </is>
      </c>
      <c r="B8" s="3" t="inlineStr">
        <is>
          <t>D3 Muy Pequeño</t>
        </is>
      </c>
      <c r="C8" s="4" t="n">
        <v>182002</v>
      </c>
      <c r="D8" s="4" t="n">
        <v>401155</v>
      </c>
      <c r="E8" s="18">
        <f>(D8-C8)/C8</f>
        <v/>
      </c>
      <c r="F8" s="4" t="n">
        <v>315</v>
      </c>
      <c r="G8" s="4" t="n">
        <v>347</v>
      </c>
      <c r="H8" s="18">
        <f>(G8-F8)/F8</f>
        <v/>
      </c>
    </row>
    <row r="9">
      <c r="A9" s="8" t="inlineStr">
        <is>
          <t>Almacenes</t>
        </is>
      </c>
      <c r="B9" s="8" t="inlineStr">
        <is>
          <t>A Grande</t>
        </is>
      </c>
      <c r="C9" s="9" t="n">
        <v>3475226</v>
      </c>
      <c r="D9" s="9" t="n">
        <v>4573699</v>
      </c>
      <c r="E9" s="22">
        <f>(D9-C9)/C9</f>
        <v/>
      </c>
      <c r="F9" s="9" t="n">
        <v>150</v>
      </c>
      <c r="G9" s="9" t="n">
        <v>153</v>
      </c>
      <c r="H9" s="22">
        <f>(G9-F9)/F9</f>
        <v/>
      </c>
    </row>
    <row r="10">
      <c r="A10" s="3" t="inlineStr">
        <is>
          <t>Almacenes</t>
        </is>
      </c>
      <c r="B10" s="3" t="inlineStr">
        <is>
          <t>B Mediano</t>
        </is>
      </c>
      <c r="C10" s="4" t="n">
        <v>195331</v>
      </c>
      <c r="D10" s="4" t="n">
        <v>23174</v>
      </c>
      <c r="E10" s="19">
        <f>(D10-C10)/C10</f>
        <v/>
      </c>
      <c r="F10" s="4" t="n">
        <v>5</v>
      </c>
      <c r="G10" s="4" t="n">
        <v>2</v>
      </c>
      <c r="H10" s="19">
        <f>(G10-F10)/F10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  <col width="12" customWidth="1" min="4" max="4"/>
    <col width="22" customWidth="1" min="5" max="5"/>
    <col width="14" customWidth="1" min="6" max="6"/>
    <col width="12" customWidth="1" min="7" max="7"/>
  </cols>
  <sheetData>
    <row r="1" ht="30" customHeight="1">
      <c r="A1" s="1" t="inlineStr">
        <is>
          <t>#</t>
        </is>
      </c>
      <c r="B1" s="1" t="inlineStr">
        <is>
          <t>Iniciativa</t>
        </is>
      </c>
      <c r="C1" s="1" t="inlineStr">
        <is>
          <t>Descripción</t>
        </is>
      </c>
      <c r="D1" s="1" t="inlineStr">
        <is>
          <t>Prioridad</t>
        </is>
      </c>
      <c r="E1" s="1" t="inlineStr">
        <is>
          <t>Responsable</t>
        </is>
      </c>
      <c r="F1" s="1" t="inlineStr">
        <is>
          <t>Fecha Límite</t>
        </is>
      </c>
      <c r="G1" s="1" t="inlineStr">
        <is>
          <t>Estado</t>
        </is>
      </c>
    </row>
    <row r="2" ht="45" customHeight="1">
      <c r="A2" s="54" t="inlineStr">
        <is>
          <t>01</t>
        </is>
      </c>
      <c r="B2" s="55" t="inlineStr">
        <is>
          <t>Detener caída de activaciones</t>
        </is>
      </c>
      <c r="C2" s="55" t="inlineStr">
        <is>
          <t>De 10,324 (ene) a 8,094 (may 2026). Diagnóstico por ruta. Meta: recuperar 1,500 activaciones para Q3.</t>
        </is>
      </c>
      <c r="D2" s="56" t="inlineStr">
        <is>
          <t>CRITICA</t>
        </is>
      </c>
      <c r="E2" s="54" t="inlineStr">
        <is>
          <t>Supervisores</t>
        </is>
      </c>
      <c r="F2" s="54" t="inlineStr">
        <is>
          <t>Jul 2026</t>
        </is>
      </c>
      <c r="G2" s="54" t="inlineStr">
        <is>
          <t>Pendiente</t>
        </is>
      </c>
    </row>
    <row r="3" ht="45" customHeight="1">
      <c r="A3" s="57" t="inlineStr">
        <is>
          <t>02</t>
        </is>
      </c>
      <c r="B3" s="58" t="inlineStr">
        <is>
          <t>Reactivar BC / SDO / DN / Cristiano</t>
        </is>
      </c>
      <c r="C3" s="58" t="inlineStr">
        <is>
          <t>BC perdió RD$970K vs 2025. SDO y DN bajan mes a mes. Visita de campo + revisión portafolio.</t>
        </is>
      </c>
      <c r="D3" s="59" t="inlineStr">
        <is>
          <t>ALTA</t>
        </is>
      </c>
      <c r="E3" s="57" t="inlineStr">
        <is>
          <t>Gerencia Ventas</t>
        </is>
      </c>
      <c r="F3" s="57" t="inlineStr">
        <is>
          <t>Jul 2026</t>
        </is>
      </c>
      <c r="G3" s="57" t="inlineStr">
        <is>
          <t>Pendiente</t>
        </is>
      </c>
    </row>
    <row r="4" ht="45" customHeight="1">
      <c r="A4" s="54" t="inlineStr">
        <is>
          <t>03</t>
        </is>
      </c>
      <c r="B4" s="55" t="inlineStr">
        <is>
          <t>Sostener impulso Grissly Snack</t>
        </is>
      </c>
      <c r="C4" s="55" t="inlineStr">
        <is>
          <t>Arrancó en RD$1.2M/mes y cayó a RD$749K. POP + ejecución con suplidor antes de perder impulso.</t>
        </is>
      </c>
      <c r="D4" s="60" t="inlineStr">
        <is>
          <t>ALTA</t>
        </is>
      </c>
      <c r="E4" s="54" t="inlineStr">
        <is>
          <t>Gerente Comercial</t>
        </is>
      </c>
      <c r="F4" s="54" t="inlineStr">
        <is>
          <t>Jun 2026</t>
        </is>
      </c>
      <c r="G4" s="54" t="inlineStr">
        <is>
          <t>Pendiente</t>
        </is>
      </c>
    </row>
    <row r="5" ht="45" customHeight="1">
      <c r="A5" s="57" t="inlineStr">
        <is>
          <t>04</t>
        </is>
      </c>
      <c r="B5" s="58" t="inlineStr">
        <is>
          <t>Fortalecer Sur L. / SDE / Sur Corto</t>
        </is>
      </c>
      <c r="C5" s="58" t="inlineStr">
        <is>
          <t>Zonas crecientes concentran &gt;60% volumen. No modificar rutas exitosas. Replicar prácticas.</t>
        </is>
      </c>
      <c r="D5" s="61" t="inlineStr">
        <is>
          <t>MEDIA</t>
        </is>
      </c>
      <c r="E5" s="57" t="inlineStr">
        <is>
          <t>Supervisores</t>
        </is>
      </c>
      <c r="F5" s="57" t="inlineStr">
        <is>
          <t>Continuo</t>
        </is>
      </c>
      <c r="G5" s="57" t="inlineStr">
        <is>
          <t>En curso</t>
        </is>
      </c>
    </row>
    <row r="6" ht="45" customHeight="1">
      <c r="A6" s="54" t="inlineStr">
        <is>
          <t>05</t>
        </is>
      </c>
      <c r="B6" s="55" t="inlineStr">
        <is>
          <t>Activar 12 rutas con 0% Colombina</t>
        </is>
      </c>
      <c r="C6" s="55" t="inlineStr">
        <is>
          <t>~5,200 clientes sin venta. Plan focal con Colombina para activar estos clientes.</t>
        </is>
      </c>
      <c r="D6" s="60" t="inlineStr">
        <is>
          <t>ALTA</t>
        </is>
      </c>
      <c r="E6" s="54" t="inlineStr">
        <is>
          <t>Supervisores + Colombina</t>
        </is>
      </c>
      <c r="F6" s="54" t="inlineStr">
        <is>
          <t>Jul 2026</t>
        </is>
      </c>
      <c r="G6" s="54" t="inlineStr">
        <is>
          <t>Pendiente</t>
        </is>
      </c>
    </row>
    <row r="7" ht="45" customHeight="1">
      <c r="A7" s="57" t="inlineStr">
        <is>
          <t>06</t>
        </is>
      </c>
      <c r="B7" s="58" t="inlineStr">
        <is>
          <t>Elevar ticket B Mediano y C Pequeño</t>
        </is>
      </c>
      <c r="C7" s="58" t="inlineStr">
        <is>
          <t>Drop size subió pero activaciones cayeron. Combos y cross-sell para sostener ticket y recuperar volumen.</t>
        </is>
      </c>
      <c r="D7" s="61" t="inlineStr">
        <is>
          <t>MEDIA</t>
        </is>
      </c>
      <c r="E7" s="57" t="inlineStr">
        <is>
          <t>Supervisores</t>
        </is>
      </c>
      <c r="F7" s="57" t="inlineStr">
        <is>
          <t>Ago 2026</t>
        </is>
      </c>
      <c r="G7" s="57" t="inlineStr">
        <is>
          <t>Pendiente</t>
        </is>
      </c>
    </row>
    <row r="8" ht="45" customHeight="1">
      <c r="A8" s="54" t="inlineStr">
        <is>
          <t>07</t>
        </is>
      </c>
      <c r="B8" s="55" t="inlineStr">
        <is>
          <t>Monitoreo estacional Jun–Ago</t>
        </is>
      </c>
      <c r="C8" s="55" t="inlineStr">
        <is>
          <t>Vacaciones escolares: riesgo en Bolones, Paletas y Chocolatería. Monitoreo semanal por zona.</t>
        </is>
      </c>
      <c r="D8" s="62" t="inlineStr">
        <is>
          <t>MEDIA</t>
        </is>
      </c>
      <c r="E8" s="54" t="inlineStr">
        <is>
          <t>Gerencia Ventas</t>
        </is>
      </c>
      <c r="F8" s="54" t="inlineStr">
        <is>
          <t>Jun-Ago 2026</t>
        </is>
      </c>
      <c r="G8" s="54" t="inlineStr">
        <is>
          <t>Planificar</t>
        </is>
      </c>
    </row>
    <row r="9" ht="45" customHeight="1">
      <c r="A9" s="57" t="inlineStr">
        <is>
          <t>08</t>
        </is>
      </c>
      <c r="B9" s="58" t="inlineStr">
        <is>
          <t>Revisión portafolio Car. Duros y Gomas</t>
        </is>
      </c>
      <c r="C9" s="58" t="inlineStr">
        <is>
          <t>Car. Duros -7%, Gomas -21% vs 2025. Diagnosticar precio vs competencia. Acciones con Colombina.</t>
        </is>
      </c>
      <c r="D9" s="63" t="inlineStr">
        <is>
          <t>BAJA</t>
        </is>
      </c>
      <c r="E9" s="57" t="inlineStr">
        <is>
          <t>Gerente Comercial</t>
        </is>
      </c>
      <c r="F9" s="57" t="inlineStr">
        <is>
          <t>Ago 2026</t>
        </is>
      </c>
      <c r="G9" s="57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2026-06-18T18:44:17Z</dcterms:created>
  <dcterms:modified xsi:type="dcterms:W3CDTF">2026-06-18T18:44:17Z</dcterms:modified>
</cp:coreProperties>
</file>