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Claude/"/>
    </mc:Choice>
  </mc:AlternateContent>
  <xr:revisionPtr revIDLastSave="32" documentId="11_49582F5760A786E715D669DEFF418D523F68A67A" xr6:coauthVersionLast="47" xr6:coauthVersionMax="47" xr10:uidLastSave="{FD1DF90E-9AA0-4BD0-B0AD-39A512EDBF19}"/>
  <bookViews>
    <workbookView xWindow="-108" yWindow="-108" windowWidth="23256" windowHeight="12456" activeTab="1" xr2:uid="{00000000-000D-0000-FFFF-FFFF00000000}"/>
  </bookViews>
  <sheets>
    <sheet name="Clientes Ruta" sheetId="1" r:id="rId1"/>
    <sheet name="Hoja2" sheetId="5" r:id="rId2"/>
    <sheet name="Hoja1" sheetId="4" r:id="rId3"/>
    <sheet name="Ventas Cat &amp; Suplidor" sheetId="2" r:id="rId4"/>
    <sheet name="Resumen Ejecutivo" sheetId="3" r:id="rId5"/>
  </sheets>
  <definedNames>
    <definedName name="_xlnm._FilterDatabase" localSheetId="1" hidden="1">Hoja2!$F$4:$H$80</definedName>
  </definedName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D18" i="1"/>
  <c r="D17" i="1"/>
  <c r="D16" i="1"/>
  <c r="D15" i="1"/>
  <c r="F15" i="3"/>
</calcChain>
</file>

<file path=xl/sharedStrings.xml><?xml version="1.0" encoding="utf-8"?>
<sst xmlns="http://schemas.openxmlformats.org/spreadsheetml/2006/main" count="15053" uniqueCount="615">
  <si>
    <t>RUTA MINIMARKETS &amp; SUPERMERCADOS PEQUEÑOS – SANTO DOMINGO 2026</t>
  </si>
  <si>
    <t>Perfil: Auto Servicio  |  Tipo: Mini Market / Supermercado  |  Filtro: Compran Nosotras  |  Supervisor: Excluye Cristiano</t>
  </si>
  <si>
    <t>IMPORTANTE</t>
  </si>
  <si>
    <t>#</t>
  </si>
  <si>
    <t>COD.CLIENTE</t>
  </si>
  <si>
    <t>CLIENTE</t>
  </si>
  <si>
    <t>TIPO NEGOCIO</t>
  </si>
  <si>
    <t>SEMANA 1</t>
  </si>
  <si>
    <t>SEMANA 2</t>
  </si>
  <si>
    <t>COD.VENDEDOR</t>
  </si>
  <si>
    <t>VENDEDOR</t>
  </si>
  <si>
    <t>COD.SUPERVISOR</t>
  </si>
  <si>
    <t>SUPERVISOR</t>
  </si>
  <si>
    <t>ZONA</t>
  </si>
  <si>
    <t>RUTA</t>
  </si>
  <si>
    <t>PROM.MENSUAL
NOSOTRAS (RD$)</t>
  </si>
  <si>
    <t>MESES
ACTIVOS</t>
  </si>
  <si>
    <t>★ SI</t>
  </si>
  <si>
    <t>Mini Market Galvan</t>
  </si>
  <si>
    <t>MINI MARKET</t>
  </si>
  <si>
    <t>Lunes</t>
  </si>
  <si>
    <t>91</t>
  </si>
  <si>
    <t>Enrrique Morillo (DN)</t>
  </si>
  <si>
    <t>S5</t>
  </si>
  <si>
    <t>Fernando Martinez  (DN)</t>
  </si>
  <si>
    <t>DN013</t>
  </si>
  <si>
    <t>DN6</t>
  </si>
  <si>
    <t>Super Mercado La Ballena</t>
  </si>
  <si>
    <t>SUPERMERCADO</t>
  </si>
  <si>
    <t>Mini Market Familiar</t>
  </si>
  <si>
    <t>Miércoles</t>
  </si>
  <si>
    <t>14</t>
  </si>
  <si>
    <t>Bernabet Reyes</t>
  </si>
  <si>
    <t>P030</t>
  </si>
  <si>
    <t>DN4</t>
  </si>
  <si>
    <t>Mini Market Isamal Comercial</t>
  </si>
  <si>
    <t>8</t>
  </si>
  <si>
    <t>Daniel Gutierrez</t>
  </si>
  <si>
    <t>P016</t>
  </si>
  <si>
    <t>DN3</t>
  </si>
  <si>
    <t>Mini Market  Shairelys</t>
  </si>
  <si>
    <t>Viernes</t>
  </si>
  <si>
    <t>60</t>
  </si>
  <si>
    <t>Martina Ramirez</t>
  </si>
  <si>
    <t>P002</t>
  </si>
  <si>
    <t>DN5</t>
  </si>
  <si>
    <t>Mini Market Shairelys SRL</t>
  </si>
  <si>
    <t>Mini Market El patron 3.</t>
  </si>
  <si>
    <t>72</t>
  </si>
  <si>
    <t>Carla Valdez (WC)</t>
  </si>
  <si>
    <t>S2</t>
  </si>
  <si>
    <t>Fernando Martinez (SDO)</t>
  </si>
  <si>
    <t>P011</t>
  </si>
  <si>
    <t>SDO7</t>
  </si>
  <si>
    <t>Mini Market Gracia Divina</t>
  </si>
  <si>
    <t>Jueves</t>
  </si>
  <si>
    <t>SinAsignar</t>
  </si>
  <si>
    <t>70</t>
  </si>
  <si>
    <t>Dilcio Navarro</t>
  </si>
  <si>
    <t>P006</t>
  </si>
  <si>
    <t>SDO2</t>
  </si>
  <si>
    <t>Surtidor  el Brisal</t>
  </si>
  <si>
    <t>Sábado</t>
  </si>
  <si>
    <t>94</t>
  </si>
  <si>
    <t>Vicente Cruz</t>
  </si>
  <si>
    <t>P009</t>
  </si>
  <si>
    <t>SDO6</t>
  </si>
  <si>
    <t>Asociacion De Detallistas Unidos De Mendoza</t>
  </si>
  <si>
    <t>11</t>
  </si>
  <si>
    <t>Yeuri Montaño</t>
  </si>
  <si>
    <t>S1</t>
  </si>
  <si>
    <t>Ramon E. Pimentel (SDE)</t>
  </si>
  <si>
    <t>P027</t>
  </si>
  <si>
    <t>SDE1</t>
  </si>
  <si>
    <t>VENTAS PROMEDIO MENSUAL POR CLIENTE, CATEGORÍA Y SUPLIDOR – 2026 (RD$)</t>
  </si>
  <si>
    <t>CATEGORÍA</t>
  </si>
  <si>
    <t>SUPLIDOR</t>
  </si>
  <si>
    <t>PROM.MENSUAL (RD$)</t>
  </si>
  <si>
    <t>MESES CON VENTAS</t>
  </si>
  <si>
    <t>BLANCOX</t>
  </si>
  <si>
    <t>Brinsa Dominicana</t>
  </si>
  <si>
    <t>BOLONES</t>
  </si>
  <si>
    <t>COLOMBINA</t>
  </si>
  <si>
    <t>CARAMELOS BLANDOS</t>
  </si>
  <si>
    <t>GALLETERIA</t>
  </si>
  <si>
    <t>NOSOTRAS</t>
  </si>
  <si>
    <t>Continental de Negocios</t>
  </si>
  <si>
    <t>NOSOTRAS DIARIOS</t>
  </si>
  <si>
    <t>PALETAS</t>
  </si>
  <si>
    <t>REFISAL</t>
  </si>
  <si>
    <t>INSECTICIDAS</t>
  </si>
  <si>
    <t>Comercial Fila</t>
  </si>
  <si>
    <t>CARAMELOS DUROS</t>
  </si>
  <si>
    <t>CHOCOLATERIA</t>
  </si>
  <si>
    <t>DIMAR</t>
  </si>
  <si>
    <t>DIMAR DOMINICANA</t>
  </si>
  <si>
    <t>FAMILIA</t>
  </si>
  <si>
    <t>Ofertas de Temporada</t>
  </si>
  <si>
    <t>Snack</t>
  </si>
  <si>
    <t>Corporacion Poiroto SRL</t>
  </si>
  <si>
    <t>AGUA</t>
  </si>
  <si>
    <t>Agua Crystal</t>
  </si>
  <si>
    <t>AMBIENTADORES</t>
  </si>
  <si>
    <t>CONFITERIA CICHLET</t>
  </si>
  <si>
    <t>CONFITERIA GOMAS</t>
  </si>
  <si>
    <t>CUIDADO DE BEBE</t>
  </si>
  <si>
    <t>ILUMINACION</t>
  </si>
  <si>
    <t>AMPOULE</t>
  </si>
  <si>
    <t>SR. COMPADRE</t>
  </si>
  <si>
    <t>F&amp;T Industries, SRL</t>
  </si>
  <si>
    <t>CHUPETIN</t>
  </si>
  <si>
    <t>Grupo Rodriguez Fernandez</t>
  </si>
  <si>
    <t>USO DOMESTICO</t>
  </si>
  <si>
    <t>ETERNA</t>
  </si>
  <si>
    <t>INCONTINENCIA</t>
  </si>
  <si>
    <t>RESUMEN EJECUTIVO – CLIENTES POR DÍA POR SUPERVISOR &amp; COMPRAS PROMEDIO SEMANAL</t>
  </si>
  <si>
    <t>Nota: Promedio Semanal = Promedio Mensual Nosotras ÷ 4 semanas</t>
  </si>
  <si>
    <t>DÍA</t>
  </si>
  <si>
    <t>CLIENTES
SEMANA 1</t>
  </si>
  <si>
    <t>CLIENTES
SEMANA 2</t>
  </si>
  <si>
    <t>CLIENTES
ÚNICOS</t>
  </si>
  <si>
    <t>COMPRA PROM.
SEMANAL (RD$)</t>
  </si>
  <si>
    <t>TOTAL GENERAL</t>
  </si>
  <si>
    <t>CodigoRepartidor</t>
  </si>
  <si>
    <t>TamañoCliente</t>
  </si>
  <si>
    <t>LipCodigo</t>
  </si>
  <si>
    <t>DocNum</t>
  </si>
  <si>
    <t>NombreRepartidor</t>
  </si>
  <si>
    <t>SupervisorRepartidor</t>
  </si>
  <si>
    <t>VenSecuencia</t>
  </si>
  <si>
    <t>VenFecha</t>
  </si>
  <si>
    <t>VenFechaSinHora</t>
  </si>
  <si>
    <t>Año</t>
  </si>
  <si>
    <t>Mes</t>
  </si>
  <si>
    <t>Trimestre</t>
  </si>
  <si>
    <t>TipoVenta</t>
  </si>
  <si>
    <t>Divicion</t>
  </si>
  <si>
    <t>Centro</t>
  </si>
  <si>
    <t>CausaDevolucion</t>
  </si>
  <si>
    <t>MotivoDevolucion</t>
  </si>
  <si>
    <t>Semana</t>
  </si>
  <si>
    <t>dia</t>
  </si>
  <si>
    <t>ClienteCodigo</t>
  </si>
  <si>
    <t>Listaprecio</t>
  </si>
  <si>
    <t>CodigoClienteSap</t>
  </si>
  <si>
    <t>ClienteNombre</t>
  </si>
  <si>
    <t>tindescripcion</t>
  </si>
  <si>
    <t>semana1</t>
  </si>
  <si>
    <t>semana2</t>
  </si>
  <si>
    <t>VendedorRuta</t>
  </si>
  <si>
    <t>ProductoCodigo</t>
  </si>
  <si>
    <t>CodigoProdSap</t>
  </si>
  <si>
    <t>ProductoDescripcion</t>
  </si>
  <si>
    <t>CajasVendidas</t>
  </si>
  <si>
    <t>VentasUnidades</t>
  </si>
  <si>
    <t>PrecioVendido</t>
  </si>
  <si>
    <t>Selectivo</t>
  </si>
  <si>
    <t>Selectivo_Esp</t>
  </si>
  <si>
    <t>Selectivo_AdVal</t>
  </si>
  <si>
    <t>Total_Itbis</t>
  </si>
  <si>
    <t>ValorBruto</t>
  </si>
  <si>
    <t>ValorVenta</t>
  </si>
  <si>
    <t>CodigoVendedor</t>
  </si>
  <si>
    <t>NombreVendedor</t>
  </si>
  <si>
    <t>Ruta</t>
  </si>
  <si>
    <t>VendedorGrupo</t>
  </si>
  <si>
    <t>CodigoCategoria</t>
  </si>
  <si>
    <t>Categoria</t>
  </si>
  <si>
    <t>CodSubCategoria</t>
  </si>
  <si>
    <t>SubCategoria</t>
  </si>
  <si>
    <t>CodigoSupervisor</t>
  </si>
  <si>
    <t>SupervisorVenta</t>
  </si>
  <si>
    <t>Zona</t>
  </si>
  <si>
    <t>Territorio</t>
  </si>
  <si>
    <t>NCFNumero</t>
  </si>
  <si>
    <t>IntroduccionesVentas</t>
  </si>
  <si>
    <t>IndicadorOferta</t>
  </si>
  <si>
    <t>ofeid</t>
  </si>
  <si>
    <t>NombreOferta</t>
  </si>
  <si>
    <t>costo</t>
  </si>
  <si>
    <t>CostoventaUNIDADES</t>
  </si>
  <si>
    <t>CondicionPago</t>
  </si>
  <si>
    <t>Estatus</t>
  </si>
  <si>
    <t>NumeroSAP</t>
  </si>
  <si>
    <t>CanaldeVentas</t>
  </si>
  <si>
    <t>GrupoUnilever</t>
  </si>
  <si>
    <t>A Grande</t>
  </si>
  <si>
    <t>Tony Vallejo</t>
  </si>
  <si>
    <t>Logistica y Distribucion</t>
  </si>
  <si>
    <t>T2</t>
  </si>
  <si>
    <t>General</t>
  </si>
  <si>
    <t>Santo Domnigo</t>
  </si>
  <si>
    <t>CLIENTE NO TIENE DINERO</t>
  </si>
  <si>
    <t>C002280</t>
  </si>
  <si>
    <t>V621008</t>
  </si>
  <si>
    <t>E Raid Fik Frescura de Campo 11 oz.(Amarillo)12/1 - 41709</t>
  </si>
  <si>
    <t>INSECTICIDA RAID</t>
  </si>
  <si>
    <t>Distrito Nacional</t>
  </si>
  <si>
    <t>E340000026414</t>
  </si>
  <si>
    <t>NULL</t>
  </si>
  <si>
    <t xml:space="preserve">CONTADO                                           </t>
  </si>
  <si>
    <t>Almacenes</t>
  </si>
  <si>
    <t>Martin Figueroa</t>
  </si>
  <si>
    <t>Alimentos - Espejo</t>
  </si>
  <si>
    <t>C012191</t>
  </si>
  <si>
    <t>V930021</t>
  </si>
  <si>
    <t>MINIBUM MANGO (16BS/100/4.5g) - 33277</t>
  </si>
  <si>
    <t>E340000026168</t>
  </si>
  <si>
    <t>C014167</t>
  </si>
  <si>
    <t>V621045</t>
  </si>
  <si>
    <t>Baygon Aerosol Verde 285 ML. 12/1 - 323742</t>
  </si>
  <si>
    <t>INSECTICIDA BAIGON</t>
  </si>
  <si>
    <t>E340000025184</t>
  </si>
  <si>
    <t>Juan Rosario</t>
  </si>
  <si>
    <t>PROD. FACTURADO SIN EXISTENCIA FISICA EN ALMACEN</t>
  </si>
  <si>
    <t>c036908</t>
  </si>
  <si>
    <t>V960105</t>
  </si>
  <si>
    <t>ilumia LED Emergency Recargable 12W 6500K - 7464467800406</t>
  </si>
  <si>
    <t>Giancarlo Tavarez</t>
  </si>
  <si>
    <t>SDE2</t>
  </si>
  <si>
    <t>P206</t>
  </si>
  <si>
    <t>Santo Domingo Este</t>
  </si>
  <si>
    <t>E340000021568</t>
  </si>
  <si>
    <t>NEGOCIO CERRADO</t>
  </si>
  <si>
    <t>C029579</t>
  </si>
  <si>
    <t>V611052</t>
  </si>
  <si>
    <t>BLANCOX LIMON FUSION 24X500ML. - 100301004</t>
  </si>
  <si>
    <t>BLANCOX BOTELLA</t>
  </si>
  <si>
    <t>E340000020894</t>
  </si>
  <si>
    <t>V611053</t>
  </si>
  <si>
    <t xml:space="preserve">BLANCOX PODER NAT. TRADICIONAL 24X500ML - </t>
  </si>
  <si>
    <t>V511005</t>
  </si>
  <si>
    <t>BLANCOX DESMANCHADOR ROPA COLOR 12 x 500 ml - 100301009</t>
  </si>
  <si>
    <t>Brailin Peña</t>
  </si>
  <si>
    <t>C037594</t>
  </si>
  <si>
    <t>V621004</t>
  </si>
  <si>
    <t>Baygon Aerosol 400 ML. 12/1 - 220748</t>
  </si>
  <si>
    <t>Benigno Paniagua (T)</t>
  </si>
  <si>
    <t>SDO5</t>
  </si>
  <si>
    <t>P010</t>
  </si>
  <si>
    <t>Santo Domingo Oeste</t>
  </si>
  <si>
    <t>E340000018415</t>
  </si>
  <si>
    <t>T1</t>
  </si>
  <si>
    <t>PEDIDO DUPLICADO POR EL VENDEDOR</t>
  </si>
  <si>
    <t>V930076</t>
  </si>
  <si>
    <t>CRAKEÑAS CLUB IND (24BS/8/24G) - 20186</t>
  </si>
  <si>
    <t>E340000011873</t>
  </si>
  <si>
    <t>CAMION AVERIADO</t>
  </si>
  <si>
    <t>V201001</t>
  </si>
  <si>
    <t>REFISAL FUNDAS REFINADA 25 UNIDS - 100102008</t>
  </si>
  <si>
    <t>Junior M. Ramos (Isaac Maria)</t>
  </si>
  <si>
    <t>DN7</t>
  </si>
  <si>
    <t>REFISAL PACA</t>
  </si>
  <si>
    <t>P007</t>
  </si>
  <si>
    <t>E340000009430</t>
  </si>
  <si>
    <t>V611221</t>
  </si>
  <si>
    <t xml:space="preserve">PALITO DE QUESO 1/36 UDS. RICO PAC 26 GRS. - </t>
  </si>
  <si>
    <t>ALIMENTOS</t>
  </si>
  <si>
    <t>V930045</t>
  </si>
  <si>
    <t>MUUU... CREMADA MAX (24BS/12/34g) - 27107</t>
  </si>
  <si>
    <t>PEDIDO NO REALIZADO POR CLIENTE</t>
  </si>
  <si>
    <t>C019291</t>
  </si>
  <si>
    <t>V800791</t>
  </si>
  <si>
    <t>BBB FRESA JUMBO (25BS/48/20g) - 35490</t>
  </si>
  <si>
    <t>Argelis Salvador (Bido)</t>
  </si>
  <si>
    <t>DN2</t>
  </si>
  <si>
    <t>ALIMENTOS DULCES</t>
  </si>
  <si>
    <t>P003</t>
  </si>
  <si>
    <t>E340000008074</t>
  </si>
  <si>
    <t>ERROR EN LA TOMA DEL PEDIDO</t>
  </si>
  <si>
    <t>C001019</t>
  </si>
  <si>
    <t>v101038</t>
  </si>
  <si>
    <t>NOSOTRAS BUENAS NOCHES TELA 10 X  ( 40 U ) - 200679</t>
  </si>
  <si>
    <t>CUIDADO FEMENINO</t>
  </si>
  <si>
    <t>E340000005487</t>
  </si>
  <si>
    <t>Agustin Luna Valdez</t>
  </si>
  <si>
    <t>V800088</t>
  </si>
  <si>
    <t>NOSOTRAS INVISIBLES (8x60) - 120311</t>
  </si>
  <si>
    <t>E320000066390</t>
  </si>
  <si>
    <t>E320000070795</t>
  </si>
  <si>
    <t>E320000071055</t>
  </si>
  <si>
    <t>V925064</t>
  </si>
  <si>
    <t xml:space="preserve">SARDINAS DIMAR ACEITE PLANA 50/125 GR - </t>
  </si>
  <si>
    <t>ALIMENTOS SARDINAS</t>
  </si>
  <si>
    <t>Juan Alberto Contreras Perez</t>
  </si>
  <si>
    <t>E310000005526</t>
  </si>
  <si>
    <t>V103001</t>
  </si>
  <si>
    <t>PAPEL HIGIENICO FAMILIA AROMA 48X1 - 201873</t>
  </si>
  <si>
    <t>CUIDADO FAMILIAR</t>
  </si>
  <si>
    <t>E310000005527</t>
  </si>
  <si>
    <t>V103113</t>
  </si>
  <si>
    <t>Combo 48 + 10 Familia Aroma - 16611</t>
  </si>
  <si>
    <t>V101124</t>
  </si>
  <si>
    <t>PANI. HUM. PEQUENIN MULTI CUIDADO 24X80 - 200645</t>
  </si>
  <si>
    <t>E320000073043</t>
  </si>
  <si>
    <t>V800089</t>
  </si>
  <si>
    <t>NOSOTRAS PLUS (8 X 60) - 120310</t>
  </si>
  <si>
    <t>Santo Muñoz de Paula</t>
  </si>
  <si>
    <t>C005474</t>
  </si>
  <si>
    <t>E310000005681</t>
  </si>
  <si>
    <t>V611055</t>
  </si>
  <si>
    <t>BLANCOX PODER NATURAL 4X3700ML - 100304001</t>
  </si>
  <si>
    <t>E310000005686</t>
  </si>
  <si>
    <t>E310000005832</t>
  </si>
  <si>
    <t>V800792</t>
  </si>
  <si>
    <t>BBB CHERRY JUMBO (25BS/48/20g) - 35491</t>
  </si>
  <si>
    <t>V930025</t>
  </si>
  <si>
    <t>TIPITIN BESOS (36BS/24/12g) - 34651</t>
  </si>
  <si>
    <t>V101135</t>
  </si>
  <si>
    <t>NOSOTRAS PLUS 8(60MAS 2BN)RD - 202110</t>
  </si>
  <si>
    <t>E320000078085</t>
  </si>
  <si>
    <t>E320000081500</t>
  </si>
  <si>
    <t>V930012</t>
  </si>
  <si>
    <t>COFFEE DELIGHT (16BS/100/3.8g) - 35452</t>
  </si>
  <si>
    <t>E320000081504</t>
  </si>
  <si>
    <t>E320000081522</t>
  </si>
  <si>
    <t>V501000</t>
  </si>
  <si>
    <t xml:space="preserve">BLANCOX  PODER NAT. SACHET 150 ML x 124 unid Display 30 SOBRES (4X1) - </t>
  </si>
  <si>
    <t>BLANCOX SACHET</t>
  </si>
  <si>
    <t>E320000081555</t>
  </si>
  <si>
    <t>V101005</t>
  </si>
  <si>
    <t>NOS. PLUS TELA AJ SEG 30 X 10 - 120308</t>
  </si>
  <si>
    <t>E310000006424</t>
  </si>
  <si>
    <t>V101027</t>
  </si>
  <si>
    <t>NOSOTRAS INVISIBLES 24X10 - 120152</t>
  </si>
  <si>
    <t>V101028</t>
  </si>
  <si>
    <t>NOSOTRAS BUENAS NOCHE NATURAL 18 X (10 U ) - 200678</t>
  </si>
  <si>
    <t>Jose Antonio Figueroa</t>
  </si>
  <si>
    <t>E320000083627</t>
  </si>
  <si>
    <t>V101034</t>
  </si>
  <si>
    <t>NOSOTRAS DIARIOS 10X150 - 40982</t>
  </si>
  <si>
    <t>E310000006591</t>
  </si>
  <si>
    <t>V930023</t>
  </si>
  <si>
    <t>TUTTI FRUTTI MIX  (20BS/240/3.4g) - 33154</t>
  </si>
  <si>
    <t>E320000090339</t>
  </si>
  <si>
    <t>V621049</t>
  </si>
  <si>
    <t>GLADE AEROSOL TROPICAL 8 OZ., 6/1 - 73333</t>
  </si>
  <si>
    <t>GLADE</t>
  </si>
  <si>
    <t>E310000007237</t>
  </si>
  <si>
    <t>V621050</t>
  </si>
  <si>
    <t>GLADE AEROSOL CASHMERE WOODS 8.3 OZ. 6/1 - 346464</t>
  </si>
  <si>
    <t>V621053</t>
  </si>
  <si>
    <t>GLADE AEROSOL LAVENDER &amp; VANILLA 8.3 OZ. 6/1 - 346572</t>
  </si>
  <si>
    <t>V621054</t>
  </si>
  <si>
    <t>GLADE AEROSOL APPLE CINNAMON 8.3 OZ. 6/1 - 346566</t>
  </si>
  <si>
    <t>V621051</t>
  </si>
  <si>
    <t>GLADE AEROSOL CLEAN LINEN 8.3 OZ. 6/1 - 346467</t>
  </si>
  <si>
    <t>V621052</t>
  </si>
  <si>
    <t>GLADE AEROSOL HAWAIIAN BREEZE 8.3 OZ. 6/1 - 346571</t>
  </si>
  <si>
    <t>V925094</t>
  </si>
  <si>
    <t xml:space="preserve">ATUN DIMAR AGUA DESMENUZADO  48/142GR - </t>
  </si>
  <si>
    <t>V925095</t>
  </si>
  <si>
    <t xml:space="preserve">ATUN DIMAR ACEITE DESMENUZADO  48/142GR - </t>
  </si>
  <si>
    <t>E310000007395</t>
  </si>
  <si>
    <t>E320000097607</t>
  </si>
  <si>
    <t>E310000007602</t>
  </si>
  <si>
    <t>E320000099421</t>
  </si>
  <si>
    <t>E310000008300</t>
  </si>
  <si>
    <t>V930113</t>
  </si>
  <si>
    <t>COLOMBINETA CHOCOMANI (25BS/48/24g) - 35007</t>
  </si>
  <si>
    <t>E320000106107</t>
  </si>
  <si>
    <t>V800793</t>
  </si>
  <si>
    <t>BBB STDO JUMBO (25BS/48/20g) - 35492</t>
  </si>
  <si>
    <t>V800796</t>
  </si>
  <si>
    <t>BBB BLACK &amp; BLUE JUMBO (25BS/48/20g) - 35495</t>
  </si>
  <si>
    <t>V930153</t>
  </si>
  <si>
    <t>BON BON BUM CLEAR2 (25BS/48/20g) - 35588</t>
  </si>
  <si>
    <t>V982005</t>
  </si>
  <si>
    <t xml:space="preserve">BOTELLITA AGUA CRYSTAL 0.5 L (1/20) - </t>
  </si>
  <si>
    <t>E310000008497</t>
  </si>
  <si>
    <t>Agua Crystal 8+1/20+3/120+20</t>
  </si>
  <si>
    <t>E310000008664</t>
  </si>
  <si>
    <t>V101026</t>
  </si>
  <si>
    <t>NOSOTRAS DIARIOS 36 X 15 - 202426</t>
  </si>
  <si>
    <t>V930188</t>
  </si>
  <si>
    <t>TIPITIN DOS CORAZONES (15BS/24/12.5g) - 34232</t>
  </si>
  <si>
    <t>E320000110084</t>
  </si>
  <si>
    <t>E320000110121</t>
  </si>
  <si>
    <t>E320000111688</t>
  </si>
  <si>
    <t>AMAURI GIRON OSORIA</t>
  </si>
  <si>
    <t>C001161</t>
  </si>
  <si>
    <t>E310000008809</t>
  </si>
  <si>
    <t>Pablo Garrido Cabrera</t>
  </si>
  <si>
    <t>E320000116431</t>
  </si>
  <si>
    <t>E320000116463</t>
  </si>
  <si>
    <t>E310000009455</t>
  </si>
  <si>
    <t>v104023</t>
  </si>
  <si>
    <t>PANL.TENA SLIP CLASICO / COMFORT M 8X9 - 130006</t>
  </si>
  <si>
    <t>CUIDADO DE ADULTO</t>
  </si>
  <si>
    <t>E320000119237</t>
  </si>
  <si>
    <t>Papel Higienico Familia 24 UND +4UND  Papeles Familia de Ofertas</t>
  </si>
  <si>
    <t>V930112</t>
  </si>
  <si>
    <t>COLOMBINETA YOGURT STDO (25BS/48/24g) - 35006</t>
  </si>
  <si>
    <t>V501137</t>
  </si>
  <si>
    <t>LIMPIAYA ESPONJA DOBLE USO X 1 0622 - 482010622</t>
  </si>
  <si>
    <t>V501139</t>
  </si>
  <si>
    <t>LOTERO ESPIRAL DE ACERO X 12 UNIDADES 9046 - 418009046</t>
  </si>
  <si>
    <t>E310000009527</t>
  </si>
  <si>
    <t>E320000120153</t>
  </si>
  <si>
    <t>V930039</t>
  </si>
  <si>
    <t>NUCITA CREMA (16PL/18/10g) - 30349</t>
  </si>
  <si>
    <t>E320000123233</t>
  </si>
  <si>
    <t>E320000125858</t>
  </si>
  <si>
    <t>Enmanuel Bido (Argelis)</t>
  </si>
  <si>
    <t>DN1</t>
  </si>
  <si>
    <t>P005</t>
  </si>
  <si>
    <t>E320000128034</t>
  </si>
  <si>
    <t>E320000130139</t>
  </si>
  <si>
    <t>E320000130359</t>
  </si>
  <si>
    <t>E320000130387</t>
  </si>
  <si>
    <t>E310000010576</t>
  </si>
  <si>
    <t>V101072</t>
  </si>
  <si>
    <t>PAÑOS HUMEDOS PEQUENIN ALOE 24X24 - 10751</t>
  </si>
  <si>
    <t>E310000010778</t>
  </si>
  <si>
    <t>V925065</t>
  </si>
  <si>
    <t xml:space="preserve">OFERTA  SARDINAS DIMAR ACEITE PLANA 50/125 GR - </t>
  </si>
  <si>
    <t>Sardina Plana 12+1 de Oferta</t>
  </si>
  <si>
    <t>E320000134801</t>
  </si>
  <si>
    <t>E310000010950</t>
  </si>
  <si>
    <t>E310000010951</t>
  </si>
  <si>
    <t>E320000140843</t>
  </si>
  <si>
    <t>E320000142977</t>
  </si>
  <si>
    <t>E310000011687</t>
  </si>
  <si>
    <t>E310000011879</t>
  </si>
  <si>
    <t>E320000147048</t>
  </si>
  <si>
    <t>E320000147049</t>
  </si>
  <si>
    <t>E320000149584</t>
  </si>
  <si>
    <t>E320000151126</t>
  </si>
  <si>
    <t>E320000155232</t>
  </si>
  <si>
    <t>E320000155264</t>
  </si>
  <si>
    <t>V611306</t>
  </si>
  <si>
    <t xml:space="preserve">DETERGENTE COMPADRE 30LBS (SACO) - </t>
  </si>
  <si>
    <t>TORBELLINO</t>
  </si>
  <si>
    <t>E320000155266</t>
  </si>
  <si>
    <t>Jelyn Martinez Figueroa</t>
  </si>
  <si>
    <t>E310000012762</t>
  </si>
  <si>
    <t>E310000012933</t>
  </si>
  <si>
    <t>V611049</t>
  </si>
  <si>
    <t>REFISAL ALTA PUREZA 24X500GRS - 100107007</t>
  </si>
  <si>
    <t>REFISAL POTE</t>
  </si>
  <si>
    <t>E320000159386</t>
  </si>
  <si>
    <t>V930121</t>
  </si>
  <si>
    <t>TIPITIN CORAZÓN (30BS/25/9g) - 34205</t>
  </si>
  <si>
    <t>E310000013099</t>
  </si>
  <si>
    <t>E320000161974</t>
  </si>
  <si>
    <t>E320000165293</t>
  </si>
  <si>
    <t>E320000167081</t>
  </si>
  <si>
    <t>E320000167211</t>
  </si>
  <si>
    <t>E320000167227</t>
  </si>
  <si>
    <t>E320000167251</t>
  </si>
  <si>
    <t>E320000167304</t>
  </si>
  <si>
    <t>E310000013870</t>
  </si>
  <si>
    <t>E320000170290</t>
  </si>
  <si>
    <t>E320000172324</t>
  </si>
  <si>
    <t>E310000014283</t>
  </si>
  <si>
    <t>E310000014284</t>
  </si>
  <si>
    <t>E320000174788</t>
  </si>
  <si>
    <t>V930145</t>
  </si>
  <si>
    <t>GRISSLY SANDIA CA (36BS/1/80g) - 14754</t>
  </si>
  <si>
    <t>V930016</t>
  </si>
  <si>
    <t>FRUTICAS CRUJI MASTICABLE(16BS/100/5,5g) - 5530</t>
  </si>
  <si>
    <t>E310000014407</t>
  </si>
  <si>
    <t>E320000178599</t>
  </si>
  <si>
    <t>E320000180243</t>
  </si>
  <si>
    <t>E320000180412</t>
  </si>
  <si>
    <t>E320000183094</t>
  </si>
  <si>
    <t>E310000015037</t>
  </si>
  <si>
    <t>E310000015192</t>
  </si>
  <si>
    <t>E320000185021</t>
  </si>
  <si>
    <t>E320000186885</t>
  </si>
  <si>
    <t>E320000193126</t>
  </si>
  <si>
    <t>E310000016080</t>
  </si>
  <si>
    <t>E320000195402</t>
  </si>
  <si>
    <t>E310000016342</t>
  </si>
  <si>
    <t>E310000016503</t>
  </si>
  <si>
    <t>E320000201209</t>
  </si>
  <si>
    <t>V925076</t>
  </si>
  <si>
    <t xml:space="preserve">SARDINAS DIMAR JUNIOR SALSA TOMATE 48/215 GRS. - </t>
  </si>
  <si>
    <t>E320000205410</t>
  </si>
  <si>
    <t>V925050</t>
  </si>
  <si>
    <t xml:space="preserve">SARDINAS DIMAR TIPO TALL EN SALSA DE TOMATE 24X 425GRS - </t>
  </si>
  <si>
    <t>E320000205661</t>
  </si>
  <si>
    <t>E320000205685</t>
  </si>
  <si>
    <t>E320000205707</t>
  </si>
  <si>
    <t>E320000205714</t>
  </si>
  <si>
    <t>E310000017336</t>
  </si>
  <si>
    <t>E310000017498</t>
  </si>
  <si>
    <t>E310000017500</t>
  </si>
  <si>
    <t>E320000209935</t>
  </si>
  <si>
    <t>Mario Jose Martinez</t>
  </si>
  <si>
    <t>E320000210309</t>
  </si>
  <si>
    <t>E320000212169</t>
  </si>
  <si>
    <t>E320000214338</t>
  </si>
  <si>
    <t>E320000215587</t>
  </si>
  <si>
    <t>E320000215920</t>
  </si>
  <si>
    <t>E320000218905</t>
  </si>
  <si>
    <t>E320000218935</t>
  </si>
  <si>
    <t>E310000018347</t>
  </si>
  <si>
    <t>E310000018361</t>
  </si>
  <si>
    <t>E320000219453</t>
  </si>
  <si>
    <t>V930154</t>
  </si>
  <si>
    <t>XTIME MENTAS XTREMO (18BS/100/3,1g) - 14113</t>
  </si>
  <si>
    <t>5 Mentas Coffee/Mango/Sandia/Choco Mani/Xtime +1 Xtime Menta de Oferta</t>
  </si>
  <si>
    <t>E320000226045</t>
  </si>
  <si>
    <t>E320000226125</t>
  </si>
  <si>
    <t>E320000226148</t>
  </si>
  <si>
    <t>E320000229874</t>
  </si>
  <si>
    <t>48 Familia + 5 Rollo /4 Bn de Oferta</t>
  </si>
  <si>
    <t>V101130</t>
  </si>
  <si>
    <t>OFERTA 1 UNID. NOSOTRAS BUENAS NOCHES - 40284</t>
  </si>
  <si>
    <t>E320000230138</t>
  </si>
  <si>
    <t>E310000019378</t>
  </si>
  <si>
    <t>E310000019744</t>
  </si>
  <si>
    <t>E310000020365</t>
  </si>
  <si>
    <t>E310000020686</t>
  </si>
  <si>
    <t>E320000248305</t>
  </si>
  <si>
    <t>V910123</t>
  </si>
  <si>
    <t>COMPOTA CHUP FLEX MELOCOTON 113G 24/1 - 753096</t>
  </si>
  <si>
    <t>V930022</t>
  </si>
  <si>
    <t>MINI BUM SANDIA 16/100/4,5G - 35394</t>
  </si>
  <si>
    <t>V930060</t>
  </si>
  <si>
    <t>COLOMBINETAS HELADO DE FRESA (25BS/48/22g) - 34205</t>
  </si>
  <si>
    <t>V930026</t>
  </si>
  <si>
    <t>TIPITIN BESOS MORA AZUL (36BS/24/12.5g) - 35441</t>
  </si>
  <si>
    <t>V611092</t>
  </si>
  <si>
    <t xml:space="preserve">PALOMITAS CARAMELIZADAS 1/36UD RICO PACK 26GR - </t>
  </si>
  <si>
    <t>V960103</t>
  </si>
  <si>
    <t>ilumia Light Bulb 12W Luz Blanca 6500K Box - 7464467800031</t>
  </si>
  <si>
    <t>V501125</t>
  </si>
  <si>
    <t>ETERNA LIMPIAYA ESCOBA VENECIA MANGO MADERA 12x1 0156 - 419500156</t>
  </si>
  <si>
    <t>V925059</t>
  </si>
  <si>
    <t xml:space="preserve">OFERTA SARDINA TALL DIMAR EN SALSA 425 GRAMOS - </t>
  </si>
  <si>
    <t>12 Sardinas Dimar Tall/Bacalao +1 Tall de oferta</t>
  </si>
  <si>
    <t>4 Tipitin Cualquier Tipo + 1 Extime de Oferta</t>
  </si>
  <si>
    <t>E320000248514</t>
  </si>
  <si>
    <t>E320000248627</t>
  </si>
  <si>
    <t>E310000021270</t>
  </si>
  <si>
    <t>E310000021343</t>
  </si>
  <si>
    <t>Papel Higienico Familia Aroma Grande 48/24 UND +9/4UND Papeles Familia de Ofertas</t>
  </si>
  <si>
    <t>E310000021555</t>
  </si>
  <si>
    <t>E320000253051</t>
  </si>
  <si>
    <t>E320000253052</t>
  </si>
  <si>
    <t>E310000022170</t>
  </si>
  <si>
    <t>E320000257348</t>
  </si>
  <si>
    <t>E310000022233</t>
  </si>
  <si>
    <t>yunior Felix Fortunato Donato</t>
  </si>
  <si>
    <t>E320000261706</t>
  </si>
  <si>
    <t>E310000023034</t>
  </si>
  <si>
    <t>E320000265777</t>
  </si>
  <si>
    <t>E320000265843</t>
  </si>
  <si>
    <t>E310000023204</t>
  </si>
  <si>
    <t>E320000267470</t>
  </si>
  <si>
    <t>E310000023346</t>
  </si>
  <si>
    <t>V930104</t>
  </si>
  <si>
    <t>XTIME GUM YERBABUENA (12BS/100/3.7g) - 35229</t>
  </si>
  <si>
    <t>E320000271857</t>
  </si>
  <si>
    <t>E320000274459</t>
  </si>
  <si>
    <t>E320000274654</t>
  </si>
  <si>
    <t>E320000274706</t>
  </si>
  <si>
    <t>Papel Higienico Familia Mediano 24/48+3/5UND Papeles Familia de Ofertas</t>
  </si>
  <si>
    <t>E320000276190</t>
  </si>
  <si>
    <t>E310000024224</t>
  </si>
  <si>
    <t>E320000278653</t>
  </si>
  <si>
    <t>E320000280260</t>
  </si>
  <si>
    <t>E320000282992</t>
  </si>
  <si>
    <t>E320000282998</t>
  </si>
  <si>
    <t>3 BBB Jumbo Fresa/Cherry/Clear + 1 PQ Tipitin Besos</t>
  </si>
  <si>
    <t>E320000283062</t>
  </si>
  <si>
    <t>v103202</t>
  </si>
  <si>
    <t>FAMILIA AROMA GDE (4x1) (FARDO DE 12X4) - 201874</t>
  </si>
  <si>
    <t>V621006</t>
  </si>
  <si>
    <t>E Raid Fik Silvestre 11 oz. (Azul) 12/1 - 41708</t>
  </si>
  <si>
    <t>E320000283215</t>
  </si>
  <si>
    <t>Oferta Nosotras 2 Displays + 4/16</t>
  </si>
  <si>
    <t>E320000283244</t>
  </si>
  <si>
    <t>V960102</t>
  </si>
  <si>
    <t>ilumia Light Bulb 9W Luz Blanca 6500K Box - 7464467800024</t>
  </si>
  <si>
    <t>E320000287635</t>
  </si>
  <si>
    <t>E320000289048</t>
  </si>
  <si>
    <t>E310000025453</t>
  </si>
  <si>
    <t>Oferta Nosotras 2 Displays + 4/8//16</t>
  </si>
  <si>
    <t>E320000289372</t>
  </si>
  <si>
    <t>E320000292037</t>
  </si>
  <si>
    <t>E320000292114</t>
  </si>
  <si>
    <t>E310000025967</t>
  </si>
  <si>
    <t>E310000026097</t>
  </si>
  <si>
    <t>E310000026098</t>
  </si>
  <si>
    <t>5 PQ De Mentas Coffee/Mango/Sandia/Choco Mani/Xtime +1 PQ de Tipitin Besos de Oferta</t>
  </si>
  <si>
    <t>E310000026099</t>
  </si>
  <si>
    <t>E320000296739</t>
  </si>
  <si>
    <t>E310000026661</t>
  </si>
  <si>
    <t>E320000299361</t>
  </si>
  <si>
    <t>E320000299660</t>
  </si>
  <si>
    <t>E320000300568</t>
  </si>
  <si>
    <t>V621043</t>
  </si>
  <si>
    <t xml:space="preserve">Oferta Baygon Vela Espiral Mata Mosquito - </t>
  </si>
  <si>
    <t>E320000302022</t>
  </si>
  <si>
    <t>3 Baygon 285 + gratis 1 Vela de Mosquito Baygon</t>
  </si>
  <si>
    <t>E320000303404</t>
  </si>
  <si>
    <t>E320000303409</t>
  </si>
  <si>
    <t>E320000304427</t>
  </si>
  <si>
    <t>E310000027527</t>
  </si>
  <si>
    <t>v611507</t>
  </si>
  <si>
    <t>OFERTA PAPEL HIG AROMA GDE NP 48PQX1R 26M - 201873</t>
  </si>
  <si>
    <t>FAMILIA AROMA</t>
  </si>
  <si>
    <t>PAPEL HIGIENICO FAMILIA AROMA 48+8 y 24+3 DE OFERTA</t>
  </si>
  <si>
    <t>E320000307436</t>
  </si>
  <si>
    <t>E320000308617</t>
  </si>
  <si>
    <t>E320000309444</t>
  </si>
  <si>
    <t>E320000309839</t>
  </si>
  <si>
    <t>E310000027942</t>
  </si>
  <si>
    <t>E320000310988</t>
  </si>
  <si>
    <t>Total general</t>
  </si>
  <si>
    <t>Suma de ValorBruto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</si>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</sst>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C00000"/>
      <name val="Arial"/>
    </font>
    <font>
      <b/>
      <sz val="9"/>
      <color rgb="FF000000"/>
      <name val="Arial"/>
    </font>
    <font>
      <b/>
      <sz val="12"/>
      <color rgb="FFFFFFFF"/>
      <name val="Arial"/>
    </font>
    <font>
      <sz val="9"/>
      <name val="Arial"/>
    </font>
    <font>
      <i/>
      <sz val="9"/>
      <color rgb="FF595959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3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4" fontId="8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4" fontId="8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4" fontId="11" fillId="5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4" fontId="11" fillId="6" borderId="1" xfId="0" applyNumberFormat="1" applyFont="1" applyFill="1" applyBorder="1" applyAlignment="1">
      <alignment horizontal="center" vertical="center"/>
    </xf>
    <xf numFmtId="4" fontId="1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0" xfId="0" applyFont="1" applyFill="1" applyAlignment="1">
      <alignment horizontal="center" vertical="center"/>
    </xf>
    <xf numFmtId="43" fontId="0" fillId="0" borderId="0" xfId="1" applyFont="1"/>
    <xf numFmtId="47" fontId="0" fillId="0" borderId="0" xfId="0" applyNumberFormat="1"/>
    <xf numFmtId="0" fontId="0" fillId="0" borderId="0" xfId="0" pivotButton="1"/>
    <xf numFmtId="3" fontId="0" fillId="0" borderId="0" xfId="0" applyNumberFormat="1"/>
    <xf numFmtId="0" fontId="14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dy" refreshedDate="46188.500820949077" createdVersion="8" refreshedVersion="8" minRefreshableVersion="3" recordCount="481" xr:uid="{B400A7D3-0A2B-41BA-BA45-908214F3D040}">
  <cacheSource type="worksheet">
    <worksheetSource ref="A1:BL482" sheet="Hoja1"/>
  </cacheSource>
  <cacheFields count="64">
    <cacheField name="CodigoRepartidor" numFmtId="0">
      <sharedItems containsSemiMixedTypes="0" containsString="0" containsNumber="1" containsInteger="1" minValue="109" maxValue="289"/>
    </cacheField>
    <cacheField name="TamañoCliente" numFmtId="0">
      <sharedItems/>
    </cacheField>
    <cacheField name="LipCodigo" numFmtId="0">
      <sharedItems containsSemiMixedTypes="0" containsString="0" containsNumber="1" containsInteger="1" minValue="3" maxValue="3"/>
    </cacheField>
    <cacheField name="DocNum" numFmtId="0">
      <sharedItems containsSemiMixedTypes="0" containsString="0" containsNumber="1" containsInteger="1" minValue="2005499" maxValue="6405433"/>
    </cacheField>
    <cacheField name="NombreRepartidor" numFmtId="0">
      <sharedItems/>
    </cacheField>
    <cacheField name="SupervisorRepartidor" numFmtId="0">
      <sharedItems/>
    </cacheField>
    <cacheField name="VenSecuencia" numFmtId="0">
      <sharedItems containsSemiMixedTypes="0" containsString="0" containsNumber="1" containsInteger="1" minValue="-5590789" maxValue="10234359"/>
    </cacheField>
    <cacheField name="VenFecha" numFmtId="47">
      <sharedItems containsSemiMixedTypes="0" containsNonDate="0" containsDate="1" containsString="0" minDate="2026-01-03T00:00:00" maxDate="2026-06-16T00:00:00"/>
    </cacheField>
    <cacheField name="VenFechaSinHora" numFmtId="47">
      <sharedItems containsSemiMixedTypes="0" containsNonDate="0" containsDate="1" containsString="0" minDate="2026-01-03T00:00:00" maxDate="2026-06-16T00:00:00"/>
    </cacheField>
    <cacheField name="Año" numFmtId="0">
      <sharedItems containsSemiMixedTypes="0" containsString="0" containsNumber="1" containsInteger="1" minValue="2026" maxValue="2026"/>
    </cacheField>
    <cacheField name="Mes" numFmtId="0">
      <sharedItems containsSemiMixedTypes="0" containsString="0" containsNumber="1" containsInteger="1" minValue="1" maxValue="6"/>
    </cacheField>
    <cacheField name="Trimestre" numFmtId="0">
      <sharedItems/>
    </cacheField>
    <cacheField name="TipoVenta" numFmtId="0">
      <sharedItems containsSemiMixedTypes="0" containsString="0" containsNumber="1" containsInteger="1" minValue="-1" maxValue="1"/>
    </cacheField>
    <cacheField name="Divicion" numFmtId="0">
      <sharedItems/>
    </cacheField>
    <cacheField name="Centro" numFmtId="0">
      <sharedItems/>
    </cacheField>
    <cacheField name="CausaDevolucion" numFmtId="0">
      <sharedItems containsMixedTypes="1" containsNumber="1" containsInteger="1" minValue="1" maxValue="26"/>
    </cacheField>
    <cacheField name="MotivoDevolucion" numFmtId="0">
      <sharedItems/>
    </cacheField>
    <cacheField name="Semana" numFmtId="0">
      <sharedItems containsSemiMixedTypes="0" containsString="0" containsNumber="1" containsInteger="1" minValue="1" maxValue="25"/>
    </cacheField>
    <cacheField name="dia" numFmtId="0">
      <sharedItems containsSemiMixedTypes="0" containsString="0" containsNumber="1" containsInteger="1" minValue="2" maxValue="31"/>
    </cacheField>
    <cacheField name="ClienteCodigo" numFmtId="0">
      <sharedItems containsSemiMixedTypes="0" containsString="0" containsNumber="1" containsInteger="1" minValue="1019" maxValue="37594"/>
    </cacheField>
    <cacheField name="Listaprecio" numFmtId="0">
      <sharedItems containsSemiMixedTypes="0" containsString="0" containsNumber="1" containsInteger="1" minValue="3" maxValue="3"/>
    </cacheField>
    <cacheField name="CodigoClienteSap" numFmtId="0">
      <sharedItems/>
    </cacheField>
    <cacheField name="ClienteNombre" numFmtId="0">
      <sharedItems/>
    </cacheField>
    <cacheField name="tindescripcion" numFmtId="0">
      <sharedItems/>
    </cacheField>
    <cacheField name="semana1" numFmtId="0">
      <sharedItems/>
    </cacheField>
    <cacheField name="semana2" numFmtId="0">
      <sharedItems/>
    </cacheField>
    <cacheField name="VendedorRuta" numFmtId="0">
      <sharedItems containsSemiMixedTypes="0" containsString="0" containsNumber="1" containsInteger="1" minValue="8" maxValue="94"/>
    </cacheField>
    <cacheField name="ProductoCodigo" numFmtId="0">
      <sharedItems containsSemiMixedTypes="0" containsString="0" containsNumber="1" containsInteger="1" minValue="101005" maxValue="982005" count="76">
        <n v="621008"/>
        <n v="930021"/>
        <n v="621045"/>
        <n v="960105"/>
        <n v="611052"/>
        <n v="611053"/>
        <n v="511005"/>
        <n v="621004"/>
        <n v="930076"/>
        <n v="201001"/>
        <n v="611221"/>
        <n v="930045"/>
        <n v="800791"/>
        <n v="101038"/>
        <n v="800088"/>
        <n v="925064"/>
        <n v="103001"/>
        <n v="103113"/>
        <n v="101124"/>
        <n v="800089"/>
        <n v="611055"/>
        <n v="800792"/>
        <n v="930025"/>
        <n v="101135"/>
        <n v="930012"/>
        <n v="501000"/>
        <n v="101005"/>
        <n v="101027"/>
        <n v="101028"/>
        <n v="101034"/>
        <n v="930023"/>
        <n v="621049"/>
        <n v="621050"/>
        <n v="621053"/>
        <n v="621054"/>
        <n v="621051"/>
        <n v="621052"/>
        <n v="925094"/>
        <n v="925095"/>
        <n v="930113"/>
        <n v="800793"/>
        <n v="800796"/>
        <n v="930153"/>
        <n v="982005"/>
        <n v="101026"/>
        <n v="930188"/>
        <n v="104023"/>
        <n v="930112"/>
        <n v="501137"/>
        <n v="501139"/>
        <n v="930039"/>
        <n v="101072"/>
        <n v="925065"/>
        <n v="611306"/>
        <n v="611049"/>
        <n v="930121"/>
        <n v="930145"/>
        <n v="930016"/>
        <n v="925076"/>
        <n v="925050"/>
        <n v="930154"/>
        <n v="101130"/>
        <n v="910123"/>
        <n v="930022"/>
        <n v="930060"/>
        <n v="930026"/>
        <n v="611092"/>
        <n v="960103"/>
        <n v="501125"/>
        <n v="925059"/>
        <n v="930104"/>
        <n v="103202"/>
        <n v="621006"/>
        <n v="960102"/>
        <n v="621043"/>
        <n v="611507"/>
      </sharedItems>
    </cacheField>
    <cacheField name="CodigoProdSap" numFmtId="0">
      <sharedItems/>
    </cacheField>
    <cacheField name="ProductoDescripcion" numFmtId="0">
      <sharedItems count="76">
        <s v="E Raid Fik Frescura de Campo 11 oz.(Amarillo)12/1 - 41709"/>
        <s v="MINIBUM MANGO (16BS/100/4.5g) - 33277"/>
        <s v="Baygon Aerosol Verde 285 ML. 12/1 - 323742"/>
        <s v="ilumia LED Emergency Recargable 12W 6500K - 7464467800406"/>
        <s v="BLANCOX LIMON FUSION 24X500ML. - 100301004"/>
        <s v="BLANCOX PODER NAT. TRADICIONAL 24X500ML - "/>
        <s v="BLANCOX DESMANCHADOR ROPA COLOR 12 x 500 ml - 100301009"/>
        <s v="Baygon Aerosol 400 ML. 12/1 - 220748"/>
        <s v="CRAKEÑAS CLUB IND (24BS/8/24G) - 20186"/>
        <s v="REFISAL FUNDAS REFINADA 25 UNIDS - 100102008"/>
        <s v="PALITO DE QUESO 1/36 UDS. RICO PAC 26 GRS. - "/>
        <s v="MUUU... CREMADA MAX (24BS/12/34g) - 27107"/>
        <s v="BBB FRESA JUMBO (25BS/48/20g) - 35490"/>
        <s v="NOSOTRAS BUENAS NOCHES TELA 10 X  ( 40 U ) - 200679"/>
        <s v="NOSOTRAS INVISIBLES (8x60) - 120311"/>
        <s v="SARDINAS DIMAR ACEITE PLANA 50/125 GR - "/>
        <s v="PAPEL HIGIENICO FAMILIA AROMA 48X1 - 201873"/>
        <s v="Combo 48 + 10 Familia Aroma - 16611"/>
        <s v="PANI. HUM. PEQUENIN MULTI CUIDADO 24X80 - 200645"/>
        <s v="NOSOTRAS PLUS (8 X 60) - 120310"/>
        <s v="BLANCOX PODER NATURAL 4X3700ML - 100304001"/>
        <s v="BBB CHERRY JUMBO (25BS/48/20g) - 35491"/>
        <s v="TIPITIN BESOS (36BS/24/12g) - 34651"/>
        <s v="NOSOTRAS PLUS 8(60MAS 2BN)RD - 202110"/>
        <s v="COFFEE DELIGHT (16BS/100/3.8g) - 35452"/>
        <s v="BLANCOX  PODER NAT. SACHET 150 ML x 124 unid Display 30 SOBRES (4X1) - "/>
        <s v="NOS. PLUS TELA AJ SEG 30 X 10 - 120308"/>
        <s v="NOSOTRAS INVISIBLES 24X10 - 120152"/>
        <s v="NOSOTRAS BUENAS NOCHE NATURAL 18 X (10 U ) - 200678"/>
        <s v="NOSOTRAS DIARIOS 10X150 - 40982"/>
        <s v="TUTTI FRUTTI MIX  (20BS/240/3.4g) - 33154"/>
        <s v="GLADE AEROSOL TROPICAL 8 OZ., 6/1 - 73333"/>
        <s v="GLADE AEROSOL CASHMERE WOODS 8.3 OZ. 6/1 - 346464"/>
        <s v="GLADE AEROSOL LAVENDER &amp; VANILLA 8.3 OZ. 6/1 - 346572"/>
        <s v="GLADE AEROSOL APPLE CINNAMON 8.3 OZ. 6/1 - 346566"/>
        <s v="GLADE AEROSOL CLEAN LINEN 8.3 OZ. 6/1 - 346467"/>
        <s v="GLADE AEROSOL HAWAIIAN BREEZE 8.3 OZ. 6/1 - 346571"/>
        <s v="ATUN DIMAR AGUA DESMENUZADO  48/142GR - "/>
        <s v="ATUN DIMAR ACEITE DESMENUZADO  48/142GR - "/>
        <s v="COLOMBINETA CHOCOMANI (25BS/48/24g) - 35007"/>
        <s v="BBB STDO JUMBO (25BS/48/20g) - 35492"/>
        <s v="BBB BLACK &amp; BLUE JUMBO (25BS/48/20g) - 35495"/>
        <s v="BON BON BUM CLEAR2 (25BS/48/20g) - 35588"/>
        <s v="BOTELLITA AGUA CRYSTAL 0.5 L (1/20) - "/>
        <s v="NOSOTRAS DIARIOS 36 X 15 - 202426"/>
        <s v="TIPITIN DOS CORAZONES (15BS/24/12.5g) - 34232"/>
        <s v="PANL.TENA SLIP CLASICO / COMFORT M 8X9 - 130006"/>
        <s v="COLOMBINETA YOGURT STDO (25BS/48/24g) - 35006"/>
        <s v="LIMPIAYA ESPONJA DOBLE USO X 1 0622 - 482010622"/>
        <s v="LOTERO ESPIRAL DE ACERO X 12 UNIDADES 9046 - 418009046"/>
        <s v="NUCITA CREMA (16PL/18/10g) - 30349"/>
        <s v="PAÑOS HUMEDOS PEQUENIN ALOE 24X24 - 10751"/>
        <s v="OFERTA  SARDINAS DIMAR ACEITE PLANA 50/125 GR - "/>
        <s v="DETERGENTE COMPADRE 30LBS (SACO) - "/>
        <s v="REFISAL ALTA PUREZA 24X500GRS - 100107007"/>
        <s v="TIPITIN CORAZÓN (30BS/25/9g) - 34205"/>
        <s v="GRISSLY SANDIA CA (36BS/1/80g) - 14754"/>
        <s v="FRUTICAS CRUJI MASTICABLE(16BS/100/5,5g) - 5530"/>
        <s v="SARDINAS DIMAR JUNIOR SALSA TOMATE 48/215 GRS. - "/>
        <s v="SARDINAS DIMAR TIPO TALL EN SALSA DE TOMATE 24X 425GRS - "/>
        <s v="XTIME MENTAS XTREMO (18BS/100/3,1g) - 14113"/>
        <s v="OFERTA 1 UNID. NOSOTRAS BUENAS NOCHES - 40284"/>
        <s v="COMPOTA CHUP FLEX MELOCOTON 113G 24/1 - 753096"/>
        <s v="MINI BUM SANDIA 16/100/4,5G - 35394"/>
        <s v="COLOMBINETAS HELADO DE FRESA (25BS/48/22g) - 34205"/>
        <s v="TIPITIN BESOS MORA AZUL (36BS/24/12.5g) - 35441"/>
        <s v="PALOMITAS CARAMELIZADAS 1/36UD RICO PACK 26GR - "/>
        <s v="ilumia Light Bulb 12W Luz Blanca 6500K Box - 7464467800031"/>
        <s v="ETERNA LIMPIAYA ESCOBA VENECIA MANGO MADERA 12x1 0156 - 419500156"/>
        <s v="OFERTA SARDINA TALL DIMAR EN SALSA 425 GRAMOS - "/>
        <s v="XTIME GUM YERBABUENA (12BS/100/3.7g) - 35229"/>
        <s v="FAMILIA AROMA GDE (4x1) (FARDO DE 12X4) - 201874"/>
        <s v="E Raid Fik Silvestre 11 oz. (Azul) 12/1 - 41708"/>
        <s v="ilumia Light Bulb 9W Luz Blanca 6500K Box - 7464467800024"/>
        <s v="Oferta Baygon Vela Espiral Mata Mosquito - "/>
        <s v="OFERTA PAPEL HIG AROMA GDE NP 48PQX1R 26M - 201873"/>
      </sharedItems>
    </cacheField>
    <cacheField name="CajasVendidas" numFmtId="0">
      <sharedItems containsSemiMixedTypes="0" containsString="0" containsNumber="1" minValue="-10" maxValue="125"/>
    </cacheField>
    <cacheField name="VentasUnidades" numFmtId="0">
      <sharedItems containsSemiMixedTypes="0" containsString="0" containsNumber="1" containsInteger="1" minValue="-24" maxValue="464"/>
    </cacheField>
    <cacheField name="PrecioVendido" numFmtId="0">
      <sharedItems containsSemiMixedTypes="0" containsString="0" containsNumber="1" minValue="0" maxValue="838.98"/>
    </cacheField>
    <cacheField name="Selectivo" numFmtId="0">
      <sharedItems containsSemiMixedTypes="0" containsString="0" containsNumber="1" containsInteger="1" minValue="0" maxValue="0"/>
    </cacheField>
    <cacheField name="Selectivo_Esp" numFmtId="0">
      <sharedItems containsSemiMixedTypes="0" containsString="0" containsNumber="1" containsInteger="1" minValue="0" maxValue="0"/>
    </cacheField>
    <cacheField name="Selectivo_AdVal" numFmtId="0">
      <sharedItems containsSemiMixedTypes="0" containsString="0" containsNumber="1" containsInteger="1" minValue="0" maxValue="0"/>
    </cacheField>
    <cacheField name="Total_Itbis" numFmtId="0">
      <sharedItems containsSemiMixedTypes="0" containsString="0" containsNumber="1" minValue="-1275.3" maxValue="4688.33"/>
    </cacheField>
    <cacheField name="ValorBruto" numFmtId="0">
      <sharedItems containsSemiMixedTypes="0" containsString="0" containsNumber="1" minValue="-7085" maxValue="26046.25"/>
    </cacheField>
    <cacheField name="ValorVenta" numFmtId="0">
      <sharedItems containsSemiMixedTypes="0" containsString="0" containsNumber="1" containsInteger="1" minValue="-8360" maxValue="30735"/>
    </cacheField>
    <cacheField name="CodigoVendedor" numFmtId="0">
      <sharedItems containsSemiMixedTypes="0" containsString="0" containsNumber="1" containsInteger="1" minValue="3" maxValue="199"/>
    </cacheField>
    <cacheField name="NombreVendedor" numFmtId="0">
      <sharedItems/>
    </cacheField>
    <cacheField name="Ruta" numFmtId="0">
      <sharedItems/>
    </cacheField>
    <cacheField name="VendedorGrupo" numFmtId="0">
      <sharedItems containsSemiMixedTypes="0" containsString="0" containsNumber="1" containsInteger="1" minValue="10" maxValue="10"/>
    </cacheField>
    <cacheField name="CodigoCategoria" numFmtId="0">
      <sharedItems containsSemiMixedTypes="0" containsString="0" containsNumber="1" containsInteger="1" minValue="105" maxValue="278"/>
    </cacheField>
    <cacheField name="Categoria" numFmtId="0">
      <sharedItems/>
    </cacheField>
    <cacheField name="CodSubCategoria" numFmtId="0">
      <sharedItems containsSemiMixedTypes="0" containsString="0" containsNumber="1" containsInteger="1" minValue="0" maxValue="8081801"/>
    </cacheField>
    <cacheField name="SubCategoria" numFmtId="0">
      <sharedItems/>
    </cacheField>
    <cacheField name="SUPLIDOR" numFmtId="0">
      <sharedItems/>
    </cacheField>
    <cacheField name="CodigoSupervisor" numFmtId="0">
      <sharedItems/>
    </cacheField>
    <cacheField name="SupervisorVenta" numFmtId="0">
      <sharedItems/>
    </cacheField>
    <cacheField name="Zona" numFmtId="0">
      <sharedItems/>
    </cacheField>
    <cacheField name="Territorio" numFmtId="0">
      <sharedItems/>
    </cacheField>
    <cacheField name="NCFNumero" numFmtId="0">
      <sharedItems/>
    </cacheField>
    <cacheField name="IntroduccionesVentas" numFmtId="0">
      <sharedItems containsSemiMixedTypes="0" containsString="0" containsNumber="1" containsInteger="1" minValue="0" maxValue="0"/>
    </cacheField>
    <cacheField name="IndicadorOferta" numFmtId="0">
      <sharedItems containsSemiMixedTypes="0" containsString="0" containsNumber="1" containsInteger="1" minValue="0" maxValue="1"/>
    </cacheField>
    <cacheField name="ofeid" numFmtId="0">
      <sharedItems containsMixedTypes="1" containsNumber="1" containsInteger="1" minValue="3303" maxValue="3668"/>
    </cacheField>
    <cacheField name="NombreOferta" numFmtId="0">
      <sharedItems/>
    </cacheField>
    <cacheField name="costo" numFmtId="0">
      <sharedItems containsSemiMixedTypes="0" containsString="0" containsNumber="1" containsInteger="1" minValue="0" maxValue="0"/>
    </cacheField>
    <cacheField name="CostoventaUNIDADES" numFmtId="0">
      <sharedItems containsSemiMixedTypes="0" containsString="0" containsNumber="1" containsInteger="1" minValue="0" maxValue="0"/>
    </cacheField>
    <cacheField name="CondicionPago" numFmtId="0">
      <sharedItems/>
    </cacheField>
    <cacheField name="Estatus" numFmtId="0">
      <sharedItems containsSemiMixedTypes="0" containsString="0" containsNumber="1" containsInteger="1" minValue="3" maxValue="18"/>
    </cacheField>
    <cacheField name="NumeroSAP" numFmtId="0">
      <sharedItems containsSemiMixedTypes="0" containsString="0" containsNumber="1" containsInteger="1" minValue="2005499" maxValue="6405433"/>
    </cacheField>
    <cacheField name="CanaldeVentas" numFmtId="0">
      <sharedItems/>
    </cacheField>
    <cacheField name="GrupoUnilev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n v="109"/>
    <s v="A Grande"/>
    <n v="3"/>
    <n v="2026432"/>
    <s v="Tony Vallejo"/>
    <s v="Logistica y Distribucion"/>
    <n v="-5590789"/>
    <d v="2026-05-29T00:00:00"/>
    <d v="2026-05-29T00:00:00"/>
    <n v="2026"/>
    <n v="5"/>
    <s v="T2"/>
    <n v="-1"/>
    <s v="General"/>
    <s v="Santo Domnigo"/>
    <n v="10"/>
    <s v="CLIENTE NO TIENE DINERO"/>
    <n v="22"/>
    <n v="29"/>
    <n v="2280"/>
    <n v="3"/>
    <s v="C002280"/>
    <s v="Mini Market Familiar"/>
    <s v="MINI MARKET"/>
    <s v="Miércoles"/>
    <s v="Miércoles"/>
    <n v="14"/>
    <x v="0"/>
    <s v="V621008"/>
    <x v="0"/>
    <n v="-1"/>
    <n v="-12"/>
    <n v="186.87"/>
    <n v="0"/>
    <n v="0"/>
    <n v="0"/>
    <n v="-403.64"/>
    <n v="-2242.44"/>
    <n v="-2646"/>
    <n v="14"/>
    <s v="Bernabet Reyes"/>
    <s v="DN4"/>
    <n v="10"/>
    <n v="138"/>
    <s v="INSECTICIDAS"/>
    <n v="73102"/>
    <s v="INSECTICIDA RAID"/>
    <s v="Comercial Fila"/>
    <s v="S5"/>
    <s v="Fernando Martinez  (DN)"/>
    <s v="P030"/>
    <s v="Distrito Nacional"/>
    <s v="E340000026414"/>
    <n v="0"/>
    <n v="0"/>
    <s v="NULL"/>
    <s v="NULL"/>
    <n v="0"/>
    <n v="0"/>
    <s v="CONTADO                                           "/>
    <n v="3"/>
    <n v="2026432"/>
    <s v="Almacenes"/>
    <s v="General"/>
  </r>
  <r>
    <n v="223"/>
    <s v="A Grande"/>
    <n v="3"/>
    <n v="2026185"/>
    <s v="Martin Figueroa"/>
    <s v="Logistica y Distribucion"/>
    <n v="-5590527"/>
    <d v="2026-05-27T00:00:00"/>
    <d v="2026-05-27T00:00:00"/>
    <n v="2026"/>
    <n v="5"/>
    <s v="T2"/>
    <n v="-1"/>
    <s v="Alimentos - Espejo"/>
    <s v="Santo Domnigo"/>
    <n v="10"/>
    <s v="CLIENTE NO TIENE DINERO"/>
    <n v="22"/>
    <n v="27"/>
    <n v="12191"/>
    <n v="3"/>
    <s v="C012191"/>
    <s v="Super Mercado La Ballena"/>
    <s v="SUPERMERCADO"/>
    <s v="Lunes"/>
    <s v="Lunes"/>
    <n v="91"/>
    <x v="1"/>
    <s v="V930021"/>
    <x v="1"/>
    <n v="-6.25E-2"/>
    <n v="-1"/>
    <n v="91.09"/>
    <n v="0"/>
    <n v="0"/>
    <n v="0"/>
    <n v="-16.399999999999999"/>
    <n v="-91.09"/>
    <n v="-107"/>
    <n v="91"/>
    <s v="Enrrique Morillo (DN)"/>
    <s v="DN6"/>
    <n v="10"/>
    <n v="208"/>
    <s v="CARAMELOS DUROS"/>
    <n v="0"/>
    <s v="NULL"/>
    <s v="COLOMBINA"/>
    <s v="S5"/>
    <s v="Fernando Martinez  (DN)"/>
    <s v="DN013"/>
    <s v="Distrito Nacional"/>
    <s v="E340000026168"/>
    <n v="0"/>
    <n v="0"/>
    <s v="NULL"/>
    <s v="NULL"/>
    <n v="0"/>
    <n v="0"/>
    <s v="CONTADO                                           "/>
    <n v="3"/>
    <n v="2026185"/>
    <s v="Almacenes"/>
    <s v="General"/>
  </r>
  <r>
    <n v="223"/>
    <s v="A Grande"/>
    <n v="3"/>
    <n v="2025201"/>
    <s v="Martin Figueroa"/>
    <s v="Logistica y Distribucion"/>
    <n v="-5589504"/>
    <d v="2026-05-20T00:00:00"/>
    <d v="2026-05-20T00:00:00"/>
    <n v="2026"/>
    <n v="5"/>
    <s v="T2"/>
    <n v="-1"/>
    <s v="General"/>
    <s v="Santo Domnigo"/>
    <n v="10"/>
    <s v="CLIENTE NO TIENE DINERO"/>
    <n v="21"/>
    <n v="20"/>
    <n v="14167"/>
    <n v="3"/>
    <s v="C014167"/>
    <s v="Mini Market Galvan"/>
    <s v="MINI MARKET"/>
    <s v="Lunes"/>
    <s v="Lunes"/>
    <n v="91"/>
    <x v="2"/>
    <s v="V621045"/>
    <x v="2"/>
    <n v="-0.5"/>
    <n v="-6"/>
    <n v="161.94999999999999"/>
    <n v="0"/>
    <n v="0"/>
    <n v="0"/>
    <n v="-174.91"/>
    <n v="-971.7"/>
    <n v="-1147"/>
    <n v="91"/>
    <s v="Enrrique Morillo (DN)"/>
    <s v="DN6"/>
    <n v="10"/>
    <n v="138"/>
    <s v="INSECTICIDAS"/>
    <n v="73101"/>
    <s v="INSECTICIDA BAIGON"/>
    <s v="Comercial Fila"/>
    <s v="S5"/>
    <s v="Fernando Martinez  (DN)"/>
    <s v="DN013"/>
    <s v="Distrito Nacional"/>
    <s v="E340000025184"/>
    <n v="0"/>
    <n v="0"/>
    <s v="NULL"/>
    <s v="NULL"/>
    <n v="0"/>
    <n v="0"/>
    <s v="CONTADO                                           "/>
    <n v="3"/>
    <n v="2025201"/>
    <s v="Almacenes"/>
    <s v="General"/>
  </r>
  <r>
    <n v="125"/>
    <s v="A Grande"/>
    <n v="3"/>
    <n v="2021583"/>
    <s v="Juan Rosario"/>
    <s v="Logistica y Distribucion"/>
    <n v="-5585789"/>
    <d v="2026-04-24T00:00:00"/>
    <d v="2026-04-24T00:00:00"/>
    <n v="2026"/>
    <n v="4"/>
    <s v="T2"/>
    <n v="-1"/>
    <s v="General"/>
    <s v="Santo Domnigo"/>
    <n v="19"/>
    <s v="PROD. FACTURADO SIN EXISTENCIA FISICA EN ALMACEN"/>
    <n v="17"/>
    <n v="24"/>
    <n v="36908"/>
    <n v="3"/>
    <s v="c036908"/>
    <s v="Asociacion De Detallistas Unidos De Mendoza"/>
    <s v="SUPERMERCADO"/>
    <s v="Miércoles"/>
    <s v="Miércoles"/>
    <n v="11"/>
    <x v="3"/>
    <s v="V960105"/>
    <x v="3"/>
    <n v="-0.1"/>
    <n v="-5"/>
    <n v="197.11"/>
    <n v="0"/>
    <n v="0"/>
    <n v="0"/>
    <n v="-177.4"/>
    <n v="-985.55"/>
    <n v="-1163"/>
    <n v="199"/>
    <s v="Giancarlo Tavarez"/>
    <s v="SDE2"/>
    <n v="10"/>
    <n v="277"/>
    <s v="ILUMINACION"/>
    <n v="856801"/>
    <s v="USO DOMESTICO"/>
    <s v="AMPOULE"/>
    <s v="S1"/>
    <s v="Ramon E. Pimentel (SDE)"/>
    <s v="P206"/>
    <s v="Santo Domingo Este"/>
    <s v="E340000021568"/>
    <n v="0"/>
    <n v="0"/>
    <s v="NULL"/>
    <s v="NULL"/>
    <n v="0"/>
    <n v="0"/>
    <s v="CONTADO                                           "/>
    <n v="3"/>
    <n v="2021583"/>
    <s v="Almacenes"/>
    <s v="General"/>
  </r>
  <r>
    <n v="223"/>
    <s v="A Grande"/>
    <n v="3"/>
    <n v="2020909"/>
    <s v="Martin Figueroa"/>
    <s v="Logistica y Distribucion"/>
    <n v="-5585089"/>
    <d v="2026-04-20T00:00:00"/>
    <d v="2026-04-20T00:00:00"/>
    <n v="2026"/>
    <n v="4"/>
    <s v="T2"/>
    <n v="-1"/>
    <s v="General"/>
    <s v="Santo Domnigo"/>
    <n v="1"/>
    <s v="NEGOCIO CERRADO"/>
    <n v="17"/>
    <n v="20"/>
    <n v="29579"/>
    <n v="3"/>
    <s v="C029579"/>
    <s v="Mini Market  Shairelys"/>
    <s v="MINI MARKET"/>
    <s v="Viernes"/>
    <s v="Viernes"/>
    <n v="60"/>
    <x v="4"/>
    <s v="V611052"/>
    <x v="4"/>
    <n v="-0.5"/>
    <n v="-12"/>
    <n v="20"/>
    <n v="0"/>
    <n v="0"/>
    <n v="0"/>
    <n v="-43.2"/>
    <n v="-240"/>
    <n v="-283"/>
    <n v="60"/>
    <s v="Martina Ramirez"/>
    <s v="DN5"/>
    <n v="10"/>
    <n v="114"/>
    <s v="BLANCOX"/>
    <n v="66102"/>
    <s v="BLANCOX BOTELLA"/>
    <s v="Brinsa Dominicana"/>
    <s v="S5"/>
    <s v="Fernando Martinez  (DN)"/>
    <s v="P002"/>
    <s v="Distrito Nacional"/>
    <s v="E340000020894"/>
    <n v="0"/>
    <n v="0"/>
    <s v="NULL"/>
    <s v="NULL"/>
    <n v="0"/>
    <n v="0"/>
    <s v="CONTADO                                           "/>
    <n v="3"/>
    <n v="2020909"/>
    <s v="Almacenes"/>
    <s v="General"/>
  </r>
  <r>
    <n v="223"/>
    <s v="A Grande"/>
    <n v="3"/>
    <n v="2020909"/>
    <s v="Martin Figueroa"/>
    <s v="Logistica y Distribucion"/>
    <n v="-5585089"/>
    <d v="2026-04-20T00:00:00"/>
    <d v="2026-04-20T00:00:00"/>
    <n v="2026"/>
    <n v="4"/>
    <s v="T2"/>
    <n v="-1"/>
    <s v="General"/>
    <s v="Santo Domnigo"/>
    <n v="1"/>
    <s v="NEGOCIO CERRADO"/>
    <n v="17"/>
    <n v="20"/>
    <n v="29579"/>
    <n v="3"/>
    <s v="C029579"/>
    <s v="Mini Market  Shairelys"/>
    <s v="MINI MARKET"/>
    <s v="Viernes"/>
    <s v="Viernes"/>
    <n v="60"/>
    <x v="5"/>
    <s v="V611053"/>
    <x v="5"/>
    <n v="-0.5"/>
    <n v="-12"/>
    <n v="20"/>
    <n v="0"/>
    <n v="0"/>
    <n v="0"/>
    <n v="-43.2"/>
    <n v="-240"/>
    <n v="-283"/>
    <n v="60"/>
    <s v="Martina Ramirez"/>
    <s v="DN5"/>
    <n v="10"/>
    <n v="114"/>
    <s v="BLANCOX"/>
    <n v="66102"/>
    <s v="BLANCOX BOTELLA"/>
    <s v="Brinsa Dominicana"/>
    <s v="S5"/>
    <s v="Fernando Martinez  (DN)"/>
    <s v="P002"/>
    <s v="Distrito Nacional"/>
    <s v="E340000020894"/>
    <n v="0"/>
    <n v="0"/>
    <s v="NULL"/>
    <s v="NULL"/>
    <n v="0"/>
    <n v="0"/>
    <s v="CONTADO                                           "/>
    <n v="3"/>
    <n v="2020909"/>
    <s v="Almacenes"/>
    <s v="General"/>
  </r>
  <r>
    <n v="223"/>
    <s v="A Grande"/>
    <n v="3"/>
    <n v="2020909"/>
    <s v="Martin Figueroa"/>
    <s v="Logistica y Distribucion"/>
    <n v="-5585089"/>
    <d v="2026-04-20T00:00:00"/>
    <d v="2026-04-20T00:00:00"/>
    <n v="2026"/>
    <n v="4"/>
    <s v="T2"/>
    <n v="-1"/>
    <s v="General"/>
    <s v="Santo Domnigo"/>
    <n v="1"/>
    <s v="NEGOCIO CERRADO"/>
    <n v="17"/>
    <n v="20"/>
    <n v="29579"/>
    <n v="3"/>
    <s v="C029579"/>
    <s v="Mini Market  Shairelys"/>
    <s v="MINI MARKET"/>
    <s v="Viernes"/>
    <s v="Viernes"/>
    <n v="60"/>
    <x v="6"/>
    <s v="V511005"/>
    <x v="6"/>
    <n v="-1"/>
    <n v="-12"/>
    <n v="64.44"/>
    <n v="0"/>
    <n v="0"/>
    <n v="0"/>
    <n v="-139.19"/>
    <n v="-773.28"/>
    <n v="-912"/>
    <n v="60"/>
    <s v="Martina Ramirez"/>
    <s v="DN5"/>
    <n v="10"/>
    <n v="114"/>
    <s v="BLANCOX"/>
    <n v="66102"/>
    <s v="BLANCOX BOTELLA"/>
    <s v="Brinsa Dominicana"/>
    <s v="S5"/>
    <s v="Fernando Martinez  (DN)"/>
    <s v="P002"/>
    <s v="Distrito Nacional"/>
    <s v="E340000020894"/>
    <n v="0"/>
    <n v="0"/>
    <s v="NULL"/>
    <s v="NULL"/>
    <n v="0"/>
    <n v="0"/>
    <s v="CONTADO                                           "/>
    <n v="3"/>
    <n v="2020909"/>
    <s v="Almacenes"/>
    <s v="General"/>
  </r>
  <r>
    <n v="264"/>
    <s v="A Grande"/>
    <n v="3"/>
    <n v="2018430"/>
    <s v="Brailin Peña"/>
    <s v="Logistica y Distribucion"/>
    <n v="-5582551"/>
    <d v="2026-04-02T00:00:00"/>
    <d v="2026-04-02T00:00:00"/>
    <n v="2026"/>
    <n v="4"/>
    <s v="T2"/>
    <n v="-1"/>
    <s v="General"/>
    <s v="Santo Domnigo"/>
    <n v="10"/>
    <s v="CLIENTE NO TIENE DINERO"/>
    <n v="14"/>
    <n v="2"/>
    <n v="37594"/>
    <n v="3"/>
    <s v="C037594"/>
    <s v="Mini Market El patron 3."/>
    <s v="MINI MARKET"/>
    <s v="Miércoles"/>
    <s v="Miércoles"/>
    <n v="72"/>
    <x v="7"/>
    <s v="V621004"/>
    <x v="7"/>
    <n v="-8.3333333333329998E-2"/>
    <n v="-1"/>
    <n v="265.58999999999997"/>
    <n v="0"/>
    <n v="0"/>
    <n v="0"/>
    <n v="-47.81"/>
    <n v="-265.58999999999997"/>
    <n v="-313"/>
    <n v="95"/>
    <s v="Benigno Paniagua (T)"/>
    <s v="SDO5"/>
    <n v="10"/>
    <n v="138"/>
    <s v="INSECTICIDAS"/>
    <n v="73101"/>
    <s v="INSECTICIDA BAIGON"/>
    <s v="Comercial Fila"/>
    <s v="S2"/>
    <s v="Fernando Martinez (SDO)"/>
    <s v="P010"/>
    <s v="Santo Domingo Oeste"/>
    <s v="E340000018415"/>
    <n v="0"/>
    <n v="0"/>
    <s v="NULL"/>
    <s v="NULL"/>
    <n v="0"/>
    <n v="0"/>
    <s v="CONTADO                                           "/>
    <n v="3"/>
    <n v="2018430"/>
    <s v="Almacenes"/>
    <s v="General"/>
  </r>
  <r>
    <n v="223"/>
    <s v="A Grande"/>
    <n v="3"/>
    <n v="2011886"/>
    <s v="Martin Figueroa"/>
    <s v="Logistica y Distribucion"/>
    <n v="-5575805"/>
    <d v="2026-02-16T00:00:00"/>
    <d v="2026-02-16T00:00:00"/>
    <n v="2026"/>
    <n v="2"/>
    <s v="T1"/>
    <n v="-1"/>
    <s v="Alimentos - Espejo"/>
    <s v="Santo Domnigo"/>
    <n v="20"/>
    <s v="PEDIDO DUPLICADO POR EL VENDEDOR"/>
    <n v="8"/>
    <n v="16"/>
    <n v="29579"/>
    <n v="3"/>
    <s v="C029579"/>
    <s v="Mini Market  Shairelys"/>
    <s v="MINI MARKET"/>
    <s v="Viernes"/>
    <s v="Viernes"/>
    <n v="60"/>
    <x v="8"/>
    <s v="V930076"/>
    <x v="8"/>
    <n v="-1"/>
    <n v="-24"/>
    <n v="40.29"/>
    <n v="0"/>
    <n v="0"/>
    <n v="0"/>
    <n v="-174.05"/>
    <n v="-966.96"/>
    <n v="-1141"/>
    <n v="8"/>
    <s v="Daniel Gutierrez"/>
    <s v="DN3"/>
    <n v="10"/>
    <n v="204"/>
    <s v="GALLETERIA"/>
    <n v="0"/>
    <s v="NULL"/>
    <s v="COLOMBINA"/>
    <s v="S5"/>
    <s v="Fernando Martinez  (DN)"/>
    <s v="P016"/>
    <s v="Distrito Nacional"/>
    <s v="E340000011873"/>
    <n v="0"/>
    <n v="0"/>
    <s v="NULL"/>
    <s v="NULL"/>
    <n v="0"/>
    <n v="0"/>
    <s v="CONTADO                                           "/>
    <n v="3"/>
    <n v="2011886"/>
    <s v="Almacenes"/>
    <s v="General"/>
  </r>
  <r>
    <n v="109"/>
    <s v="A Grande"/>
    <n v="3"/>
    <n v="2009443"/>
    <s v="Tony Vallejo"/>
    <s v="Logistica y Distribucion"/>
    <n v="-5573299"/>
    <d v="2026-02-02T00:00:00"/>
    <d v="2026-02-02T00:00:00"/>
    <n v="2026"/>
    <n v="2"/>
    <s v="T1"/>
    <n v="-1"/>
    <s v="General"/>
    <s v="Santo Domnigo"/>
    <n v="26"/>
    <s v="CAMION AVERIADO"/>
    <n v="6"/>
    <n v="2"/>
    <n v="2280"/>
    <n v="3"/>
    <s v="C002280"/>
    <s v="Mini Market Familiar"/>
    <s v="MINI MARKET"/>
    <s v="Miércoles"/>
    <s v="Miércoles"/>
    <n v="14"/>
    <x v="9"/>
    <s v="V201001"/>
    <x v="9"/>
    <n v="-10"/>
    <n v="-10"/>
    <n v="221.67"/>
    <n v="0"/>
    <n v="0"/>
    <n v="0"/>
    <n v="-399.01"/>
    <n v="-2216.6999999999998"/>
    <n v="-2616"/>
    <n v="93"/>
    <s v="Junior M. Ramos (Isaac Maria)"/>
    <s v="DN7"/>
    <n v="10"/>
    <n v="113"/>
    <s v="REFISAL"/>
    <n v="82101"/>
    <s v="REFISAL PACA"/>
    <s v="Brinsa Dominicana"/>
    <s v="S5"/>
    <s v="Fernando Martinez  (DN)"/>
    <s v="P007"/>
    <s v="Distrito Nacional"/>
    <s v="E340000009430"/>
    <n v="0"/>
    <n v="0"/>
    <s v="NULL"/>
    <s v="NULL"/>
    <n v="0"/>
    <n v="0"/>
    <s v="CONTADO                                           "/>
    <n v="3"/>
    <n v="2009443"/>
    <s v="Almacenes"/>
    <s v="General"/>
  </r>
  <r>
    <n v="109"/>
    <s v="A Grande"/>
    <n v="3"/>
    <n v="2009443"/>
    <s v="Tony Vallejo"/>
    <s v="Logistica y Distribucion"/>
    <n v="-5573299"/>
    <d v="2026-02-02T00:00:00"/>
    <d v="2026-02-02T00:00:00"/>
    <n v="2026"/>
    <n v="2"/>
    <s v="T1"/>
    <n v="-1"/>
    <s v="Alimentos - Espejo"/>
    <s v="Santo Domnigo"/>
    <n v="26"/>
    <s v="CAMION AVERIADO"/>
    <n v="6"/>
    <n v="2"/>
    <n v="2280"/>
    <n v="3"/>
    <s v="C002280"/>
    <s v="Mini Market Familiar"/>
    <s v="MINI MARKET"/>
    <s v="Miércoles"/>
    <s v="Miércoles"/>
    <n v="14"/>
    <x v="10"/>
    <s v="V611221"/>
    <x v="10"/>
    <n v="-1"/>
    <n v="-1"/>
    <n v="194.92"/>
    <n v="0"/>
    <n v="0"/>
    <n v="0"/>
    <n v="-35.090000000000003"/>
    <n v="-194.92"/>
    <n v="-230"/>
    <n v="93"/>
    <s v="Junior M. Ramos (Isaac Maria)"/>
    <s v="DN7"/>
    <n v="10"/>
    <n v="193"/>
    <s v="Snack"/>
    <n v="65105"/>
    <s v="ALIMENTOS"/>
    <s v="Corporacion Poiroto SRL"/>
    <s v="S5"/>
    <s v="Fernando Martinez  (DN)"/>
    <s v="P007"/>
    <s v="Distrito Nacional"/>
    <s v="E340000009430"/>
    <n v="0"/>
    <n v="0"/>
    <s v="NULL"/>
    <s v="NULL"/>
    <n v="0"/>
    <n v="0"/>
    <s v="CONTADO                                           "/>
    <n v="3"/>
    <n v="2009443"/>
    <s v="Almacenes"/>
    <s v="General"/>
  </r>
  <r>
    <n v="109"/>
    <s v="A Grande"/>
    <n v="3"/>
    <n v="2009443"/>
    <s v="Tony Vallejo"/>
    <s v="Logistica y Distribucion"/>
    <n v="-5573299"/>
    <d v="2026-02-02T00:00:00"/>
    <d v="2026-02-02T00:00:00"/>
    <n v="2026"/>
    <n v="2"/>
    <s v="T1"/>
    <n v="-1"/>
    <s v="Alimentos - Espejo"/>
    <s v="Santo Domnigo"/>
    <n v="26"/>
    <s v="CAMION AVERIADO"/>
    <n v="6"/>
    <n v="2"/>
    <n v="2280"/>
    <n v="3"/>
    <s v="C002280"/>
    <s v="Mini Market Familiar"/>
    <s v="MINI MARKET"/>
    <s v="Miércoles"/>
    <s v="Miércoles"/>
    <n v="14"/>
    <x v="11"/>
    <s v="V930045"/>
    <x v="11"/>
    <n v="-0.16666666666666"/>
    <n v="-4"/>
    <n v="103.5"/>
    <n v="0"/>
    <n v="0"/>
    <n v="0"/>
    <n v="-74.52"/>
    <n v="-414"/>
    <n v="-489"/>
    <n v="93"/>
    <s v="Junior M. Ramos (Isaac Maria)"/>
    <s v="DN7"/>
    <n v="10"/>
    <n v="204"/>
    <s v="GALLETERIA"/>
    <n v="0"/>
    <s v="NULL"/>
    <s v="COLOMBINA"/>
    <s v="S5"/>
    <s v="Fernando Martinez  (DN)"/>
    <s v="P007"/>
    <s v="Distrito Nacional"/>
    <s v="E340000009430"/>
    <n v="0"/>
    <n v="0"/>
    <s v="NULL"/>
    <s v="NULL"/>
    <n v="0"/>
    <n v="0"/>
    <s v="CONTADO                                           "/>
    <n v="3"/>
    <n v="2009443"/>
    <s v="Almacenes"/>
    <s v="General"/>
  </r>
  <r>
    <n v="109"/>
    <s v="A Grande"/>
    <n v="3"/>
    <n v="2008087"/>
    <s v="Tony Vallejo"/>
    <s v="Logistica y Distribucion"/>
    <n v="-5571926"/>
    <d v="2026-01-27T00:00:00"/>
    <d v="2026-01-27T00:00:00"/>
    <n v="2026"/>
    <n v="1"/>
    <s v="T1"/>
    <n v="-1"/>
    <s v="Alimentos - Espejo"/>
    <s v="Santo Domnigo"/>
    <n v="18"/>
    <s v="PEDIDO NO REALIZADO POR CLIENTE"/>
    <n v="5"/>
    <n v="27"/>
    <n v="19291"/>
    <n v="3"/>
    <s v="C019291"/>
    <s v="Mini Market Isamal Comercial"/>
    <s v="MINI MARKET"/>
    <s v="Miércoles"/>
    <s v="Miércoles"/>
    <n v="8"/>
    <x v="12"/>
    <s v="V800791"/>
    <x v="12"/>
    <n v="-0.52"/>
    <n v="-13"/>
    <n v="153.11000000000001"/>
    <n v="0"/>
    <n v="0"/>
    <n v="0"/>
    <n v="-358.28"/>
    <n v="-1990.43"/>
    <n v="-2349"/>
    <n v="4"/>
    <s v="Argelis Salvador (Bido)"/>
    <s v="DN2"/>
    <n v="10"/>
    <n v="207"/>
    <s v="BOLONES"/>
    <n v="65103"/>
    <s v="ALIMENTOS DULCES"/>
    <s v="COLOMBINA"/>
    <s v="S5"/>
    <s v="Fernando Martinez  (DN)"/>
    <s v="P003"/>
    <s v="Distrito Nacional"/>
    <s v="E340000008074"/>
    <n v="0"/>
    <n v="0"/>
    <s v="NULL"/>
    <s v="NULL"/>
    <n v="0"/>
    <n v="0"/>
    <s v="CONTADO                                           "/>
    <n v="3"/>
    <n v="2008087"/>
    <s v="Almacenes"/>
    <s v="General"/>
  </r>
  <r>
    <n v="223"/>
    <s v="A Grande"/>
    <n v="3"/>
    <n v="2005499"/>
    <s v="Martin Figueroa"/>
    <s v="Logistica y Distribucion"/>
    <n v="-5569285"/>
    <d v="2026-01-12T00:00:00"/>
    <d v="2026-01-12T00:00:00"/>
    <n v="2026"/>
    <n v="1"/>
    <s v="T1"/>
    <n v="-1"/>
    <s v="General"/>
    <s v="Santo Domnigo"/>
    <n v="23"/>
    <s v="ERROR EN LA TOMA DEL PEDIDO"/>
    <n v="3"/>
    <n v="12"/>
    <n v="1019"/>
    <n v="3"/>
    <s v="C001019"/>
    <s v="Mini Market Shairelys SRL"/>
    <s v="MINI MARKET"/>
    <s v="Viernes"/>
    <s v="Viernes"/>
    <n v="60"/>
    <x v="13"/>
    <s v="v101038"/>
    <x v="13"/>
    <n v="-2"/>
    <n v="-20"/>
    <n v="354.25"/>
    <n v="0"/>
    <n v="0"/>
    <n v="0"/>
    <n v="-1275.3"/>
    <n v="-7085"/>
    <n v="-8360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40000005487"/>
    <n v="0"/>
    <n v="0"/>
    <s v="NULL"/>
    <s v="NULL"/>
    <n v="0"/>
    <n v="0"/>
    <s v="CONTADO                                           "/>
    <n v="3"/>
    <n v="2005499"/>
    <s v="Almacenes"/>
    <s v="General"/>
  </r>
  <r>
    <n v="242"/>
    <s v="A Grande"/>
    <n v="3"/>
    <n v="6149988"/>
    <s v="Agustin Luna Valdez"/>
    <s v="Logistica y Distribucion"/>
    <n v="9978880"/>
    <d v="2026-01-03T00:00:00"/>
    <d v="2026-01-03T00:00:00"/>
    <n v="2026"/>
    <n v="1"/>
    <s v="T1"/>
    <n v="1"/>
    <s v="General"/>
    <s v="Santo Domnigo"/>
    <s v="NULL"/>
    <s v="NULL"/>
    <n v="1"/>
    <n v="3"/>
    <n v="2280"/>
    <n v="3"/>
    <s v="C002280"/>
    <s v="Mini Market Familiar"/>
    <s v="MINI MARKET"/>
    <s v="Miércoles"/>
    <s v="Miércoles"/>
    <n v="14"/>
    <x v="14"/>
    <s v="V800088"/>
    <x v="14"/>
    <n v="1"/>
    <n v="8"/>
    <n v="349.28"/>
    <n v="0"/>
    <n v="0"/>
    <n v="0"/>
    <n v="502.96"/>
    <n v="2794.24"/>
    <n v="3297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066390"/>
    <n v="0"/>
    <n v="0"/>
    <s v="NULL"/>
    <s v="NULL"/>
    <n v="0"/>
    <n v="0"/>
    <s v="CONTADO                                           "/>
    <n v="13"/>
    <n v="6149988"/>
    <s v="Almacenes"/>
    <s v="General"/>
  </r>
  <r>
    <n v="242"/>
    <s v="A Grande"/>
    <n v="3"/>
    <n v="6149988"/>
    <s v="Agustin Luna Valdez"/>
    <s v="Logistica y Distribucion"/>
    <n v="9978880"/>
    <d v="2026-01-03T00:00:00"/>
    <d v="2026-01-03T00:00:00"/>
    <n v="2026"/>
    <n v="1"/>
    <s v="T1"/>
    <n v="1"/>
    <s v="General"/>
    <s v="Santo Domnigo"/>
    <s v="NULL"/>
    <s v="NULL"/>
    <n v="1"/>
    <n v="3"/>
    <n v="2280"/>
    <n v="3"/>
    <s v="C002280"/>
    <s v="Mini Market Familiar"/>
    <s v="MINI MARKET"/>
    <s v="Miércoles"/>
    <s v="Miércoles"/>
    <n v="14"/>
    <x v="13"/>
    <s v="v101038"/>
    <x v="13"/>
    <n v="1"/>
    <n v="10"/>
    <n v="357.83"/>
    <n v="0"/>
    <n v="0"/>
    <n v="0"/>
    <n v="644.09"/>
    <n v="3578.3"/>
    <n v="4222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066390"/>
    <n v="0"/>
    <n v="0"/>
    <s v="NULL"/>
    <s v="NULL"/>
    <n v="0"/>
    <n v="0"/>
    <s v="CONTADO                                           "/>
    <n v="13"/>
    <n v="6149988"/>
    <s v="Almacenes"/>
    <s v="General"/>
  </r>
  <r>
    <n v="223"/>
    <s v="A Grande"/>
    <n v="3"/>
    <n v="6154497"/>
    <s v="Martin Figueroa"/>
    <s v="Logistica y Distribucion"/>
    <n v="9983389"/>
    <d v="2026-01-07T00:00:00"/>
    <d v="2026-01-07T00:00:00"/>
    <n v="2026"/>
    <n v="1"/>
    <s v="T1"/>
    <n v="1"/>
    <s v="Alimentos - Espejo"/>
    <s v="Santo Domnigo"/>
    <s v="NULL"/>
    <s v="NULL"/>
    <n v="2"/>
    <n v="7"/>
    <n v="12191"/>
    <n v="3"/>
    <s v="C012191"/>
    <s v="Super Mercado La Ballena"/>
    <s v="SUPERMERCADO"/>
    <s v="Lunes"/>
    <s v="Lunes"/>
    <n v="91"/>
    <x v="12"/>
    <s v="V800791"/>
    <x v="12"/>
    <n v="0.2"/>
    <n v="5"/>
    <n v="150.01"/>
    <n v="0"/>
    <n v="0"/>
    <n v="0"/>
    <n v="135.01"/>
    <n v="750.05"/>
    <n v="885"/>
    <n v="91"/>
    <s v="Enrrique Morillo (DN)"/>
    <s v="DN6"/>
    <n v="10"/>
    <n v="207"/>
    <s v="BOLONES"/>
    <n v="65103"/>
    <s v="ALIMENTOS DULCES"/>
    <s v="COLOMBINA"/>
    <s v="S5"/>
    <s v="Fernando Martinez  (DN)"/>
    <s v="DN013"/>
    <s v="Distrito Nacional"/>
    <s v="E320000070795"/>
    <n v="0"/>
    <n v="0"/>
    <s v="NULL"/>
    <s v="NULL"/>
    <n v="0"/>
    <n v="0"/>
    <s v="CONTADO                                           "/>
    <n v="13"/>
    <n v="6154497"/>
    <s v="Almacenes"/>
    <s v="General"/>
  </r>
  <r>
    <n v="242"/>
    <s v="A Grande"/>
    <n v="3"/>
    <n v="6154767"/>
    <s v="Agustin Luna Valdez"/>
    <s v="Logistica y Distribucion"/>
    <n v="9983659"/>
    <d v="2026-01-07T00:00:00"/>
    <d v="2026-01-07T00:00:00"/>
    <n v="2026"/>
    <n v="1"/>
    <s v="T1"/>
    <n v="1"/>
    <s v="Alimentos - Espejo"/>
    <s v="Santo Domnigo"/>
    <s v="NULL"/>
    <s v="NULL"/>
    <n v="2"/>
    <n v="7"/>
    <n v="2280"/>
    <n v="3"/>
    <s v="C002280"/>
    <s v="Mini Market Familiar"/>
    <s v="MINI MARKET"/>
    <s v="Miércoles"/>
    <s v="Miércoles"/>
    <n v="14"/>
    <x v="12"/>
    <s v="V800791"/>
    <x v="12"/>
    <n v="0.08"/>
    <n v="2"/>
    <n v="150.01"/>
    <n v="0"/>
    <n v="0"/>
    <n v="0"/>
    <n v="54"/>
    <n v="300.02"/>
    <n v="354"/>
    <n v="93"/>
    <s v="Junior M. Ramos (Isaac Maria)"/>
    <s v="DN7"/>
    <n v="10"/>
    <n v="207"/>
    <s v="BOLONES"/>
    <n v="65103"/>
    <s v="ALIMENTOS DULCES"/>
    <s v="COLOMBINA"/>
    <s v="S5"/>
    <s v="Fernando Martinez  (DN)"/>
    <s v="P007"/>
    <s v="Distrito Nacional"/>
    <s v="E320000071055"/>
    <n v="0"/>
    <n v="0"/>
    <s v="NULL"/>
    <s v="NULL"/>
    <n v="0"/>
    <n v="0"/>
    <s v="CONTADO                                           "/>
    <n v="13"/>
    <n v="6154767"/>
    <s v="Almacenes"/>
    <s v="General"/>
  </r>
  <r>
    <n v="242"/>
    <s v="A Grande"/>
    <n v="3"/>
    <n v="6154767"/>
    <s v="Agustin Luna Valdez"/>
    <s v="Logistica y Distribucion"/>
    <n v="9983659"/>
    <d v="2026-01-07T00:00:00"/>
    <d v="2026-01-07T00:00:00"/>
    <n v="2026"/>
    <n v="1"/>
    <s v="T1"/>
    <n v="1"/>
    <s v="Alimentos - Espejo"/>
    <s v="Santo Domnigo"/>
    <s v="NULL"/>
    <s v="NULL"/>
    <n v="2"/>
    <n v="7"/>
    <n v="2280"/>
    <n v="3"/>
    <s v="C002280"/>
    <s v="Mini Market Familiar"/>
    <s v="MINI MARKET"/>
    <s v="Miércoles"/>
    <s v="Miércoles"/>
    <n v="14"/>
    <x v="15"/>
    <s v="V925064"/>
    <x v="15"/>
    <n v="0.24"/>
    <n v="12"/>
    <n v="32.86"/>
    <n v="0"/>
    <n v="0"/>
    <n v="0"/>
    <n v="70.98"/>
    <n v="394.32"/>
    <n v="465"/>
    <n v="93"/>
    <s v="Junior M. Ramos (Isaac Maria)"/>
    <s v="DN7"/>
    <n v="10"/>
    <n v="117"/>
    <s v="DIMAR"/>
    <n v="65104"/>
    <s v="ALIMENTOS SARDINAS"/>
    <s v="DIMAR DOMINICANA"/>
    <s v="S5"/>
    <s v="Fernando Martinez  (DN)"/>
    <s v="P007"/>
    <s v="Distrito Nacional"/>
    <s v="E320000071055"/>
    <n v="0"/>
    <n v="0"/>
    <s v="NULL"/>
    <s v="NULL"/>
    <n v="0"/>
    <n v="0"/>
    <s v="CONTADO                                           "/>
    <n v="13"/>
    <n v="6154767"/>
    <s v="Almacenes"/>
    <s v="General"/>
  </r>
  <r>
    <n v="242"/>
    <s v="A Grande"/>
    <n v="3"/>
    <n v="6154767"/>
    <s v="Agustin Luna Valdez"/>
    <s v="Logistica y Distribucion"/>
    <n v="9983659"/>
    <d v="2026-01-07T00:00:00"/>
    <d v="2026-01-07T00:00:00"/>
    <n v="2026"/>
    <n v="1"/>
    <s v="T1"/>
    <n v="1"/>
    <s v="General"/>
    <s v="Santo Domnigo"/>
    <s v="NULL"/>
    <s v="NULL"/>
    <n v="2"/>
    <n v="7"/>
    <n v="2280"/>
    <n v="3"/>
    <s v="C002280"/>
    <s v="Mini Market Familiar"/>
    <s v="MINI MARKET"/>
    <s v="Miércoles"/>
    <s v="Miércoles"/>
    <n v="14"/>
    <x v="9"/>
    <s v="V201001"/>
    <x v="9"/>
    <n v="5"/>
    <n v="5"/>
    <n v="221.67"/>
    <n v="0"/>
    <n v="0"/>
    <n v="0"/>
    <n v="199.5"/>
    <n v="1108.3499999999999"/>
    <n v="1308"/>
    <n v="93"/>
    <s v="Junior M. Ramos (Isaac Maria)"/>
    <s v="DN7"/>
    <n v="10"/>
    <n v="113"/>
    <s v="REFISAL"/>
    <n v="82101"/>
    <s v="REFISAL PACA"/>
    <s v="Brinsa Dominicana"/>
    <s v="S5"/>
    <s v="Fernando Martinez  (DN)"/>
    <s v="P007"/>
    <s v="Distrito Nacional"/>
    <s v="E320000071055"/>
    <n v="0"/>
    <n v="0"/>
    <s v="NULL"/>
    <s v="NULL"/>
    <n v="0"/>
    <n v="0"/>
    <s v="CONTADO                                           "/>
    <n v="13"/>
    <n v="6154767"/>
    <s v="Almacenes"/>
    <s v="General"/>
  </r>
  <r>
    <n v="229"/>
    <s v="A Grande"/>
    <n v="3"/>
    <n v="6155947"/>
    <s v="Juan Alberto Contreras Perez"/>
    <s v="Logistica y Distribucion"/>
    <n v="9984839"/>
    <d v="2026-01-08T00:00:00"/>
    <d v="2026-01-08T00:00:00"/>
    <n v="2026"/>
    <n v="1"/>
    <s v="T1"/>
    <n v="1"/>
    <s v="General"/>
    <s v="Santo Domnigo"/>
    <s v="NULL"/>
    <s v="NULL"/>
    <n v="2"/>
    <n v="8"/>
    <n v="37594"/>
    <n v="3"/>
    <s v="C037594"/>
    <s v="Mini Market El patron 3."/>
    <s v="MINI MARKET"/>
    <s v="Miércoles"/>
    <s v="Miércoles"/>
    <n v="72"/>
    <x v="9"/>
    <s v="V201001"/>
    <x v="9"/>
    <n v="25"/>
    <n v="25"/>
    <n v="212.8"/>
    <n v="0"/>
    <n v="0"/>
    <n v="0"/>
    <n v="957.6"/>
    <n v="5320"/>
    <n v="6278"/>
    <n v="95"/>
    <s v="Benigno Paniagua (T)"/>
    <s v="SDO5"/>
    <n v="10"/>
    <n v="113"/>
    <s v="REFISAL"/>
    <n v="82101"/>
    <s v="REFISAL PACA"/>
    <s v="Brinsa Dominicana"/>
    <s v="S2"/>
    <s v="Fernando Martinez (SDO)"/>
    <s v="P010"/>
    <s v="Santo Domingo Oeste"/>
    <s v="E310000005526"/>
    <n v="0"/>
    <n v="0"/>
    <s v="NULL"/>
    <s v="NULL"/>
    <n v="0"/>
    <n v="0"/>
    <s v="CONTADO                                           "/>
    <n v="13"/>
    <n v="6155947"/>
    <s v="Almacenes"/>
    <s v="General"/>
  </r>
  <r>
    <n v="229"/>
    <s v="A Grande"/>
    <n v="3"/>
    <n v="6155948"/>
    <s v="Juan Alberto Contreras Perez"/>
    <s v="Logistica y Distribucion"/>
    <n v="9984840"/>
    <d v="2026-01-08T00:00:00"/>
    <d v="2026-01-08T00:00:00"/>
    <n v="2026"/>
    <n v="1"/>
    <s v="T1"/>
    <n v="1"/>
    <s v="General"/>
    <s v="Santo Domnigo"/>
    <s v="NULL"/>
    <s v="NULL"/>
    <n v="2"/>
    <n v="8"/>
    <n v="37594"/>
    <n v="3"/>
    <s v="C037594"/>
    <s v="Mini Market El patron 3."/>
    <s v="MINI MARKET"/>
    <s v="Miércoles"/>
    <s v="Miércoles"/>
    <n v="72"/>
    <x v="16"/>
    <s v="V103001"/>
    <x v="16"/>
    <n v="3.625"/>
    <n v="174"/>
    <n v="17.68"/>
    <n v="0"/>
    <n v="0"/>
    <n v="0"/>
    <n v="553.74"/>
    <n v="3076.32"/>
    <n v="3630"/>
    <n v="95"/>
    <s v="Benigno Paniagua (T)"/>
    <s v="SDO5"/>
    <n v="10"/>
    <n v="107"/>
    <s v="FAMILIA"/>
    <n v="6770651"/>
    <s v="CUIDADO FAMILIAR"/>
    <s v="Continental de Negocios"/>
    <s v="S2"/>
    <s v="Fernando Martinez (SDO)"/>
    <s v="P010"/>
    <s v="Santo Domingo Oeste"/>
    <s v="E310000005527"/>
    <n v="0"/>
    <n v="0"/>
    <s v="NULL"/>
    <s v="NULL"/>
    <n v="0"/>
    <n v="0"/>
    <s v="CONTADO                                           "/>
    <n v="13"/>
    <n v="6155948"/>
    <s v="Almacenes"/>
    <s v="General"/>
  </r>
  <r>
    <n v="229"/>
    <s v="A Grande"/>
    <n v="3"/>
    <n v="6155948"/>
    <s v="Juan Alberto Contreras Perez"/>
    <s v="Logistica y Distribucion"/>
    <n v="9984840"/>
    <d v="2026-01-08T00:00:00"/>
    <d v="2026-01-08T00:00:00"/>
    <n v="2026"/>
    <n v="1"/>
    <s v="T1"/>
    <n v="1"/>
    <s v="General"/>
    <s v="Santo Domnigo"/>
    <s v="NULL"/>
    <s v="NULL"/>
    <n v="2"/>
    <n v="8"/>
    <n v="37594"/>
    <n v="3"/>
    <s v="C037594"/>
    <s v="Mini Market El patron 3."/>
    <s v="MINI MARKET"/>
    <s v="Miércoles"/>
    <s v="Miércoles"/>
    <n v="72"/>
    <x v="17"/>
    <s v="V103113"/>
    <x v="17"/>
    <n v="3"/>
    <n v="3"/>
    <n v="0"/>
    <n v="0"/>
    <n v="0"/>
    <n v="0"/>
    <n v="0"/>
    <n v="0"/>
    <n v="0"/>
    <n v="95"/>
    <s v="Benigno Paniagua (T)"/>
    <s v="SDO5"/>
    <n v="10"/>
    <n v="107"/>
    <s v="FAMILIA"/>
    <n v="6770651"/>
    <s v="CUIDADO FAMILIAR"/>
    <s v="Continental de Negocios"/>
    <s v="S2"/>
    <s v="Fernando Martinez (SDO)"/>
    <s v="P010"/>
    <s v="Santo Domingo Oeste"/>
    <s v="E310000005527"/>
    <n v="0"/>
    <n v="0"/>
    <s v="NULL"/>
    <s v="NULL"/>
    <n v="0"/>
    <n v="0"/>
    <s v="CONTADO                                           "/>
    <n v="13"/>
    <n v="6155948"/>
    <s v="Almacenes"/>
    <s v="General"/>
  </r>
  <r>
    <n v="229"/>
    <s v="A Grande"/>
    <n v="3"/>
    <n v="6155948"/>
    <s v="Juan Alberto Contreras Perez"/>
    <s v="Logistica y Distribucion"/>
    <n v="9984840"/>
    <d v="2026-01-08T00:00:00"/>
    <d v="2026-01-08T00:00:00"/>
    <n v="2026"/>
    <n v="1"/>
    <s v="T1"/>
    <n v="1"/>
    <s v="General"/>
    <s v="Santo Domnigo"/>
    <s v="NULL"/>
    <s v="NULL"/>
    <n v="2"/>
    <n v="8"/>
    <n v="37594"/>
    <n v="3"/>
    <s v="C037594"/>
    <s v="Mini Market El patron 3."/>
    <s v="MINI MARKET"/>
    <s v="Miércoles"/>
    <s v="Miércoles"/>
    <n v="72"/>
    <x v="18"/>
    <s v="V101124"/>
    <x v="18"/>
    <n v="0.5"/>
    <n v="12"/>
    <n v="73.7"/>
    <n v="0"/>
    <n v="0"/>
    <n v="0"/>
    <n v="159.19"/>
    <n v="884.4"/>
    <n v="1044"/>
    <n v="95"/>
    <s v="Benigno Paniagua (T)"/>
    <s v="SDO5"/>
    <n v="10"/>
    <n v="135"/>
    <s v="CUIDADO DE BEBE"/>
    <n v="6770651"/>
    <s v="CUIDADO FAMILIAR"/>
    <s v="Continental de Negocios"/>
    <s v="S2"/>
    <s v="Fernando Martinez (SDO)"/>
    <s v="P010"/>
    <s v="Santo Domingo Oeste"/>
    <s v="E310000005527"/>
    <n v="0"/>
    <n v="0"/>
    <s v="NULL"/>
    <s v="NULL"/>
    <n v="0"/>
    <n v="0"/>
    <s v="CONTADO                                           "/>
    <n v="13"/>
    <n v="6155948"/>
    <s v="Almacenes"/>
    <s v="General"/>
  </r>
  <r>
    <n v="125"/>
    <s v="A Grande"/>
    <n v="3"/>
    <n v="6156847"/>
    <s v="Juan Rosario"/>
    <s v="Logistica y Distribucion"/>
    <n v="9985739"/>
    <d v="2026-01-08T00:00:00"/>
    <d v="2026-01-08T00:00:00"/>
    <n v="2026"/>
    <n v="1"/>
    <s v="T1"/>
    <n v="1"/>
    <s v="General"/>
    <s v="Santo Domnigo"/>
    <s v="NULL"/>
    <s v="NULL"/>
    <n v="2"/>
    <n v="8"/>
    <n v="36908"/>
    <n v="3"/>
    <s v="c036908"/>
    <s v="Asociacion De Detallistas Unidos De Mendoza"/>
    <s v="SUPERMERCADO"/>
    <s v="Miércoles"/>
    <s v="Miércoles"/>
    <n v="11"/>
    <x v="13"/>
    <s v="v101038"/>
    <x v="13"/>
    <n v="0.3"/>
    <n v="3"/>
    <n v="357.83"/>
    <n v="0"/>
    <n v="0"/>
    <n v="0"/>
    <n v="193.23"/>
    <n v="1073.49"/>
    <n v="1267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073043"/>
    <n v="0"/>
    <n v="0"/>
    <s v="NULL"/>
    <s v="NULL"/>
    <n v="0"/>
    <n v="0"/>
    <s v="CONTADO                                           "/>
    <n v="13"/>
    <n v="6156847"/>
    <s v="Almacenes"/>
    <s v="General"/>
  </r>
  <r>
    <n v="125"/>
    <s v="A Grande"/>
    <n v="3"/>
    <n v="6156847"/>
    <s v="Juan Rosario"/>
    <s v="Logistica y Distribucion"/>
    <n v="9985739"/>
    <d v="2026-01-08T00:00:00"/>
    <d v="2026-01-08T00:00:00"/>
    <n v="2026"/>
    <n v="1"/>
    <s v="T1"/>
    <n v="1"/>
    <s v="General"/>
    <s v="Santo Domnigo"/>
    <s v="NULL"/>
    <s v="NULL"/>
    <n v="2"/>
    <n v="8"/>
    <n v="36908"/>
    <n v="3"/>
    <s v="c036908"/>
    <s v="Asociacion De Detallistas Unidos De Mendoza"/>
    <s v="SUPERMERCADO"/>
    <s v="Miércoles"/>
    <s v="Miércoles"/>
    <n v="11"/>
    <x v="19"/>
    <s v="V800089"/>
    <x v="19"/>
    <n v="0.375"/>
    <n v="3"/>
    <n v="349.28"/>
    <n v="0"/>
    <n v="0"/>
    <n v="0"/>
    <n v="188.61"/>
    <n v="1047.8399999999999"/>
    <n v="1236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073043"/>
    <n v="0"/>
    <n v="0"/>
    <s v="NULL"/>
    <s v="NULL"/>
    <n v="0"/>
    <n v="0"/>
    <s v="CONTADO                                           "/>
    <n v="13"/>
    <n v="6156847"/>
    <s v="Almacenes"/>
    <s v="General"/>
  </r>
  <r>
    <n v="125"/>
    <s v="A Grande"/>
    <n v="3"/>
    <n v="6156847"/>
    <s v="Juan Rosario"/>
    <s v="Logistica y Distribucion"/>
    <n v="9985739"/>
    <d v="2026-01-08T00:00:00"/>
    <d v="2026-01-08T00:00:00"/>
    <n v="2026"/>
    <n v="1"/>
    <s v="T1"/>
    <n v="1"/>
    <s v="General"/>
    <s v="Santo Domnigo"/>
    <s v="NULL"/>
    <s v="NULL"/>
    <n v="2"/>
    <n v="8"/>
    <n v="36908"/>
    <n v="3"/>
    <s v="c036908"/>
    <s v="Asociacion De Detallistas Unidos De Mendoza"/>
    <s v="SUPERMERCADO"/>
    <s v="Miércoles"/>
    <s v="Miércoles"/>
    <n v="11"/>
    <x v="14"/>
    <s v="V800088"/>
    <x v="14"/>
    <n v="0.375"/>
    <n v="3"/>
    <n v="349.28"/>
    <n v="0"/>
    <n v="0"/>
    <n v="0"/>
    <n v="188.61"/>
    <n v="1047.8399999999999"/>
    <n v="1236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073043"/>
    <n v="0"/>
    <n v="0"/>
    <s v="NULL"/>
    <s v="NULL"/>
    <n v="0"/>
    <n v="0"/>
    <s v="CONTADO                                           "/>
    <n v="13"/>
    <n v="6156847"/>
    <s v="Almacenes"/>
    <s v="General"/>
  </r>
  <r>
    <n v="254"/>
    <s v="A Grande"/>
    <n v="3"/>
    <n v="6158215"/>
    <s v="Santo Muñoz de Paula"/>
    <s v="Logistica y Distribucion"/>
    <n v="9987107"/>
    <d v="2026-01-09T00:00:00"/>
    <d v="2026-01-09T00:00:00"/>
    <n v="2026"/>
    <n v="1"/>
    <s v="T1"/>
    <n v="1"/>
    <s v="General"/>
    <s v="Santo Domnigo"/>
    <s v="NULL"/>
    <s v="NULL"/>
    <n v="2"/>
    <n v="9"/>
    <n v="5474"/>
    <n v="3"/>
    <s v="C005474"/>
    <s v="Mini Market Gracia Divina"/>
    <s v="MINI MARKET"/>
    <s v="Jueves"/>
    <s v="SinAsignar"/>
    <n v="70"/>
    <x v="17"/>
    <s v="V103113"/>
    <x v="17"/>
    <n v="1"/>
    <n v="1"/>
    <n v="0"/>
    <n v="0"/>
    <n v="0"/>
    <n v="0"/>
    <n v="0"/>
    <n v="0"/>
    <n v="0"/>
    <n v="94"/>
    <s v="Vicente Cruz"/>
    <s v="SDO6"/>
    <n v="10"/>
    <n v="107"/>
    <s v="FAMILIA"/>
    <n v="6770651"/>
    <s v="CUIDADO FAMILIAR"/>
    <s v="Continental de Negocios"/>
    <s v="S2"/>
    <s v="Fernando Martinez (SDO)"/>
    <s v="P009"/>
    <s v="Santo Domingo Oeste"/>
    <s v="E310000005681"/>
    <n v="0"/>
    <n v="0"/>
    <s v="NULL"/>
    <s v="NULL"/>
    <n v="0"/>
    <n v="0"/>
    <s v="CONTADO                                           "/>
    <n v="13"/>
    <n v="6158215"/>
    <s v="Almacenes"/>
    <s v="General"/>
  </r>
  <r>
    <n v="254"/>
    <s v="A Grande"/>
    <n v="3"/>
    <n v="6158215"/>
    <s v="Santo Muñoz de Paula"/>
    <s v="Logistica y Distribucion"/>
    <n v="9987107"/>
    <d v="2026-01-09T00:00:00"/>
    <d v="2026-01-09T00:00:00"/>
    <n v="2026"/>
    <n v="1"/>
    <s v="T1"/>
    <n v="1"/>
    <s v="General"/>
    <s v="Santo Domnigo"/>
    <s v="NULL"/>
    <s v="NULL"/>
    <n v="2"/>
    <n v="9"/>
    <n v="5474"/>
    <n v="3"/>
    <s v="C005474"/>
    <s v="Mini Market Gracia Divina"/>
    <s v="MINI MARKET"/>
    <s v="Jueves"/>
    <s v="SinAsignar"/>
    <n v="70"/>
    <x v="16"/>
    <s v="V103001"/>
    <x v="16"/>
    <n v="1.2083333333333299"/>
    <n v="58"/>
    <n v="17.68"/>
    <n v="0"/>
    <n v="0"/>
    <n v="0"/>
    <n v="184.58"/>
    <n v="1025.44"/>
    <n v="1210"/>
    <n v="94"/>
    <s v="Vicente Cruz"/>
    <s v="SDO6"/>
    <n v="10"/>
    <n v="107"/>
    <s v="FAMILIA"/>
    <n v="6770651"/>
    <s v="CUIDADO FAMILIAR"/>
    <s v="Continental de Negocios"/>
    <s v="S2"/>
    <s v="Fernando Martinez (SDO)"/>
    <s v="P009"/>
    <s v="Santo Domingo Oeste"/>
    <s v="E310000005681"/>
    <n v="0"/>
    <n v="0"/>
    <s v="NULL"/>
    <s v="NULL"/>
    <n v="0"/>
    <n v="0"/>
    <s v="CONTADO                                           "/>
    <n v="13"/>
    <n v="6158215"/>
    <s v="Almacenes"/>
    <s v="General"/>
  </r>
  <r>
    <n v="254"/>
    <s v="A Grande"/>
    <n v="3"/>
    <n v="6158258"/>
    <s v="Santo Muñoz de Paula"/>
    <s v="Logistica y Distribucion"/>
    <n v="9987150"/>
    <d v="2026-01-09T00:00:00"/>
    <d v="2026-01-09T00:00:00"/>
    <n v="2026"/>
    <n v="1"/>
    <s v="T1"/>
    <n v="1"/>
    <s v="General"/>
    <s v="Santo Domnigo"/>
    <s v="NULL"/>
    <s v="NULL"/>
    <n v="2"/>
    <n v="9"/>
    <n v="5474"/>
    <n v="3"/>
    <s v="C005474"/>
    <s v="Mini Market Gracia Divina"/>
    <s v="MINI MARKET"/>
    <s v="Jueves"/>
    <s v="SinAsignar"/>
    <n v="70"/>
    <x v="20"/>
    <s v="V611055"/>
    <x v="20"/>
    <n v="5"/>
    <n v="20"/>
    <n v="78.319999999999993"/>
    <n v="0"/>
    <n v="0"/>
    <n v="0"/>
    <n v="281.95"/>
    <n v="1566.4"/>
    <n v="1848"/>
    <n v="94"/>
    <s v="Vicente Cruz"/>
    <s v="SDO6"/>
    <n v="10"/>
    <n v="114"/>
    <s v="BLANCOX"/>
    <n v="66102"/>
    <s v="BLANCOX BOTELLA"/>
    <s v="Brinsa Dominicana"/>
    <s v="S2"/>
    <s v="Fernando Martinez (SDO)"/>
    <s v="P009"/>
    <s v="Santo Domingo Oeste"/>
    <s v="E310000005686"/>
    <n v="0"/>
    <n v="0"/>
    <s v="NULL"/>
    <s v="NULL"/>
    <n v="0"/>
    <n v="0"/>
    <s v="CONTADO                                           "/>
    <n v="13"/>
    <n v="6158258"/>
    <s v="Almacenes"/>
    <s v="General"/>
  </r>
  <r>
    <n v="254"/>
    <s v="A Grande"/>
    <n v="3"/>
    <n v="6158258"/>
    <s v="Santo Muñoz de Paula"/>
    <s v="Logistica y Distribucion"/>
    <n v="9987150"/>
    <d v="2026-01-09T00:00:00"/>
    <d v="2026-01-09T00:00:00"/>
    <n v="2026"/>
    <n v="1"/>
    <s v="T1"/>
    <n v="1"/>
    <s v="General"/>
    <s v="Santo Domnigo"/>
    <s v="NULL"/>
    <s v="NULL"/>
    <n v="2"/>
    <n v="9"/>
    <n v="5474"/>
    <n v="3"/>
    <s v="C005474"/>
    <s v="Mini Market Gracia Divina"/>
    <s v="MINI MARKET"/>
    <s v="Jueves"/>
    <s v="SinAsignar"/>
    <n v="70"/>
    <x v="5"/>
    <s v="V611053"/>
    <x v="5"/>
    <n v="1"/>
    <n v="24"/>
    <n v="20"/>
    <n v="0"/>
    <n v="0"/>
    <n v="0"/>
    <n v="86.4"/>
    <n v="480"/>
    <n v="566"/>
    <n v="94"/>
    <s v="Vicente Cruz"/>
    <s v="SDO6"/>
    <n v="10"/>
    <n v="114"/>
    <s v="BLANCOX"/>
    <n v="66102"/>
    <s v="BLANCOX BOTELLA"/>
    <s v="Brinsa Dominicana"/>
    <s v="S2"/>
    <s v="Fernando Martinez (SDO)"/>
    <s v="P009"/>
    <s v="Santo Domingo Oeste"/>
    <s v="E310000005686"/>
    <n v="0"/>
    <n v="0"/>
    <s v="NULL"/>
    <s v="NULL"/>
    <n v="0"/>
    <n v="0"/>
    <s v="CONTADO                                           "/>
    <n v="13"/>
    <n v="6158258"/>
    <s v="Almacenes"/>
    <s v="General"/>
  </r>
  <r>
    <n v="254"/>
    <s v="A Grande"/>
    <n v="3"/>
    <n v="6158258"/>
    <s v="Santo Muñoz de Paula"/>
    <s v="Logistica y Distribucion"/>
    <n v="9987150"/>
    <d v="2026-01-09T00:00:00"/>
    <d v="2026-01-09T00:00:00"/>
    <n v="2026"/>
    <n v="1"/>
    <s v="T1"/>
    <n v="1"/>
    <s v="General"/>
    <s v="Santo Domnigo"/>
    <s v="NULL"/>
    <s v="NULL"/>
    <n v="2"/>
    <n v="9"/>
    <n v="5474"/>
    <n v="3"/>
    <s v="C005474"/>
    <s v="Mini Market Gracia Divina"/>
    <s v="MINI MARKET"/>
    <s v="Jueves"/>
    <s v="SinAsignar"/>
    <n v="70"/>
    <x v="4"/>
    <s v="V611052"/>
    <x v="4"/>
    <n v="1"/>
    <n v="24"/>
    <n v="20"/>
    <n v="0"/>
    <n v="0"/>
    <n v="0"/>
    <n v="86.4"/>
    <n v="480"/>
    <n v="566"/>
    <n v="94"/>
    <s v="Vicente Cruz"/>
    <s v="SDO6"/>
    <n v="10"/>
    <n v="114"/>
    <s v="BLANCOX"/>
    <n v="66102"/>
    <s v="BLANCOX BOTELLA"/>
    <s v="Brinsa Dominicana"/>
    <s v="S2"/>
    <s v="Fernando Martinez (SDO)"/>
    <s v="P009"/>
    <s v="Santo Domingo Oeste"/>
    <s v="E310000005686"/>
    <n v="0"/>
    <n v="0"/>
    <s v="NULL"/>
    <s v="NULL"/>
    <n v="0"/>
    <n v="0"/>
    <s v="CONTADO                                           "/>
    <n v="13"/>
    <n v="6158258"/>
    <s v="Almacenes"/>
    <s v="General"/>
  </r>
  <r>
    <n v="223"/>
    <s v="A Grande"/>
    <n v="3"/>
    <n v="6160389"/>
    <s v="Martin Figueroa"/>
    <s v="Logistica y Distribucion"/>
    <n v="9989281"/>
    <d v="2026-01-10T00:00:00"/>
    <d v="2026-01-10T00:00:00"/>
    <n v="2026"/>
    <n v="1"/>
    <s v="T1"/>
    <n v="1"/>
    <s v="General"/>
    <s v="Santo Domnigo"/>
    <s v="NULL"/>
    <s v="NULL"/>
    <n v="2"/>
    <n v="10"/>
    <n v="1019"/>
    <n v="3"/>
    <s v="C001019"/>
    <s v="Mini Market Shairelys SRL"/>
    <s v="MINI MARKET"/>
    <s v="Viernes"/>
    <s v="Viernes"/>
    <n v="60"/>
    <x v="13"/>
    <s v="v101038"/>
    <x v="13"/>
    <n v="2"/>
    <n v="20"/>
    <n v="354.25"/>
    <n v="0"/>
    <n v="0"/>
    <n v="0"/>
    <n v="1275.3"/>
    <n v="7085"/>
    <n v="8360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10000005832"/>
    <n v="0"/>
    <n v="0"/>
    <s v="NULL"/>
    <s v="NULL"/>
    <n v="0"/>
    <n v="0"/>
    <s v="CONTADO                                           "/>
    <n v="13"/>
    <n v="6160389"/>
    <s v="Almacenes"/>
    <s v="General"/>
  </r>
  <r>
    <n v="223"/>
    <s v="A Grande"/>
    <n v="3"/>
    <n v="6160389"/>
    <s v="Martin Figueroa"/>
    <s v="Logistica y Distribucion"/>
    <n v="9989281"/>
    <d v="2026-01-10T00:00:00"/>
    <d v="2026-01-10T00:00:00"/>
    <n v="2026"/>
    <n v="1"/>
    <s v="T1"/>
    <n v="1"/>
    <s v="Alimentos - Espejo"/>
    <s v="Santo Domnigo"/>
    <s v="NULL"/>
    <s v="NULL"/>
    <n v="2"/>
    <n v="10"/>
    <n v="1019"/>
    <n v="3"/>
    <s v="C001019"/>
    <s v="Mini Market Shairelys SRL"/>
    <s v="MINI MARKET"/>
    <s v="Viernes"/>
    <s v="Viernes"/>
    <n v="60"/>
    <x v="21"/>
    <s v="V800792"/>
    <x v="21"/>
    <n v="0.4"/>
    <n v="10"/>
    <n v="148.51"/>
    <n v="0"/>
    <n v="0"/>
    <n v="0"/>
    <n v="267.32"/>
    <n v="1485.1"/>
    <n v="1752"/>
    <n v="8"/>
    <s v="Daniel Gutierrez"/>
    <s v="DN3"/>
    <n v="10"/>
    <n v="207"/>
    <s v="BOLONES"/>
    <n v="65103"/>
    <s v="ALIMENTOS DULCES"/>
    <s v="COLOMBINA"/>
    <s v="S5"/>
    <s v="Fernando Martinez  (DN)"/>
    <s v="P016"/>
    <s v="Distrito Nacional"/>
    <s v="E310000005832"/>
    <n v="0"/>
    <n v="0"/>
    <s v="NULL"/>
    <s v="NULL"/>
    <n v="0"/>
    <n v="0"/>
    <s v="CONTADO                                           "/>
    <n v="13"/>
    <n v="6160389"/>
    <s v="Almacenes"/>
    <s v="General"/>
  </r>
  <r>
    <n v="223"/>
    <s v="A Grande"/>
    <n v="3"/>
    <n v="6160389"/>
    <s v="Martin Figueroa"/>
    <s v="Logistica y Distribucion"/>
    <n v="9989281"/>
    <d v="2026-01-10T00:00:00"/>
    <d v="2026-01-10T00:00:00"/>
    <n v="2026"/>
    <n v="1"/>
    <s v="T1"/>
    <n v="1"/>
    <s v="General"/>
    <s v="Santo Domnigo"/>
    <s v="NULL"/>
    <s v="NULL"/>
    <n v="2"/>
    <n v="10"/>
    <n v="1019"/>
    <n v="3"/>
    <s v="C001019"/>
    <s v="Mini Market Shairelys SRL"/>
    <s v="MINI MARKET"/>
    <s v="Viernes"/>
    <s v="Viernes"/>
    <n v="60"/>
    <x v="9"/>
    <s v="V201001"/>
    <x v="9"/>
    <n v="26"/>
    <n v="26"/>
    <n v="212.8"/>
    <n v="0"/>
    <n v="0"/>
    <n v="0"/>
    <n v="995.9"/>
    <n v="5532.8"/>
    <n v="6529"/>
    <n v="8"/>
    <s v="Daniel Gutierrez"/>
    <s v="DN3"/>
    <n v="10"/>
    <n v="113"/>
    <s v="REFISAL"/>
    <n v="82101"/>
    <s v="REFISAL PACA"/>
    <s v="Brinsa Dominicana"/>
    <s v="S5"/>
    <s v="Fernando Martinez  (DN)"/>
    <s v="P016"/>
    <s v="Distrito Nacional"/>
    <s v="E310000005832"/>
    <n v="0"/>
    <n v="0"/>
    <s v="NULL"/>
    <s v="NULL"/>
    <n v="0"/>
    <n v="0"/>
    <s v="CONTADO                                           "/>
    <n v="13"/>
    <n v="6160389"/>
    <s v="Almacenes"/>
    <s v="General"/>
  </r>
  <r>
    <n v="223"/>
    <s v="A Grande"/>
    <n v="3"/>
    <n v="6160389"/>
    <s v="Martin Figueroa"/>
    <s v="Logistica y Distribucion"/>
    <n v="9989281"/>
    <d v="2026-01-10T00:00:00"/>
    <d v="2026-01-10T00:00:00"/>
    <n v="2026"/>
    <n v="1"/>
    <s v="T1"/>
    <n v="1"/>
    <s v="Alimentos - Espejo"/>
    <s v="Santo Domnigo"/>
    <s v="NULL"/>
    <s v="NULL"/>
    <n v="2"/>
    <n v="10"/>
    <n v="1019"/>
    <n v="3"/>
    <s v="C001019"/>
    <s v="Mini Market Shairelys SRL"/>
    <s v="MINI MARKET"/>
    <s v="Viernes"/>
    <s v="Viernes"/>
    <n v="60"/>
    <x v="22"/>
    <s v="V930025"/>
    <x v="22"/>
    <n v="0.27777777777777002"/>
    <n v="10"/>
    <n v="57.58"/>
    <n v="0"/>
    <n v="0"/>
    <n v="0"/>
    <n v="103.64"/>
    <n v="575.79999999999995"/>
    <n v="679"/>
    <n v="8"/>
    <s v="Daniel Gutierrez"/>
    <s v="DN3"/>
    <n v="10"/>
    <n v="209"/>
    <s v="PALETAS"/>
    <n v="0"/>
    <s v="NULL"/>
    <s v="COLOMBINA"/>
    <s v="S5"/>
    <s v="Fernando Martinez  (DN)"/>
    <s v="P016"/>
    <s v="Distrito Nacional"/>
    <s v="E310000005832"/>
    <n v="0"/>
    <n v="0"/>
    <s v="NULL"/>
    <s v="NULL"/>
    <n v="0"/>
    <n v="0"/>
    <s v="CONTADO                                           "/>
    <n v="13"/>
    <n v="6160389"/>
    <s v="Almacenes"/>
    <s v="General"/>
  </r>
  <r>
    <n v="109"/>
    <s v="A Grande"/>
    <n v="3"/>
    <n v="6162152"/>
    <s v="Tony Vallejo"/>
    <s v="Logistica y Distribucion"/>
    <n v="9991044"/>
    <d v="2026-01-12T00:00:00"/>
    <d v="2026-01-12T00:00:00"/>
    <n v="2026"/>
    <n v="1"/>
    <s v="T1"/>
    <n v="1"/>
    <s v="General"/>
    <s v="Santo Domnigo"/>
    <s v="NULL"/>
    <s v="NULL"/>
    <n v="3"/>
    <n v="12"/>
    <n v="2280"/>
    <n v="3"/>
    <s v="C002280"/>
    <s v="Mini Market Familiar"/>
    <s v="MINI MARKET"/>
    <s v="Miércoles"/>
    <s v="Miércoles"/>
    <n v="14"/>
    <x v="23"/>
    <s v="V101135"/>
    <x v="23"/>
    <n v="0.25"/>
    <n v="2"/>
    <n v="349.28"/>
    <n v="0"/>
    <n v="0"/>
    <n v="0"/>
    <n v="125.74"/>
    <n v="698.56"/>
    <n v="824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078085"/>
    <n v="0"/>
    <n v="0"/>
    <s v="NULL"/>
    <s v="NULL"/>
    <n v="0"/>
    <n v="0"/>
    <s v="CONTADO                                           "/>
    <n v="13"/>
    <n v="6162152"/>
    <s v="Almacenes"/>
    <s v="General"/>
  </r>
  <r>
    <n v="109"/>
    <s v="A Grande"/>
    <n v="3"/>
    <n v="6162152"/>
    <s v="Tony Vallejo"/>
    <s v="Logistica y Distribucion"/>
    <n v="9991044"/>
    <d v="2026-01-12T00:00:00"/>
    <d v="2026-01-12T00:00:00"/>
    <n v="2026"/>
    <n v="1"/>
    <s v="T1"/>
    <n v="1"/>
    <s v="General"/>
    <s v="Santo Domnigo"/>
    <s v="NULL"/>
    <s v="NULL"/>
    <n v="3"/>
    <n v="12"/>
    <n v="2280"/>
    <n v="3"/>
    <s v="C002280"/>
    <s v="Mini Market Familiar"/>
    <s v="MINI MARKET"/>
    <s v="Miércoles"/>
    <s v="Miércoles"/>
    <n v="14"/>
    <x v="14"/>
    <s v="V800088"/>
    <x v="14"/>
    <n v="0.25"/>
    <n v="2"/>
    <n v="349.28"/>
    <n v="0"/>
    <n v="0"/>
    <n v="0"/>
    <n v="125.74"/>
    <n v="698.56"/>
    <n v="824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078085"/>
    <n v="0"/>
    <n v="0"/>
    <s v="NULL"/>
    <s v="NULL"/>
    <n v="0"/>
    <n v="0"/>
    <s v="CONTADO                                           "/>
    <n v="13"/>
    <n v="6162152"/>
    <s v="Almacenes"/>
    <s v="General"/>
  </r>
  <r>
    <n v="109"/>
    <s v="A Grande"/>
    <n v="3"/>
    <n v="6162152"/>
    <s v="Tony Vallejo"/>
    <s v="Logistica y Distribucion"/>
    <n v="9991044"/>
    <d v="2026-01-12T00:00:00"/>
    <d v="2026-01-12T00:00:00"/>
    <n v="2026"/>
    <n v="1"/>
    <s v="T1"/>
    <n v="1"/>
    <s v="General"/>
    <s v="Santo Domnigo"/>
    <s v="NULL"/>
    <s v="NULL"/>
    <n v="3"/>
    <n v="12"/>
    <n v="2280"/>
    <n v="3"/>
    <s v="C002280"/>
    <s v="Mini Market Familiar"/>
    <s v="MINI MARKET"/>
    <s v="Miércoles"/>
    <s v="Miércoles"/>
    <n v="14"/>
    <x v="13"/>
    <s v="v101038"/>
    <x v="13"/>
    <n v="0.2"/>
    <n v="2"/>
    <n v="357.83"/>
    <n v="0"/>
    <n v="0"/>
    <n v="0"/>
    <n v="128.82"/>
    <n v="715.66"/>
    <n v="844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078085"/>
    <n v="0"/>
    <n v="0"/>
    <s v="NULL"/>
    <s v="NULL"/>
    <n v="0"/>
    <n v="0"/>
    <s v="CONTADO                                           "/>
    <n v="13"/>
    <n v="6162152"/>
    <s v="Almacenes"/>
    <s v="General"/>
  </r>
  <r>
    <n v="242"/>
    <s v="A Grande"/>
    <n v="3"/>
    <n v="6165708"/>
    <s v="Agustin Luna Valdez"/>
    <s v="Logistica y Distribucion"/>
    <n v="9994601"/>
    <d v="2026-01-14T00:00:00"/>
    <d v="2026-01-14T00:00:00"/>
    <n v="2026"/>
    <n v="1"/>
    <s v="T1"/>
    <n v="1"/>
    <s v="General"/>
    <s v="Santo Domnigo"/>
    <s v="NULL"/>
    <s v="NULL"/>
    <n v="3"/>
    <n v="14"/>
    <n v="2280"/>
    <n v="3"/>
    <s v="C002280"/>
    <s v="Mini Market Familiar"/>
    <s v="MINI MARKET"/>
    <s v="Miércoles"/>
    <s v="Miércoles"/>
    <n v="14"/>
    <x v="2"/>
    <s v="V621045"/>
    <x v="2"/>
    <n v="1"/>
    <n v="12"/>
    <n v="161.94999999999999"/>
    <n v="0"/>
    <n v="0"/>
    <n v="0"/>
    <n v="349.81"/>
    <n v="1943.4"/>
    <n v="2293"/>
    <n v="93"/>
    <s v="Junior M. Ramos (Isaac Maria)"/>
    <s v="DN7"/>
    <n v="10"/>
    <n v="138"/>
    <s v="INSECTICIDAS"/>
    <n v="73101"/>
    <s v="INSECTICIDA BAIGON"/>
    <s v="Comercial Fila"/>
    <s v="S5"/>
    <s v="Fernando Martinez  (DN)"/>
    <s v="P007"/>
    <s v="Distrito Nacional"/>
    <s v="E320000081500"/>
    <n v="0"/>
    <n v="0"/>
    <s v="NULL"/>
    <s v="NULL"/>
    <n v="0"/>
    <n v="0"/>
    <s v="CONTADO                                           "/>
    <n v="13"/>
    <n v="6165708"/>
    <s v="Almacenes"/>
    <s v="General"/>
  </r>
  <r>
    <n v="242"/>
    <s v="A Grande"/>
    <n v="3"/>
    <n v="6165713"/>
    <s v="Agustin Luna Valdez"/>
    <s v="Logistica y Distribucion"/>
    <n v="9994606"/>
    <d v="2026-01-14T00:00:00"/>
    <d v="2026-01-14T00:00:00"/>
    <n v="2026"/>
    <n v="1"/>
    <s v="T1"/>
    <n v="1"/>
    <s v="Alimentos - Espejo"/>
    <s v="Santo Domnigo"/>
    <s v="NULL"/>
    <s v="NULL"/>
    <n v="3"/>
    <n v="14"/>
    <n v="2280"/>
    <n v="3"/>
    <s v="C002280"/>
    <s v="Mini Market Familiar"/>
    <s v="MINI MARKET"/>
    <s v="Miércoles"/>
    <s v="Miércoles"/>
    <n v="14"/>
    <x v="24"/>
    <s v="V930012"/>
    <x v="24"/>
    <n v="0.125"/>
    <n v="2"/>
    <n v="87.25"/>
    <n v="0"/>
    <n v="0"/>
    <n v="0"/>
    <n v="31.41"/>
    <n v="174.5"/>
    <n v="206"/>
    <n v="93"/>
    <s v="Junior M. Ramos (Isaac Maria)"/>
    <s v="DN7"/>
    <n v="10"/>
    <n v="208"/>
    <s v="CARAMELOS DUROS"/>
    <n v="0"/>
    <s v="NULL"/>
    <s v="COLOMBINA"/>
    <s v="S5"/>
    <s v="Fernando Martinez  (DN)"/>
    <s v="P007"/>
    <s v="Distrito Nacional"/>
    <s v="E320000081504"/>
    <n v="0"/>
    <n v="0"/>
    <s v="NULL"/>
    <s v="NULL"/>
    <n v="0"/>
    <n v="0"/>
    <s v="CONTADO                                           "/>
    <n v="13"/>
    <n v="6165713"/>
    <s v="Almacenes"/>
    <s v="General"/>
  </r>
  <r>
    <n v="242"/>
    <s v="A Grande"/>
    <n v="3"/>
    <n v="6165713"/>
    <s v="Agustin Luna Valdez"/>
    <s v="Logistica y Distribucion"/>
    <n v="9994606"/>
    <d v="2026-01-14T00:00:00"/>
    <d v="2026-01-14T00:00:00"/>
    <n v="2026"/>
    <n v="1"/>
    <s v="T1"/>
    <n v="1"/>
    <s v="General"/>
    <s v="Santo Domnigo"/>
    <s v="NULL"/>
    <s v="NULL"/>
    <n v="3"/>
    <n v="14"/>
    <n v="2280"/>
    <n v="3"/>
    <s v="C002280"/>
    <s v="Mini Market Familiar"/>
    <s v="MINI MARKET"/>
    <s v="Miércoles"/>
    <s v="Miércoles"/>
    <n v="14"/>
    <x v="2"/>
    <s v="V621045"/>
    <x v="2"/>
    <n v="0.5"/>
    <n v="6"/>
    <n v="161.94999999999999"/>
    <n v="0"/>
    <n v="0"/>
    <n v="0"/>
    <n v="174.91"/>
    <n v="971.7"/>
    <n v="1147"/>
    <n v="93"/>
    <s v="Junior M. Ramos (Isaac Maria)"/>
    <s v="DN7"/>
    <n v="10"/>
    <n v="138"/>
    <s v="INSECTICIDAS"/>
    <n v="73101"/>
    <s v="INSECTICIDA BAIGON"/>
    <s v="Comercial Fila"/>
    <s v="S5"/>
    <s v="Fernando Martinez  (DN)"/>
    <s v="P007"/>
    <s v="Distrito Nacional"/>
    <s v="E320000081504"/>
    <n v="0"/>
    <n v="0"/>
    <s v="NULL"/>
    <s v="NULL"/>
    <n v="0"/>
    <n v="0"/>
    <s v="CONTADO                                           "/>
    <n v="13"/>
    <n v="6165713"/>
    <s v="Almacenes"/>
    <s v="General"/>
  </r>
  <r>
    <n v="242"/>
    <s v="A Grande"/>
    <n v="3"/>
    <n v="6165713"/>
    <s v="Agustin Luna Valdez"/>
    <s v="Logistica y Distribucion"/>
    <n v="9994606"/>
    <d v="2026-01-14T00:00:00"/>
    <d v="2026-01-14T00:00:00"/>
    <n v="2026"/>
    <n v="1"/>
    <s v="T1"/>
    <n v="1"/>
    <s v="General"/>
    <s v="Santo Domnigo"/>
    <s v="NULL"/>
    <s v="NULL"/>
    <n v="3"/>
    <n v="14"/>
    <n v="2280"/>
    <n v="3"/>
    <s v="C002280"/>
    <s v="Mini Market Familiar"/>
    <s v="MINI MARKET"/>
    <s v="Miércoles"/>
    <s v="Miércoles"/>
    <n v="14"/>
    <x v="9"/>
    <s v="V201001"/>
    <x v="9"/>
    <n v="5"/>
    <n v="5"/>
    <n v="221.67"/>
    <n v="0"/>
    <n v="0"/>
    <n v="0"/>
    <n v="199.5"/>
    <n v="1108.3499999999999"/>
    <n v="1308"/>
    <n v="93"/>
    <s v="Junior M. Ramos (Isaac Maria)"/>
    <s v="DN7"/>
    <n v="10"/>
    <n v="113"/>
    <s v="REFISAL"/>
    <n v="82101"/>
    <s v="REFISAL PACA"/>
    <s v="Brinsa Dominicana"/>
    <s v="S5"/>
    <s v="Fernando Martinez  (DN)"/>
    <s v="P007"/>
    <s v="Distrito Nacional"/>
    <s v="E320000081504"/>
    <n v="0"/>
    <n v="0"/>
    <s v="NULL"/>
    <s v="NULL"/>
    <n v="0"/>
    <n v="0"/>
    <s v="CONTADO                                           "/>
    <n v="13"/>
    <n v="6165713"/>
    <s v="Almacenes"/>
    <s v="General"/>
  </r>
  <r>
    <n v="242"/>
    <s v="A Grande"/>
    <n v="3"/>
    <n v="6165713"/>
    <s v="Agustin Luna Valdez"/>
    <s v="Logistica y Distribucion"/>
    <n v="9994606"/>
    <d v="2026-01-14T00:00:00"/>
    <d v="2026-01-14T00:00:00"/>
    <n v="2026"/>
    <n v="1"/>
    <s v="T1"/>
    <n v="1"/>
    <s v="General"/>
    <s v="Santo Domnigo"/>
    <s v="NULL"/>
    <s v="NULL"/>
    <n v="3"/>
    <n v="14"/>
    <n v="2280"/>
    <n v="3"/>
    <s v="C002280"/>
    <s v="Mini Market Familiar"/>
    <s v="MINI MARKET"/>
    <s v="Miércoles"/>
    <s v="Miércoles"/>
    <n v="14"/>
    <x v="17"/>
    <s v="V103113"/>
    <x v="17"/>
    <n v="1"/>
    <n v="1"/>
    <n v="0"/>
    <n v="0"/>
    <n v="0"/>
    <n v="0"/>
    <n v="0"/>
    <n v="0"/>
    <n v="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081504"/>
    <n v="0"/>
    <n v="0"/>
    <s v="NULL"/>
    <s v="NULL"/>
    <n v="0"/>
    <n v="0"/>
    <s v="CONTADO                                           "/>
    <n v="13"/>
    <n v="6165713"/>
    <s v="Almacenes"/>
    <s v="General"/>
  </r>
  <r>
    <n v="242"/>
    <s v="A Grande"/>
    <n v="3"/>
    <n v="6165713"/>
    <s v="Agustin Luna Valdez"/>
    <s v="Logistica y Distribucion"/>
    <n v="9994606"/>
    <d v="2026-01-14T00:00:00"/>
    <d v="2026-01-14T00:00:00"/>
    <n v="2026"/>
    <n v="1"/>
    <s v="T1"/>
    <n v="1"/>
    <s v="General"/>
    <s v="Santo Domnigo"/>
    <s v="NULL"/>
    <s v="NULL"/>
    <n v="3"/>
    <n v="14"/>
    <n v="2280"/>
    <n v="3"/>
    <s v="C002280"/>
    <s v="Mini Market Familiar"/>
    <s v="MINI MARKET"/>
    <s v="Miércoles"/>
    <s v="Miércoles"/>
    <n v="14"/>
    <x v="16"/>
    <s v="V103001"/>
    <x v="16"/>
    <n v="1.2083333333333299"/>
    <n v="58"/>
    <n v="17.68"/>
    <n v="0"/>
    <n v="0"/>
    <n v="0"/>
    <n v="184.58"/>
    <n v="1025.44"/>
    <n v="121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081504"/>
    <n v="0"/>
    <n v="0"/>
    <s v="NULL"/>
    <s v="NULL"/>
    <n v="0"/>
    <n v="0"/>
    <s v="CONTADO                                           "/>
    <n v="13"/>
    <n v="6165713"/>
    <s v="Almacenes"/>
    <s v="General"/>
  </r>
  <r>
    <n v="242"/>
    <s v="A Grande"/>
    <n v="3"/>
    <n v="6165731"/>
    <s v="Agustin Luna Valdez"/>
    <s v="Logistica y Distribucion"/>
    <n v="9994624"/>
    <d v="2026-01-14T00:00:00"/>
    <d v="2026-01-14T00:00:00"/>
    <n v="2026"/>
    <n v="1"/>
    <s v="T1"/>
    <n v="1"/>
    <s v="General"/>
    <s v="Santo Domnigo"/>
    <s v="NULL"/>
    <s v="NULL"/>
    <n v="3"/>
    <n v="14"/>
    <n v="2280"/>
    <n v="3"/>
    <s v="C002280"/>
    <s v="Mini Market Familiar"/>
    <s v="MINI MARKET"/>
    <s v="Miércoles"/>
    <s v="Miércoles"/>
    <n v="14"/>
    <x v="4"/>
    <s v="V611052"/>
    <x v="4"/>
    <n v="1"/>
    <n v="24"/>
    <n v="20"/>
    <n v="0"/>
    <n v="0"/>
    <n v="0"/>
    <n v="86.4"/>
    <n v="480"/>
    <n v="566"/>
    <n v="93"/>
    <s v="Junior M. Ramos (Isaac Maria)"/>
    <s v="DN7"/>
    <n v="10"/>
    <n v="114"/>
    <s v="BLANCOX"/>
    <n v="66102"/>
    <s v="BLANCOX BOTELLA"/>
    <s v="Brinsa Dominicana"/>
    <s v="S5"/>
    <s v="Fernando Martinez  (DN)"/>
    <s v="P007"/>
    <s v="Distrito Nacional"/>
    <s v="E320000081522"/>
    <n v="0"/>
    <n v="0"/>
    <s v="NULL"/>
    <s v="NULL"/>
    <n v="0"/>
    <n v="0"/>
    <s v="CONTADO                                           "/>
    <n v="13"/>
    <n v="6165731"/>
    <s v="Almacenes"/>
    <s v="General"/>
  </r>
  <r>
    <n v="242"/>
    <s v="A Grande"/>
    <n v="3"/>
    <n v="6165765"/>
    <s v="Agustin Luna Valdez"/>
    <s v="Logistica y Distribucion"/>
    <n v="9994658"/>
    <d v="2026-01-14T00:00:00"/>
    <d v="2026-01-14T00:00:00"/>
    <n v="2026"/>
    <n v="1"/>
    <s v="T1"/>
    <n v="1"/>
    <s v="General"/>
    <s v="Santo Domnigo"/>
    <s v="NULL"/>
    <s v="NULL"/>
    <n v="3"/>
    <n v="14"/>
    <n v="19291"/>
    <n v="3"/>
    <s v="C019291"/>
    <s v="Mini Market Isamal Comercial"/>
    <s v="MINI MARKET"/>
    <s v="Miércoles"/>
    <s v="Miércoles"/>
    <n v="8"/>
    <x v="25"/>
    <s v="V501000"/>
    <x v="25"/>
    <n v="1"/>
    <n v="4"/>
    <n v="114.4"/>
    <n v="0"/>
    <n v="0"/>
    <n v="0"/>
    <n v="82.37"/>
    <n v="457.6"/>
    <n v="540"/>
    <n v="4"/>
    <s v="Argelis Salvador (Bido)"/>
    <s v="DN2"/>
    <n v="10"/>
    <n v="114"/>
    <s v="BLANCOX"/>
    <n v="66101"/>
    <s v="BLANCOX SACHET"/>
    <s v="Brinsa Dominicana"/>
    <s v="S5"/>
    <s v="Fernando Martinez  (DN)"/>
    <s v="P003"/>
    <s v="Distrito Nacional"/>
    <s v="E320000081555"/>
    <n v="0"/>
    <n v="0"/>
    <s v="NULL"/>
    <s v="NULL"/>
    <n v="0"/>
    <n v="0"/>
    <s v="CONTADO                                           "/>
    <n v="13"/>
    <n v="6165765"/>
    <s v="Almacenes"/>
    <s v="General"/>
  </r>
  <r>
    <n v="229"/>
    <s v="A Grande"/>
    <n v="3"/>
    <n v="6167060"/>
    <s v="Juan Alberto Contreras Perez"/>
    <s v="Logistica y Distribucion"/>
    <n v="9995953"/>
    <d v="2026-01-15T00:00:00"/>
    <d v="2026-01-15T00:00:00"/>
    <n v="2026"/>
    <n v="1"/>
    <s v="T1"/>
    <n v="1"/>
    <s v="General"/>
    <s v="Santo Domnigo"/>
    <s v="NULL"/>
    <s v="NULL"/>
    <n v="3"/>
    <n v="15"/>
    <n v="37594"/>
    <n v="3"/>
    <s v="C037594"/>
    <s v="Mini Market El patron 3."/>
    <s v="MINI MARKET"/>
    <s v="Miércoles"/>
    <s v="Miércoles"/>
    <n v="72"/>
    <x v="26"/>
    <s v="V101005"/>
    <x v="26"/>
    <n v="1"/>
    <n v="30"/>
    <n v="73.41"/>
    <n v="0"/>
    <n v="0"/>
    <n v="0"/>
    <n v="396.41"/>
    <n v="2202.3000000000002"/>
    <n v="2599"/>
    <n v="95"/>
    <s v="Benigno Paniagua (T)"/>
    <s v="SDO5"/>
    <n v="10"/>
    <n v="105"/>
    <s v="NOSOTRAS"/>
    <n v="677001"/>
    <s v="CUIDADO FEMENINO"/>
    <s v="Continental de Negocios"/>
    <s v="S2"/>
    <s v="Fernando Martinez (SDO)"/>
    <s v="P010"/>
    <s v="Santo Domingo Oeste"/>
    <s v="E310000006424"/>
    <n v="0"/>
    <n v="0"/>
    <s v="NULL"/>
    <s v="NULL"/>
    <n v="0"/>
    <n v="0"/>
    <s v="CONTADO                                           "/>
    <n v="13"/>
    <n v="6167060"/>
    <s v="Almacenes"/>
    <s v="General"/>
  </r>
  <r>
    <n v="229"/>
    <s v="A Grande"/>
    <n v="3"/>
    <n v="6167060"/>
    <s v="Juan Alberto Contreras Perez"/>
    <s v="Logistica y Distribucion"/>
    <n v="9995953"/>
    <d v="2026-01-15T00:00:00"/>
    <d v="2026-01-15T00:00:00"/>
    <n v="2026"/>
    <n v="1"/>
    <s v="T1"/>
    <n v="1"/>
    <s v="General"/>
    <s v="Santo Domnigo"/>
    <s v="NULL"/>
    <s v="NULL"/>
    <n v="3"/>
    <n v="15"/>
    <n v="37594"/>
    <n v="3"/>
    <s v="C037594"/>
    <s v="Mini Market El patron 3."/>
    <s v="MINI MARKET"/>
    <s v="Miércoles"/>
    <s v="Miércoles"/>
    <n v="72"/>
    <x v="27"/>
    <s v="V101027"/>
    <x v="27"/>
    <n v="1"/>
    <n v="24"/>
    <n v="73.41"/>
    <n v="0"/>
    <n v="0"/>
    <n v="0"/>
    <n v="317.13"/>
    <n v="1761.84"/>
    <n v="2079"/>
    <n v="95"/>
    <s v="Benigno Paniagua (T)"/>
    <s v="SDO5"/>
    <n v="10"/>
    <n v="105"/>
    <s v="NOSOTRAS"/>
    <n v="677001"/>
    <s v="CUIDADO FEMENINO"/>
    <s v="Continental de Negocios"/>
    <s v="S2"/>
    <s v="Fernando Martinez (SDO)"/>
    <s v="P010"/>
    <s v="Santo Domingo Oeste"/>
    <s v="E310000006424"/>
    <n v="0"/>
    <n v="0"/>
    <s v="NULL"/>
    <s v="NULL"/>
    <n v="0"/>
    <n v="0"/>
    <s v="CONTADO                                           "/>
    <n v="13"/>
    <n v="6167060"/>
    <s v="Almacenes"/>
    <s v="General"/>
  </r>
  <r>
    <n v="229"/>
    <s v="A Grande"/>
    <n v="3"/>
    <n v="6167060"/>
    <s v="Juan Alberto Contreras Perez"/>
    <s v="Logistica y Distribucion"/>
    <n v="9995953"/>
    <d v="2026-01-15T00:00:00"/>
    <d v="2026-01-15T00:00:00"/>
    <n v="2026"/>
    <n v="1"/>
    <s v="T1"/>
    <n v="1"/>
    <s v="General"/>
    <s v="Santo Domnigo"/>
    <s v="NULL"/>
    <s v="NULL"/>
    <n v="3"/>
    <n v="15"/>
    <n v="37594"/>
    <n v="3"/>
    <s v="C037594"/>
    <s v="Mini Market El patron 3."/>
    <s v="MINI MARKET"/>
    <s v="Miércoles"/>
    <s v="Miércoles"/>
    <n v="72"/>
    <x v="28"/>
    <s v="V101028"/>
    <x v="28"/>
    <n v="1"/>
    <n v="18"/>
    <n v="98.4"/>
    <n v="0"/>
    <n v="0"/>
    <n v="0"/>
    <n v="318.82"/>
    <n v="1771.2"/>
    <n v="2090"/>
    <n v="95"/>
    <s v="Benigno Paniagua (T)"/>
    <s v="SDO5"/>
    <n v="10"/>
    <n v="105"/>
    <s v="NOSOTRAS"/>
    <n v="677001"/>
    <s v="CUIDADO FEMENINO"/>
    <s v="Continental de Negocios"/>
    <s v="S2"/>
    <s v="Fernando Martinez (SDO)"/>
    <s v="P010"/>
    <s v="Santo Domingo Oeste"/>
    <s v="E310000006424"/>
    <n v="0"/>
    <n v="0"/>
    <s v="NULL"/>
    <s v="NULL"/>
    <n v="0"/>
    <n v="0"/>
    <s v="CONTADO                                           "/>
    <n v="13"/>
    <n v="6167060"/>
    <s v="Almacenes"/>
    <s v="General"/>
  </r>
  <r>
    <n v="234"/>
    <s v="A Grande"/>
    <n v="3"/>
    <n v="6167932"/>
    <s v="Jose Antonio Figueroa"/>
    <s v="Logistica y Distribucion"/>
    <n v="9996825"/>
    <d v="2026-01-15T00:00:00"/>
    <d v="2026-01-15T00:00:00"/>
    <n v="2026"/>
    <n v="1"/>
    <s v="T1"/>
    <n v="1"/>
    <s v="Alimentos - Espejo"/>
    <s v="Santo Domnigo"/>
    <s v="NULL"/>
    <s v="NULL"/>
    <n v="3"/>
    <n v="15"/>
    <n v="36908"/>
    <n v="3"/>
    <s v="c036908"/>
    <s v="Asociacion De Detallistas Unidos De Mendoza"/>
    <s v="SUPERMERCADO"/>
    <s v="Miércoles"/>
    <s v="Miércoles"/>
    <n v="11"/>
    <x v="15"/>
    <s v="V925064"/>
    <x v="15"/>
    <n v="1"/>
    <n v="50"/>
    <n v="32.53"/>
    <n v="0"/>
    <n v="0"/>
    <n v="0"/>
    <n v="292.77"/>
    <n v="1626.5"/>
    <n v="1919"/>
    <n v="199"/>
    <s v="Giancarlo Tavarez"/>
    <s v="SDE2"/>
    <n v="10"/>
    <n v="117"/>
    <s v="DIMAR"/>
    <n v="65104"/>
    <s v="ALIMENTOS SARDINAS"/>
    <s v="DIMAR DOMINICANA"/>
    <s v="S1"/>
    <s v="Ramon E. Pimentel (SDE)"/>
    <s v="P206"/>
    <s v="Santo Domingo Este"/>
    <s v="E320000083627"/>
    <n v="0"/>
    <n v="0"/>
    <s v="NULL"/>
    <s v="NULL"/>
    <n v="0"/>
    <n v="0"/>
    <s v="CONTADO                                           "/>
    <n v="13"/>
    <n v="6167932"/>
    <s v="Almacenes"/>
    <s v="General"/>
  </r>
  <r>
    <n v="234"/>
    <s v="A Grande"/>
    <n v="3"/>
    <n v="6167932"/>
    <s v="Jose Antonio Figueroa"/>
    <s v="Logistica y Distribucion"/>
    <n v="9996825"/>
    <d v="2026-01-15T00:00:00"/>
    <d v="2026-01-15T00:00:00"/>
    <n v="2026"/>
    <n v="1"/>
    <s v="T1"/>
    <n v="1"/>
    <s v="General"/>
    <s v="Santo Domnigo"/>
    <s v="NULL"/>
    <s v="NULL"/>
    <n v="3"/>
    <n v="15"/>
    <n v="36908"/>
    <n v="3"/>
    <s v="c036908"/>
    <s v="Asociacion De Detallistas Unidos De Mendoza"/>
    <s v="SUPERMERCADO"/>
    <s v="Miércoles"/>
    <s v="Miércoles"/>
    <n v="11"/>
    <x v="25"/>
    <s v="V501000"/>
    <x v="25"/>
    <n v="1"/>
    <n v="4"/>
    <n v="113.26"/>
    <n v="0"/>
    <n v="0"/>
    <n v="0"/>
    <n v="81.55"/>
    <n v="453.04"/>
    <n v="535"/>
    <n v="199"/>
    <s v="Giancarlo Tavarez"/>
    <s v="SDE2"/>
    <n v="10"/>
    <n v="114"/>
    <s v="BLANCOX"/>
    <n v="66101"/>
    <s v="BLANCOX SACHET"/>
    <s v="Brinsa Dominicana"/>
    <s v="S1"/>
    <s v="Ramon E. Pimentel (SDE)"/>
    <s v="P206"/>
    <s v="Santo Domingo Este"/>
    <s v="E320000083627"/>
    <n v="0"/>
    <n v="0"/>
    <s v="NULL"/>
    <s v="NULL"/>
    <n v="0"/>
    <n v="0"/>
    <s v="CONTADO                                           "/>
    <n v="13"/>
    <n v="6167932"/>
    <s v="Almacenes"/>
    <s v="General"/>
  </r>
  <r>
    <n v="234"/>
    <s v="A Grande"/>
    <n v="3"/>
    <n v="6167932"/>
    <s v="Jose Antonio Figueroa"/>
    <s v="Logistica y Distribucion"/>
    <n v="9996825"/>
    <d v="2026-01-15T00:00:00"/>
    <d v="2026-01-15T00:00:00"/>
    <n v="2026"/>
    <n v="1"/>
    <s v="T1"/>
    <n v="1"/>
    <s v="General"/>
    <s v="Santo Domnigo"/>
    <s v="NULL"/>
    <s v="NULL"/>
    <n v="3"/>
    <n v="15"/>
    <n v="36908"/>
    <n v="3"/>
    <s v="c036908"/>
    <s v="Asociacion De Detallistas Unidos De Mendoza"/>
    <s v="SUPERMERCADO"/>
    <s v="Miércoles"/>
    <s v="Miércoles"/>
    <n v="11"/>
    <x v="29"/>
    <s v="V101034"/>
    <x v="29"/>
    <n v="1"/>
    <n v="10"/>
    <n v="197.39"/>
    <n v="0"/>
    <n v="0"/>
    <n v="0"/>
    <n v="355.3"/>
    <n v="1973.9"/>
    <n v="2329"/>
    <n v="199"/>
    <s v="Giancarlo Tavarez"/>
    <s v="SDE2"/>
    <n v="10"/>
    <n v="136"/>
    <s v="NOSOTRAS DIARIOS"/>
    <n v="677001"/>
    <s v="CUIDADO FEMENINO"/>
    <s v="Continental de Negocios"/>
    <s v="S1"/>
    <s v="Ramon E. Pimentel (SDE)"/>
    <s v="P206"/>
    <s v="Santo Domingo Este"/>
    <s v="E320000083627"/>
    <n v="0"/>
    <n v="0"/>
    <s v="NULL"/>
    <s v="NULL"/>
    <n v="0"/>
    <n v="0"/>
    <s v="CONTADO                                           "/>
    <n v="13"/>
    <n v="6167932"/>
    <s v="Almacenes"/>
    <s v="General"/>
  </r>
  <r>
    <n v="234"/>
    <s v="A Grande"/>
    <n v="3"/>
    <n v="6167932"/>
    <s v="Jose Antonio Figueroa"/>
    <s v="Logistica y Distribucion"/>
    <n v="9996825"/>
    <d v="2026-01-15T00:00:00"/>
    <d v="2026-01-15T00:00:00"/>
    <n v="2026"/>
    <n v="1"/>
    <s v="T1"/>
    <n v="1"/>
    <s v="General"/>
    <s v="Santo Domnigo"/>
    <s v="NULL"/>
    <s v="NULL"/>
    <n v="3"/>
    <n v="15"/>
    <n v="36908"/>
    <n v="3"/>
    <s v="c036908"/>
    <s v="Asociacion De Detallistas Unidos De Mendoza"/>
    <s v="SUPERMERCADO"/>
    <s v="Miércoles"/>
    <s v="Miércoles"/>
    <n v="11"/>
    <x v="9"/>
    <s v="V201001"/>
    <x v="9"/>
    <n v="25"/>
    <n v="25"/>
    <n v="210.59"/>
    <n v="0"/>
    <n v="0"/>
    <n v="0"/>
    <n v="947.66"/>
    <n v="5264.75"/>
    <n v="6212"/>
    <n v="199"/>
    <s v="Giancarlo Tavarez"/>
    <s v="SDE2"/>
    <n v="10"/>
    <n v="113"/>
    <s v="REFISAL"/>
    <n v="82101"/>
    <s v="REFISAL PACA"/>
    <s v="Brinsa Dominicana"/>
    <s v="S1"/>
    <s v="Ramon E. Pimentel (SDE)"/>
    <s v="P206"/>
    <s v="Santo Domingo Este"/>
    <s v="E320000083627"/>
    <n v="0"/>
    <n v="0"/>
    <s v="NULL"/>
    <s v="NULL"/>
    <n v="0"/>
    <n v="0"/>
    <s v="CONTADO                                           "/>
    <n v="13"/>
    <n v="6167932"/>
    <s v="Almacenes"/>
    <s v="General"/>
  </r>
  <r>
    <n v="234"/>
    <s v="A Grande"/>
    <n v="3"/>
    <n v="6167932"/>
    <s v="Jose Antonio Figueroa"/>
    <s v="Logistica y Distribucion"/>
    <n v="9996825"/>
    <d v="2026-01-15T00:00:00"/>
    <d v="2026-01-15T00:00:00"/>
    <n v="2026"/>
    <n v="1"/>
    <s v="T1"/>
    <n v="1"/>
    <s v="General"/>
    <s v="Santo Domnigo"/>
    <s v="NULL"/>
    <s v="NULL"/>
    <n v="3"/>
    <n v="15"/>
    <n v="36908"/>
    <n v="3"/>
    <s v="c036908"/>
    <s v="Asociacion De Detallistas Unidos De Mendoza"/>
    <s v="SUPERMERCADO"/>
    <s v="Miércoles"/>
    <s v="Miércoles"/>
    <n v="11"/>
    <x v="13"/>
    <s v="v101038"/>
    <x v="13"/>
    <n v="1"/>
    <n v="10"/>
    <n v="354.25"/>
    <n v="0"/>
    <n v="0"/>
    <n v="0"/>
    <n v="637.65"/>
    <n v="3542.5"/>
    <n v="418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083627"/>
    <n v="0"/>
    <n v="0"/>
    <s v="NULL"/>
    <s v="NULL"/>
    <n v="0"/>
    <n v="0"/>
    <s v="CONTADO                                           "/>
    <n v="13"/>
    <n v="6167932"/>
    <s v="Almacenes"/>
    <s v="General"/>
  </r>
  <r>
    <n v="234"/>
    <s v="A Grande"/>
    <n v="3"/>
    <n v="6167932"/>
    <s v="Jose Antonio Figueroa"/>
    <s v="Logistica y Distribucion"/>
    <n v="9996825"/>
    <d v="2026-01-15T00:00:00"/>
    <d v="2026-01-15T00:00:00"/>
    <n v="2026"/>
    <n v="1"/>
    <s v="T1"/>
    <n v="1"/>
    <s v="General"/>
    <s v="Santo Domnigo"/>
    <s v="NULL"/>
    <s v="NULL"/>
    <n v="3"/>
    <n v="15"/>
    <n v="36908"/>
    <n v="3"/>
    <s v="c036908"/>
    <s v="Asociacion De Detallistas Unidos De Mendoza"/>
    <s v="SUPERMERCADO"/>
    <s v="Miércoles"/>
    <s v="Miércoles"/>
    <n v="11"/>
    <x v="19"/>
    <s v="V800089"/>
    <x v="19"/>
    <n v="1"/>
    <n v="8"/>
    <n v="345.79"/>
    <n v="0"/>
    <n v="0"/>
    <n v="0"/>
    <n v="497.94"/>
    <n v="2766.32"/>
    <n v="3264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083627"/>
    <n v="0"/>
    <n v="0"/>
    <s v="NULL"/>
    <s v="NULL"/>
    <n v="0"/>
    <n v="0"/>
    <s v="CONTADO                                           "/>
    <n v="13"/>
    <n v="6167932"/>
    <s v="Almacenes"/>
    <s v="General"/>
  </r>
  <r>
    <n v="254"/>
    <s v="A Grande"/>
    <n v="3"/>
    <n v="6169368"/>
    <s v="Santo Muñoz de Paula"/>
    <s v="Logistica y Distribucion"/>
    <n v="9998261"/>
    <d v="2026-01-16T00:00:00"/>
    <d v="2026-01-16T00:00:00"/>
    <n v="2026"/>
    <n v="1"/>
    <s v="T1"/>
    <n v="1"/>
    <s v="Alimentos - Espejo"/>
    <s v="Santo Domnigo"/>
    <s v="NULL"/>
    <s v="NULL"/>
    <n v="3"/>
    <n v="16"/>
    <n v="5474"/>
    <n v="3"/>
    <s v="C005474"/>
    <s v="Mini Market Gracia Divina"/>
    <s v="MINI MARKET"/>
    <s v="Jueves"/>
    <s v="SinAsignar"/>
    <n v="70"/>
    <x v="22"/>
    <s v="V930025"/>
    <x v="22"/>
    <n v="0.16666666666666"/>
    <n v="6"/>
    <n v="58.16"/>
    <n v="0"/>
    <n v="0"/>
    <n v="0"/>
    <n v="62.81"/>
    <n v="348.96"/>
    <n v="412"/>
    <n v="94"/>
    <s v="Vicente Cruz"/>
    <s v="SDO6"/>
    <n v="10"/>
    <n v="209"/>
    <s v="PALETAS"/>
    <n v="0"/>
    <s v="NULL"/>
    <s v="COLOMBINA"/>
    <s v="S2"/>
    <s v="Fernando Martinez (SDO)"/>
    <s v="P009"/>
    <s v="Santo Domingo Oeste"/>
    <s v="E310000006591"/>
    <n v="0"/>
    <n v="0"/>
    <s v="NULL"/>
    <s v="NULL"/>
    <n v="0"/>
    <n v="0"/>
    <s v="CONTADO                                           "/>
    <n v="13"/>
    <n v="6169368"/>
    <s v="Almacenes"/>
    <s v="General"/>
  </r>
  <r>
    <n v="254"/>
    <s v="A Grande"/>
    <n v="3"/>
    <n v="6169368"/>
    <s v="Santo Muñoz de Paula"/>
    <s v="Logistica y Distribucion"/>
    <n v="9998261"/>
    <d v="2026-01-16T00:00:00"/>
    <d v="2026-01-16T00:00:00"/>
    <n v="2026"/>
    <n v="1"/>
    <s v="T1"/>
    <n v="1"/>
    <s v="Alimentos - Espejo"/>
    <s v="Santo Domnigo"/>
    <s v="NULL"/>
    <s v="NULL"/>
    <n v="3"/>
    <n v="16"/>
    <n v="5474"/>
    <n v="3"/>
    <s v="C005474"/>
    <s v="Mini Market Gracia Divina"/>
    <s v="MINI MARKET"/>
    <s v="Jueves"/>
    <s v="SinAsignar"/>
    <n v="70"/>
    <x v="30"/>
    <s v="V930023"/>
    <x v="30"/>
    <n v="0.25"/>
    <n v="5"/>
    <n v="141.25"/>
    <n v="0"/>
    <n v="0"/>
    <n v="0"/>
    <n v="127.13"/>
    <n v="706.25"/>
    <n v="833"/>
    <n v="94"/>
    <s v="Vicente Cruz"/>
    <s v="SDO6"/>
    <n v="10"/>
    <n v="208"/>
    <s v="CARAMELOS DUROS"/>
    <n v="0"/>
    <s v="NULL"/>
    <s v="COLOMBINA"/>
    <s v="S2"/>
    <s v="Fernando Martinez (SDO)"/>
    <s v="P009"/>
    <s v="Santo Domingo Oeste"/>
    <s v="E310000006591"/>
    <n v="0"/>
    <n v="0"/>
    <s v="NULL"/>
    <s v="NULL"/>
    <n v="0"/>
    <n v="0"/>
    <s v="CONTADO                                           "/>
    <n v="13"/>
    <n v="6169368"/>
    <s v="Almacenes"/>
    <s v="General"/>
  </r>
  <r>
    <n v="109"/>
    <s v="A Grande"/>
    <n v="3"/>
    <n v="6174901"/>
    <s v="Tony Vallejo"/>
    <s v="Logistica y Distribucion"/>
    <n v="10003796"/>
    <d v="2026-01-20T00:00:00"/>
    <d v="2026-01-20T00:00:00"/>
    <n v="2026"/>
    <n v="1"/>
    <s v="T1"/>
    <n v="1"/>
    <s v="General"/>
    <s v="Santo Domnigo"/>
    <s v="NULL"/>
    <s v="NULL"/>
    <n v="4"/>
    <n v="20"/>
    <n v="19291"/>
    <n v="3"/>
    <s v="C019291"/>
    <s v="Mini Market Isamal Comercial"/>
    <s v="MINI MARKET"/>
    <s v="Miércoles"/>
    <s v="Miércoles"/>
    <n v="8"/>
    <x v="16"/>
    <s v="V103001"/>
    <x v="16"/>
    <n v="9.6666666666666607"/>
    <n v="464"/>
    <n v="17.68"/>
    <n v="0"/>
    <n v="0"/>
    <n v="0"/>
    <n v="1476.63"/>
    <n v="8203.52"/>
    <n v="9680"/>
    <n v="4"/>
    <s v="Argelis Salvador (Bido)"/>
    <s v="DN2"/>
    <n v="10"/>
    <n v="107"/>
    <s v="FAMILIA"/>
    <n v="6770651"/>
    <s v="CUIDADO FAMILIAR"/>
    <s v="Continental de Negocios"/>
    <s v="S5"/>
    <s v="Fernando Martinez  (DN)"/>
    <s v="P003"/>
    <s v="Distrito Nacional"/>
    <s v="E320000090339"/>
    <n v="0"/>
    <n v="0"/>
    <s v="NULL"/>
    <s v="NULL"/>
    <n v="0"/>
    <n v="0"/>
    <s v="CONTADO                                           "/>
    <n v="13"/>
    <n v="6174901"/>
    <s v="Almacenes"/>
    <s v="General"/>
  </r>
  <r>
    <n v="109"/>
    <s v="A Grande"/>
    <n v="3"/>
    <n v="6174901"/>
    <s v="Tony Vallejo"/>
    <s v="Logistica y Distribucion"/>
    <n v="10003796"/>
    <d v="2026-01-20T00:00:00"/>
    <d v="2026-01-20T00:00:00"/>
    <n v="2026"/>
    <n v="1"/>
    <s v="T1"/>
    <n v="1"/>
    <s v="General"/>
    <s v="Santo Domnigo"/>
    <s v="NULL"/>
    <s v="NULL"/>
    <n v="4"/>
    <n v="20"/>
    <n v="19291"/>
    <n v="3"/>
    <s v="C019291"/>
    <s v="Mini Market Isamal Comercial"/>
    <s v="MINI MARKET"/>
    <s v="Miércoles"/>
    <s v="Miércoles"/>
    <n v="8"/>
    <x v="17"/>
    <s v="V103113"/>
    <x v="17"/>
    <n v="8"/>
    <n v="8"/>
    <n v="0"/>
    <n v="0"/>
    <n v="0"/>
    <n v="0"/>
    <n v="0"/>
    <n v="0"/>
    <n v="0"/>
    <n v="4"/>
    <s v="Argelis Salvador (Bido)"/>
    <s v="DN2"/>
    <n v="10"/>
    <n v="107"/>
    <s v="FAMILIA"/>
    <n v="6770651"/>
    <s v="CUIDADO FAMILIAR"/>
    <s v="Continental de Negocios"/>
    <s v="S5"/>
    <s v="Fernando Martinez  (DN)"/>
    <s v="P003"/>
    <s v="Distrito Nacional"/>
    <s v="E320000090339"/>
    <n v="0"/>
    <n v="0"/>
    <s v="NULL"/>
    <s v="NULL"/>
    <n v="0"/>
    <n v="0"/>
    <s v="CONTADO                                           "/>
    <n v="13"/>
    <n v="6174901"/>
    <s v="Almacenes"/>
    <s v="General"/>
  </r>
  <r>
    <n v="242"/>
    <s v="A Grande"/>
    <n v="3"/>
    <n v="6177825"/>
    <s v="Agustin Luna Valdez"/>
    <s v="Logistica y Distribucion"/>
    <n v="10006723"/>
    <d v="2026-01-22T00:00:00"/>
    <d v="2026-01-22T00:00:00"/>
    <n v="2026"/>
    <n v="1"/>
    <s v="T1"/>
    <n v="1"/>
    <s v="General"/>
    <s v="Santo Domnigo"/>
    <s v="NULL"/>
    <s v="NULL"/>
    <n v="4"/>
    <n v="22"/>
    <n v="37594"/>
    <n v="3"/>
    <s v="C037594"/>
    <s v="Mini Market El patron 3."/>
    <s v="MINI MARKET"/>
    <s v="Miércoles"/>
    <s v="Miércoles"/>
    <n v="72"/>
    <x v="31"/>
    <s v="V621049"/>
    <x v="31"/>
    <n v="0.33333333333332998"/>
    <n v="2"/>
    <n v="148.9"/>
    <n v="0"/>
    <n v="0"/>
    <n v="0"/>
    <n v="53.6"/>
    <n v="297.8"/>
    <n v="351"/>
    <n v="95"/>
    <s v="Benigno Paniagua (T)"/>
    <s v="SDO5"/>
    <n v="10"/>
    <n v="278"/>
    <s v="AMBIENTADORES"/>
    <n v="73103"/>
    <s v="GLADE"/>
    <s v="Comercial Fila"/>
    <s v="S2"/>
    <s v="Fernando Martinez (SDO)"/>
    <s v="P010"/>
    <s v="Santo Domingo Oeste"/>
    <s v="E310000007237"/>
    <n v="0"/>
    <n v="0"/>
    <s v="NULL"/>
    <s v="NULL"/>
    <n v="0"/>
    <n v="0"/>
    <s v="CONTADO                                           "/>
    <n v="13"/>
    <n v="6177825"/>
    <s v="Almacenes"/>
    <s v="General"/>
  </r>
  <r>
    <n v="242"/>
    <s v="A Grande"/>
    <n v="3"/>
    <n v="6177825"/>
    <s v="Agustin Luna Valdez"/>
    <s v="Logistica y Distribucion"/>
    <n v="10006723"/>
    <d v="2026-01-22T00:00:00"/>
    <d v="2026-01-22T00:00:00"/>
    <n v="2026"/>
    <n v="1"/>
    <s v="T1"/>
    <n v="1"/>
    <s v="General"/>
    <s v="Santo Domnigo"/>
    <s v="NULL"/>
    <s v="NULL"/>
    <n v="4"/>
    <n v="22"/>
    <n v="37594"/>
    <n v="3"/>
    <s v="C037594"/>
    <s v="Mini Market El patron 3."/>
    <s v="MINI MARKET"/>
    <s v="Miércoles"/>
    <s v="Miércoles"/>
    <n v="72"/>
    <x v="32"/>
    <s v="V621050"/>
    <x v="32"/>
    <n v="0.33333333333332998"/>
    <n v="2"/>
    <n v="148.9"/>
    <n v="0"/>
    <n v="0"/>
    <n v="0"/>
    <n v="53.6"/>
    <n v="297.8"/>
    <n v="351"/>
    <n v="95"/>
    <s v="Benigno Paniagua (T)"/>
    <s v="SDO5"/>
    <n v="10"/>
    <n v="278"/>
    <s v="AMBIENTADORES"/>
    <n v="73103"/>
    <s v="GLADE"/>
    <s v="Comercial Fila"/>
    <s v="S2"/>
    <s v="Fernando Martinez (SDO)"/>
    <s v="P010"/>
    <s v="Santo Domingo Oeste"/>
    <s v="E310000007237"/>
    <n v="0"/>
    <n v="0"/>
    <s v="NULL"/>
    <s v="NULL"/>
    <n v="0"/>
    <n v="0"/>
    <s v="CONTADO                                           "/>
    <n v="13"/>
    <n v="6177825"/>
    <s v="Almacenes"/>
    <s v="General"/>
  </r>
  <r>
    <n v="242"/>
    <s v="A Grande"/>
    <n v="3"/>
    <n v="6177825"/>
    <s v="Agustin Luna Valdez"/>
    <s v="Logistica y Distribucion"/>
    <n v="10006723"/>
    <d v="2026-01-22T00:00:00"/>
    <d v="2026-01-22T00:00:00"/>
    <n v="2026"/>
    <n v="1"/>
    <s v="T1"/>
    <n v="1"/>
    <s v="General"/>
    <s v="Santo Domnigo"/>
    <s v="NULL"/>
    <s v="NULL"/>
    <n v="4"/>
    <n v="22"/>
    <n v="37594"/>
    <n v="3"/>
    <s v="C037594"/>
    <s v="Mini Market El patron 3."/>
    <s v="MINI MARKET"/>
    <s v="Miércoles"/>
    <s v="Miércoles"/>
    <n v="72"/>
    <x v="33"/>
    <s v="V621053"/>
    <x v="33"/>
    <n v="0.33333333333332998"/>
    <n v="2"/>
    <n v="148.9"/>
    <n v="0"/>
    <n v="0"/>
    <n v="0"/>
    <n v="53.6"/>
    <n v="297.8"/>
    <n v="351"/>
    <n v="95"/>
    <s v="Benigno Paniagua (T)"/>
    <s v="SDO5"/>
    <n v="10"/>
    <n v="278"/>
    <s v="AMBIENTADORES"/>
    <n v="73103"/>
    <s v="GLADE"/>
    <s v="Comercial Fila"/>
    <s v="S2"/>
    <s v="Fernando Martinez (SDO)"/>
    <s v="P010"/>
    <s v="Santo Domingo Oeste"/>
    <s v="E310000007237"/>
    <n v="0"/>
    <n v="0"/>
    <s v="NULL"/>
    <s v="NULL"/>
    <n v="0"/>
    <n v="0"/>
    <s v="CONTADO                                           "/>
    <n v="13"/>
    <n v="6177825"/>
    <s v="Almacenes"/>
    <s v="General"/>
  </r>
  <r>
    <n v="242"/>
    <s v="A Grande"/>
    <n v="3"/>
    <n v="6177825"/>
    <s v="Agustin Luna Valdez"/>
    <s v="Logistica y Distribucion"/>
    <n v="10006723"/>
    <d v="2026-01-22T00:00:00"/>
    <d v="2026-01-22T00:00:00"/>
    <n v="2026"/>
    <n v="1"/>
    <s v="T1"/>
    <n v="1"/>
    <s v="General"/>
    <s v="Santo Domnigo"/>
    <s v="NULL"/>
    <s v="NULL"/>
    <n v="4"/>
    <n v="22"/>
    <n v="37594"/>
    <n v="3"/>
    <s v="C037594"/>
    <s v="Mini Market El patron 3."/>
    <s v="MINI MARKET"/>
    <s v="Miércoles"/>
    <s v="Miércoles"/>
    <n v="72"/>
    <x v="34"/>
    <s v="V621054"/>
    <x v="34"/>
    <n v="0.33333333333332998"/>
    <n v="2"/>
    <n v="148.9"/>
    <n v="0"/>
    <n v="0"/>
    <n v="0"/>
    <n v="53.6"/>
    <n v="297.8"/>
    <n v="351"/>
    <n v="95"/>
    <s v="Benigno Paniagua (T)"/>
    <s v="SDO5"/>
    <n v="10"/>
    <n v="278"/>
    <s v="AMBIENTADORES"/>
    <n v="73103"/>
    <s v="GLADE"/>
    <s v="Comercial Fila"/>
    <s v="S2"/>
    <s v="Fernando Martinez (SDO)"/>
    <s v="P010"/>
    <s v="Santo Domingo Oeste"/>
    <s v="E310000007237"/>
    <n v="0"/>
    <n v="0"/>
    <s v="NULL"/>
    <s v="NULL"/>
    <n v="0"/>
    <n v="0"/>
    <s v="CONTADO                                           "/>
    <n v="13"/>
    <n v="6177825"/>
    <s v="Almacenes"/>
    <s v="General"/>
  </r>
  <r>
    <n v="242"/>
    <s v="A Grande"/>
    <n v="3"/>
    <n v="6177825"/>
    <s v="Agustin Luna Valdez"/>
    <s v="Logistica y Distribucion"/>
    <n v="10006723"/>
    <d v="2026-01-22T00:00:00"/>
    <d v="2026-01-22T00:00:00"/>
    <n v="2026"/>
    <n v="1"/>
    <s v="T1"/>
    <n v="1"/>
    <s v="General"/>
    <s v="Santo Domnigo"/>
    <s v="NULL"/>
    <s v="NULL"/>
    <n v="4"/>
    <n v="22"/>
    <n v="37594"/>
    <n v="3"/>
    <s v="C037594"/>
    <s v="Mini Market El patron 3."/>
    <s v="MINI MARKET"/>
    <s v="Miércoles"/>
    <s v="Miércoles"/>
    <n v="72"/>
    <x v="35"/>
    <s v="V621051"/>
    <x v="35"/>
    <n v="0.33333333333332998"/>
    <n v="2"/>
    <n v="148.9"/>
    <n v="0"/>
    <n v="0"/>
    <n v="0"/>
    <n v="53.6"/>
    <n v="297.8"/>
    <n v="351"/>
    <n v="95"/>
    <s v="Benigno Paniagua (T)"/>
    <s v="SDO5"/>
    <n v="10"/>
    <n v="278"/>
    <s v="AMBIENTADORES"/>
    <n v="73103"/>
    <s v="GLADE"/>
    <s v="Comercial Fila"/>
    <s v="S2"/>
    <s v="Fernando Martinez (SDO)"/>
    <s v="P010"/>
    <s v="Santo Domingo Oeste"/>
    <s v="E310000007237"/>
    <n v="0"/>
    <n v="0"/>
    <s v="NULL"/>
    <s v="NULL"/>
    <n v="0"/>
    <n v="0"/>
    <s v="CONTADO                                           "/>
    <n v="13"/>
    <n v="6177825"/>
    <s v="Almacenes"/>
    <s v="General"/>
  </r>
  <r>
    <n v="242"/>
    <s v="A Grande"/>
    <n v="3"/>
    <n v="6177825"/>
    <s v="Agustin Luna Valdez"/>
    <s v="Logistica y Distribucion"/>
    <n v="10006723"/>
    <d v="2026-01-22T00:00:00"/>
    <d v="2026-01-22T00:00:00"/>
    <n v="2026"/>
    <n v="1"/>
    <s v="T1"/>
    <n v="1"/>
    <s v="General"/>
    <s v="Santo Domnigo"/>
    <s v="NULL"/>
    <s v="NULL"/>
    <n v="4"/>
    <n v="22"/>
    <n v="37594"/>
    <n v="3"/>
    <s v="C037594"/>
    <s v="Mini Market El patron 3."/>
    <s v="MINI MARKET"/>
    <s v="Miércoles"/>
    <s v="Miércoles"/>
    <n v="72"/>
    <x v="36"/>
    <s v="V621052"/>
    <x v="36"/>
    <n v="0.33333333333332998"/>
    <n v="2"/>
    <n v="148.9"/>
    <n v="0"/>
    <n v="0"/>
    <n v="0"/>
    <n v="53.6"/>
    <n v="297.8"/>
    <n v="351"/>
    <n v="95"/>
    <s v="Benigno Paniagua (T)"/>
    <s v="SDO5"/>
    <n v="10"/>
    <n v="278"/>
    <s v="AMBIENTADORES"/>
    <n v="73103"/>
    <s v="GLADE"/>
    <s v="Comercial Fila"/>
    <s v="S2"/>
    <s v="Fernando Martinez (SDO)"/>
    <s v="P010"/>
    <s v="Santo Domingo Oeste"/>
    <s v="E310000007237"/>
    <n v="0"/>
    <n v="0"/>
    <s v="NULL"/>
    <s v="NULL"/>
    <n v="0"/>
    <n v="0"/>
    <s v="CONTADO                                           "/>
    <n v="13"/>
    <n v="6177825"/>
    <s v="Almacenes"/>
    <s v="General"/>
  </r>
  <r>
    <n v="242"/>
    <s v="A Grande"/>
    <n v="3"/>
    <n v="6177825"/>
    <s v="Agustin Luna Valdez"/>
    <s v="Logistica y Distribucion"/>
    <n v="10006723"/>
    <d v="2026-01-22T00:00:00"/>
    <d v="2026-01-22T00:00:00"/>
    <n v="2026"/>
    <n v="1"/>
    <s v="T1"/>
    <n v="1"/>
    <s v="Alimentos - Espejo"/>
    <s v="Santo Domnigo"/>
    <s v="NULL"/>
    <s v="NULL"/>
    <n v="4"/>
    <n v="22"/>
    <n v="37594"/>
    <n v="3"/>
    <s v="C037594"/>
    <s v="Mini Market El patron 3."/>
    <s v="MINI MARKET"/>
    <s v="Miércoles"/>
    <s v="Miércoles"/>
    <n v="72"/>
    <x v="37"/>
    <s v="V925094"/>
    <x v="37"/>
    <n v="0.25"/>
    <n v="12"/>
    <n v="46.08"/>
    <n v="0"/>
    <n v="0"/>
    <n v="0"/>
    <n v="99.53"/>
    <n v="552.96"/>
    <n v="652"/>
    <n v="95"/>
    <s v="Benigno Paniagua (T)"/>
    <s v="SDO5"/>
    <n v="10"/>
    <n v="117"/>
    <s v="DIMAR"/>
    <n v="65104"/>
    <s v="ALIMENTOS SARDINAS"/>
    <s v="DIMAR DOMINICANA"/>
    <s v="S2"/>
    <s v="Fernando Martinez (SDO)"/>
    <s v="P010"/>
    <s v="Santo Domingo Oeste"/>
    <s v="E310000007237"/>
    <n v="0"/>
    <n v="0"/>
    <s v="NULL"/>
    <s v="NULL"/>
    <n v="0"/>
    <n v="0"/>
    <s v="CONTADO                                           "/>
    <n v="13"/>
    <n v="6177825"/>
    <s v="Almacenes"/>
    <s v="General"/>
  </r>
  <r>
    <n v="242"/>
    <s v="A Grande"/>
    <n v="3"/>
    <n v="6177825"/>
    <s v="Agustin Luna Valdez"/>
    <s v="Logistica y Distribucion"/>
    <n v="10006723"/>
    <d v="2026-01-22T00:00:00"/>
    <d v="2026-01-22T00:00:00"/>
    <n v="2026"/>
    <n v="1"/>
    <s v="T1"/>
    <n v="1"/>
    <s v="Alimentos - Espejo"/>
    <s v="Santo Domnigo"/>
    <s v="NULL"/>
    <s v="NULL"/>
    <n v="4"/>
    <n v="22"/>
    <n v="37594"/>
    <n v="3"/>
    <s v="C037594"/>
    <s v="Mini Market El patron 3."/>
    <s v="MINI MARKET"/>
    <s v="Miércoles"/>
    <s v="Miércoles"/>
    <n v="72"/>
    <x v="38"/>
    <s v="V925095"/>
    <x v="38"/>
    <n v="0.25"/>
    <n v="12"/>
    <n v="46.08"/>
    <n v="0"/>
    <n v="0"/>
    <n v="0"/>
    <n v="99.53"/>
    <n v="552.96"/>
    <n v="652"/>
    <n v="95"/>
    <s v="Benigno Paniagua (T)"/>
    <s v="SDO5"/>
    <n v="10"/>
    <n v="117"/>
    <s v="DIMAR"/>
    <n v="65104"/>
    <s v="ALIMENTOS SARDINAS"/>
    <s v="DIMAR DOMINICANA"/>
    <s v="S2"/>
    <s v="Fernando Martinez (SDO)"/>
    <s v="P010"/>
    <s v="Santo Domingo Oeste"/>
    <s v="E310000007237"/>
    <n v="0"/>
    <n v="0"/>
    <s v="NULL"/>
    <s v="NULL"/>
    <n v="0"/>
    <n v="0"/>
    <s v="CONTADO                                           "/>
    <n v="13"/>
    <n v="6177825"/>
    <s v="Almacenes"/>
    <s v="General"/>
  </r>
  <r>
    <n v="242"/>
    <s v="A Grande"/>
    <n v="3"/>
    <n v="6177825"/>
    <s v="Agustin Luna Valdez"/>
    <s v="Logistica y Distribucion"/>
    <n v="10006723"/>
    <d v="2026-01-22T00:00:00"/>
    <d v="2026-01-22T00:00:00"/>
    <n v="2026"/>
    <n v="1"/>
    <s v="T1"/>
    <n v="1"/>
    <s v="Alimentos - Espejo"/>
    <s v="Santo Domnigo"/>
    <s v="NULL"/>
    <s v="NULL"/>
    <n v="4"/>
    <n v="22"/>
    <n v="37594"/>
    <n v="3"/>
    <s v="C037594"/>
    <s v="Mini Market El patron 3."/>
    <s v="MINI MARKET"/>
    <s v="Miércoles"/>
    <s v="Miércoles"/>
    <n v="72"/>
    <x v="15"/>
    <s v="V925064"/>
    <x v="15"/>
    <n v="0.24"/>
    <n v="12"/>
    <n v="32.86"/>
    <n v="0"/>
    <n v="0"/>
    <n v="0"/>
    <n v="70.98"/>
    <n v="394.32"/>
    <n v="465"/>
    <n v="95"/>
    <s v="Benigno Paniagua (T)"/>
    <s v="SDO5"/>
    <n v="10"/>
    <n v="117"/>
    <s v="DIMAR"/>
    <n v="65104"/>
    <s v="ALIMENTOS SARDINAS"/>
    <s v="DIMAR DOMINICANA"/>
    <s v="S2"/>
    <s v="Fernando Martinez (SDO)"/>
    <s v="P010"/>
    <s v="Santo Domingo Oeste"/>
    <s v="E310000007237"/>
    <n v="0"/>
    <n v="0"/>
    <s v="NULL"/>
    <s v="NULL"/>
    <n v="0"/>
    <n v="0"/>
    <s v="CONTADO                                           "/>
    <n v="13"/>
    <n v="6177825"/>
    <s v="Almacenes"/>
    <s v="General"/>
  </r>
  <r>
    <n v="254"/>
    <s v="A Grande"/>
    <n v="3"/>
    <n v="6179902"/>
    <s v="Santo Muñoz de Paula"/>
    <s v="Logistica y Distribucion"/>
    <n v="10008800"/>
    <d v="2026-01-23T00:00:00"/>
    <d v="2026-01-23T00:00:00"/>
    <n v="2026"/>
    <n v="1"/>
    <s v="T1"/>
    <n v="1"/>
    <s v="General"/>
    <s v="Santo Domnigo"/>
    <s v="NULL"/>
    <s v="NULL"/>
    <n v="4"/>
    <n v="23"/>
    <n v="5474"/>
    <n v="3"/>
    <s v="C005474"/>
    <s v="Mini Market Gracia Divina"/>
    <s v="MINI MARKET"/>
    <s v="Jueves"/>
    <s v="SinAsignar"/>
    <n v="70"/>
    <x v="5"/>
    <s v="V611053"/>
    <x v="5"/>
    <n v="1"/>
    <n v="24"/>
    <n v="20"/>
    <n v="0"/>
    <n v="0"/>
    <n v="0"/>
    <n v="86.4"/>
    <n v="480"/>
    <n v="566"/>
    <n v="94"/>
    <s v="Vicente Cruz"/>
    <s v="SDO6"/>
    <n v="10"/>
    <n v="114"/>
    <s v="BLANCOX"/>
    <n v="66102"/>
    <s v="BLANCOX BOTELLA"/>
    <s v="Brinsa Dominicana"/>
    <s v="S2"/>
    <s v="Fernando Martinez (SDO)"/>
    <s v="P009"/>
    <s v="Santo Domingo Oeste"/>
    <s v="E310000007395"/>
    <n v="0"/>
    <n v="0"/>
    <s v="NULL"/>
    <s v="NULL"/>
    <n v="0"/>
    <n v="0"/>
    <s v="CONTADO                                           "/>
    <n v="13"/>
    <n v="6179902"/>
    <s v="Almacenes"/>
    <s v="General"/>
  </r>
  <r>
    <n v="254"/>
    <s v="A Grande"/>
    <n v="3"/>
    <n v="6179902"/>
    <s v="Santo Muñoz de Paula"/>
    <s v="Logistica y Distribucion"/>
    <n v="10008800"/>
    <d v="2026-01-23T00:00:00"/>
    <d v="2026-01-23T00:00:00"/>
    <n v="2026"/>
    <n v="1"/>
    <s v="T1"/>
    <n v="1"/>
    <s v="General"/>
    <s v="Santo Domnigo"/>
    <s v="NULL"/>
    <s v="NULL"/>
    <n v="4"/>
    <n v="23"/>
    <n v="5474"/>
    <n v="3"/>
    <s v="C005474"/>
    <s v="Mini Market Gracia Divina"/>
    <s v="MINI MARKET"/>
    <s v="Jueves"/>
    <s v="SinAsignar"/>
    <n v="70"/>
    <x v="6"/>
    <s v="V511005"/>
    <x v="6"/>
    <n v="2"/>
    <n v="24"/>
    <n v="64.44"/>
    <n v="0"/>
    <n v="0"/>
    <n v="0"/>
    <n v="278.38"/>
    <n v="1546.56"/>
    <n v="1825"/>
    <n v="94"/>
    <s v="Vicente Cruz"/>
    <s v="SDO6"/>
    <n v="10"/>
    <n v="114"/>
    <s v="BLANCOX"/>
    <n v="66102"/>
    <s v="BLANCOX BOTELLA"/>
    <s v="Brinsa Dominicana"/>
    <s v="S2"/>
    <s v="Fernando Martinez (SDO)"/>
    <s v="P009"/>
    <s v="Santo Domingo Oeste"/>
    <s v="E310000007395"/>
    <n v="0"/>
    <n v="0"/>
    <s v="NULL"/>
    <s v="NULL"/>
    <n v="0"/>
    <n v="0"/>
    <s v="CONTADO                                           "/>
    <n v="13"/>
    <n v="6179902"/>
    <s v="Almacenes"/>
    <s v="General"/>
  </r>
  <r>
    <n v="109"/>
    <s v="A Grande"/>
    <n v="3"/>
    <n v="6182432"/>
    <s v="Tony Vallejo"/>
    <s v="Logistica y Distribucion"/>
    <n v="10011330"/>
    <d v="2026-01-24T00:00:00"/>
    <d v="2026-01-24T00:00:00"/>
    <n v="2026"/>
    <n v="1"/>
    <s v="T1"/>
    <n v="1"/>
    <s v="General"/>
    <s v="Santo Domnigo"/>
    <s v="NULL"/>
    <s v="NULL"/>
    <n v="4"/>
    <n v="24"/>
    <n v="19291"/>
    <n v="3"/>
    <s v="C019291"/>
    <s v="Mini Market Isamal Comercial"/>
    <s v="MINI MARKET"/>
    <s v="Miércoles"/>
    <s v="Miércoles"/>
    <n v="8"/>
    <x v="9"/>
    <s v="V201001"/>
    <x v="9"/>
    <n v="5"/>
    <n v="5"/>
    <n v="221.67"/>
    <n v="0"/>
    <n v="0"/>
    <n v="0"/>
    <n v="199.5"/>
    <n v="1108.3499999999999"/>
    <n v="1308"/>
    <n v="4"/>
    <s v="Argelis Salvador (Bido)"/>
    <s v="DN2"/>
    <n v="10"/>
    <n v="113"/>
    <s v="REFISAL"/>
    <n v="82101"/>
    <s v="REFISAL PACA"/>
    <s v="Brinsa Dominicana"/>
    <s v="S5"/>
    <s v="Fernando Martinez  (DN)"/>
    <s v="P003"/>
    <s v="Distrito Nacional"/>
    <s v="E320000097607"/>
    <n v="0"/>
    <n v="0"/>
    <s v="NULL"/>
    <s v="NULL"/>
    <n v="0"/>
    <n v="0"/>
    <s v="CONTADO                                           "/>
    <n v="13"/>
    <n v="6182432"/>
    <s v="Almacenes"/>
    <s v="General"/>
  </r>
  <r>
    <n v="223"/>
    <s v="A Grande"/>
    <n v="3"/>
    <n v="6182489"/>
    <s v="Martin Figueroa"/>
    <s v="Logistica y Distribucion"/>
    <n v="10011387"/>
    <d v="2026-01-24T00:00:00"/>
    <d v="2026-01-24T00:00:00"/>
    <n v="2026"/>
    <n v="1"/>
    <s v="T1"/>
    <n v="1"/>
    <s v="General"/>
    <s v="Santo Domnigo"/>
    <s v="NULL"/>
    <s v="NULL"/>
    <n v="4"/>
    <n v="24"/>
    <n v="29579"/>
    <n v="3"/>
    <s v="C029579"/>
    <s v="Mini Market  Shairelys"/>
    <s v="MINI MARKET"/>
    <s v="Viernes"/>
    <s v="Viernes"/>
    <n v="60"/>
    <x v="27"/>
    <s v="V101027"/>
    <x v="27"/>
    <n v="2"/>
    <n v="48"/>
    <n v="73.41"/>
    <n v="0"/>
    <n v="0"/>
    <n v="0"/>
    <n v="634.26"/>
    <n v="3523.68"/>
    <n v="4158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10000007602"/>
    <n v="0"/>
    <n v="0"/>
    <s v="NULL"/>
    <s v="NULL"/>
    <n v="0"/>
    <n v="0"/>
    <s v="CONTADO                                           "/>
    <n v="13"/>
    <n v="6182489"/>
    <s v="Almacenes"/>
    <s v="General"/>
  </r>
  <r>
    <n v="223"/>
    <s v="A Grande"/>
    <n v="3"/>
    <n v="6182489"/>
    <s v="Martin Figueroa"/>
    <s v="Logistica y Distribucion"/>
    <n v="10011387"/>
    <d v="2026-01-24T00:00:00"/>
    <d v="2026-01-24T00:00:00"/>
    <n v="2026"/>
    <n v="1"/>
    <s v="T1"/>
    <n v="1"/>
    <s v="General"/>
    <s v="Santo Domnigo"/>
    <s v="NULL"/>
    <s v="NULL"/>
    <n v="4"/>
    <n v="24"/>
    <n v="29579"/>
    <n v="3"/>
    <s v="C029579"/>
    <s v="Mini Market  Shairelys"/>
    <s v="MINI MARKET"/>
    <s v="Viernes"/>
    <s v="Viernes"/>
    <n v="60"/>
    <x v="26"/>
    <s v="V101005"/>
    <x v="26"/>
    <n v="2"/>
    <n v="60"/>
    <n v="73.41"/>
    <n v="0"/>
    <n v="0"/>
    <n v="0"/>
    <n v="792.83"/>
    <n v="4404.6000000000004"/>
    <n v="5197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10000007602"/>
    <n v="0"/>
    <n v="0"/>
    <s v="NULL"/>
    <s v="NULL"/>
    <n v="0"/>
    <n v="0"/>
    <s v="CONTADO                                           "/>
    <n v="13"/>
    <n v="6182489"/>
    <s v="Almacenes"/>
    <s v="General"/>
  </r>
  <r>
    <n v="109"/>
    <s v="A Grande"/>
    <n v="3"/>
    <n v="6184315"/>
    <s v="Tony Vallejo"/>
    <s v="Logistica y Distribucion"/>
    <n v="10013213"/>
    <d v="2026-01-26T00:00:00"/>
    <d v="2026-01-26T00:00:00"/>
    <n v="2026"/>
    <n v="1"/>
    <s v="T1"/>
    <n v="1"/>
    <s v="Alimentos - Espejo"/>
    <s v="Santo Domnigo"/>
    <s v="NULL"/>
    <s v="NULL"/>
    <n v="5"/>
    <n v="26"/>
    <n v="19291"/>
    <n v="3"/>
    <s v="C019291"/>
    <s v="Mini Market Isamal Comercial"/>
    <s v="MINI MARKET"/>
    <s v="Miércoles"/>
    <s v="Miércoles"/>
    <n v="8"/>
    <x v="12"/>
    <s v="V800791"/>
    <x v="12"/>
    <n v="0.52"/>
    <n v="13"/>
    <n v="153.11000000000001"/>
    <n v="0"/>
    <n v="0"/>
    <n v="0"/>
    <n v="358.28"/>
    <n v="1990.43"/>
    <n v="2349"/>
    <n v="4"/>
    <s v="Argelis Salvador (Bido)"/>
    <s v="DN2"/>
    <n v="10"/>
    <n v="207"/>
    <s v="BOLONES"/>
    <n v="65103"/>
    <s v="ALIMENTOS DULCES"/>
    <s v="COLOMBINA"/>
    <s v="S5"/>
    <s v="Fernando Martinez  (DN)"/>
    <s v="P003"/>
    <s v="Distrito Nacional"/>
    <s v="E320000099421"/>
    <n v="0"/>
    <n v="0"/>
    <s v="NULL"/>
    <s v="NULL"/>
    <n v="0"/>
    <n v="0"/>
    <s v="CONTADO                                           "/>
    <n v="18"/>
    <n v="6184315"/>
    <s v="Almacenes"/>
    <s v="General"/>
  </r>
  <r>
    <n v="242"/>
    <s v="A Grande"/>
    <n v="3"/>
    <n v="6190484"/>
    <s v="Agustin Luna Valdez"/>
    <s v="Logistica y Distribucion"/>
    <n v="10019382"/>
    <d v="2026-01-29T00:00:00"/>
    <d v="2026-01-29T00:00:00"/>
    <n v="2026"/>
    <n v="1"/>
    <s v="T1"/>
    <n v="1"/>
    <s v="General"/>
    <s v="Santo Domnigo"/>
    <s v="NULL"/>
    <s v="NULL"/>
    <n v="5"/>
    <n v="29"/>
    <n v="37594"/>
    <n v="3"/>
    <s v="C037594"/>
    <s v="Mini Market El patron 3."/>
    <s v="MINI MARKET"/>
    <s v="Miércoles"/>
    <s v="Miércoles"/>
    <n v="72"/>
    <x v="16"/>
    <s v="V103001"/>
    <x v="16"/>
    <n v="3.625"/>
    <n v="174"/>
    <n v="17.68"/>
    <n v="0"/>
    <n v="0"/>
    <n v="0"/>
    <n v="553.74"/>
    <n v="3076.32"/>
    <n v="3630"/>
    <n v="95"/>
    <s v="Benigno Paniagua (T)"/>
    <s v="SDO5"/>
    <n v="10"/>
    <n v="107"/>
    <s v="FAMILIA"/>
    <n v="6770651"/>
    <s v="CUIDADO FAMILIAR"/>
    <s v="Continental de Negocios"/>
    <s v="S2"/>
    <s v="Fernando Martinez (SDO)"/>
    <s v="P010"/>
    <s v="Santo Domingo Oeste"/>
    <s v="E310000008300"/>
    <n v="0"/>
    <n v="0"/>
    <s v="NULL"/>
    <s v="NULL"/>
    <n v="0"/>
    <n v="0"/>
    <s v="CONTADO                                           "/>
    <n v="13"/>
    <n v="6190484"/>
    <s v="Almacenes"/>
    <s v="General"/>
  </r>
  <r>
    <n v="242"/>
    <s v="A Grande"/>
    <n v="3"/>
    <n v="6190484"/>
    <s v="Agustin Luna Valdez"/>
    <s v="Logistica y Distribucion"/>
    <n v="10019382"/>
    <d v="2026-01-29T00:00:00"/>
    <d v="2026-01-29T00:00:00"/>
    <n v="2026"/>
    <n v="1"/>
    <s v="T1"/>
    <n v="1"/>
    <s v="General"/>
    <s v="Santo Domnigo"/>
    <s v="NULL"/>
    <s v="NULL"/>
    <n v="5"/>
    <n v="29"/>
    <n v="37594"/>
    <n v="3"/>
    <s v="C037594"/>
    <s v="Mini Market El patron 3."/>
    <s v="MINI MARKET"/>
    <s v="Miércoles"/>
    <s v="Miércoles"/>
    <n v="72"/>
    <x v="17"/>
    <s v="V103113"/>
    <x v="17"/>
    <n v="3"/>
    <n v="3"/>
    <n v="0"/>
    <n v="0"/>
    <n v="0"/>
    <n v="0"/>
    <n v="0"/>
    <n v="0"/>
    <n v="0"/>
    <n v="95"/>
    <s v="Benigno Paniagua (T)"/>
    <s v="SDO5"/>
    <n v="10"/>
    <n v="107"/>
    <s v="FAMILIA"/>
    <n v="6770651"/>
    <s v="CUIDADO FAMILIAR"/>
    <s v="Continental de Negocios"/>
    <s v="S2"/>
    <s v="Fernando Martinez (SDO)"/>
    <s v="P010"/>
    <s v="Santo Domingo Oeste"/>
    <s v="E310000008300"/>
    <n v="0"/>
    <n v="0"/>
    <s v="NULL"/>
    <s v="NULL"/>
    <n v="0"/>
    <n v="0"/>
    <s v="CONTADO                                           "/>
    <n v="13"/>
    <n v="6190484"/>
    <s v="Almacenes"/>
    <s v="General"/>
  </r>
  <r>
    <n v="242"/>
    <s v="A Grande"/>
    <n v="3"/>
    <n v="6190484"/>
    <s v="Agustin Luna Valdez"/>
    <s v="Logistica y Distribucion"/>
    <n v="10019382"/>
    <d v="2026-01-29T00:00:00"/>
    <d v="2026-01-29T00:00:00"/>
    <n v="2026"/>
    <n v="1"/>
    <s v="T1"/>
    <n v="1"/>
    <s v="General"/>
    <s v="Santo Domnigo"/>
    <s v="NULL"/>
    <s v="NULL"/>
    <n v="5"/>
    <n v="29"/>
    <n v="37594"/>
    <n v="3"/>
    <s v="C037594"/>
    <s v="Mini Market El patron 3."/>
    <s v="MINI MARKET"/>
    <s v="Miércoles"/>
    <s v="Miércoles"/>
    <n v="72"/>
    <x v="2"/>
    <s v="V621045"/>
    <x v="2"/>
    <n v="1"/>
    <n v="12"/>
    <n v="161.94999999999999"/>
    <n v="0"/>
    <n v="0"/>
    <n v="0"/>
    <n v="349.81"/>
    <n v="1943.4"/>
    <n v="2293"/>
    <n v="95"/>
    <s v="Benigno Paniagua (T)"/>
    <s v="SDO5"/>
    <n v="10"/>
    <n v="138"/>
    <s v="INSECTICIDAS"/>
    <n v="73101"/>
    <s v="INSECTICIDA BAIGON"/>
    <s v="Comercial Fila"/>
    <s v="S2"/>
    <s v="Fernando Martinez (SDO)"/>
    <s v="P010"/>
    <s v="Santo Domingo Oeste"/>
    <s v="E310000008300"/>
    <n v="0"/>
    <n v="0"/>
    <s v="NULL"/>
    <s v="NULL"/>
    <n v="0"/>
    <n v="0"/>
    <s v="CONTADO                                           "/>
    <n v="13"/>
    <n v="6190484"/>
    <s v="Almacenes"/>
    <s v="General"/>
  </r>
  <r>
    <n v="125"/>
    <s v="A Grande"/>
    <n v="3"/>
    <n v="6191333"/>
    <s v="Juan Rosario"/>
    <s v="Logistica y Distribucion"/>
    <n v="10020231"/>
    <d v="2026-01-29T00:00:00"/>
    <d v="2026-01-29T00:00:00"/>
    <n v="2026"/>
    <n v="1"/>
    <s v="T1"/>
    <n v="1"/>
    <s v="Alimentos - Espejo"/>
    <s v="Santo Domnigo"/>
    <s v="NULL"/>
    <s v="NULL"/>
    <n v="5"/>
    <n v="29"/>
    <n v="36908"/>
    <n v="3"/>
    <s v="c036908"/>
    <s v="Asociacion De Detallistas Unidos De Mendoza"/>
    <s v="SUPERMERCADO"/>
    <s v="Miércoles"/>
    <s v="Miércoles"/>
    <n v="11"/>
    <x v="39"/>
    <s v="V930113"/>
    <x v="39"/>
    <n v="0.04"/>
    <n v="1"/>
    <n v="154.07"/>
    <n v="0"/>
    <n v="0"/>
    <n v="0"/>
    <n v="27.73"/>
    <n v="154.07"/>
    <n v="182"/>
    <n v="199"/>
    <s v="Giancarlo Tavarez"/>
    <s v="SDE2"/>
    <n v="10"/>
    <n v="207"/>
    <s v="BOLONES"/>
    <n v="0"/>
    <s v="NULL"/>
    <s v="COLOMBINA"/>
    <s v="S1"/>
    <s v="Ramon E. Pimentel (SDE)"/>
    <s v="P206"/>
    <s v="Santo Domingo Este"/>
    <s v="E320000106107"/>
    <n v="0"/>
    <n v="0"/>
    <s v="NULL"/>
    <s v="NULL"/>
    <n v="0"/>
    <n v="0"/>
    <s v="CONTADO                                           "/>
    <n v="13"/>
    <n v="6191333"/>
    <s v="Almacenes"/>
    <s v="General"/>
  </r>
  <r>
    <n v="125"/>
    <s v="A Grande"/>
    <n v="3"/>
    <n v="6191333"/>
    <s v="Juan Rosario"/>
    <s v="Logistica y Distribucion"/>
    <n v="10020231"/>
    <d v="2026-01-29T00:00:00"/>
    <d v="2026-01-29T00:00:00"/>
    <n v="2026"/>
    <n v="1"/>
    <s v="T1"/>
    <n v="1"/>
    <s v="Alimentos - Espejo"/>
    <s v="Santo Domnigo"/>
    <s v="NULL"/>
    <s v="NULL"/>
    <n v="5"/>
    <n v="29"/>
    <n v="36908"/>
    <n v="3"/>
    <s v="c036908"/>
    <s v="Asociacion De Detallistas Unidos De Mendoza"/>
    <s v="SUPERMERCADO"/>
    <s v="Miércoles"/>
    <s v="Miércoles"/>
    <n v="11"/>
    <x v="40"/>
    <s v="V800793"/>
    <x v="40"/>
    <n v="0.08"/>
    <n v="2"/>
    <n v="153.11000000000001"/>
    <n v="0"/>
    <n v="0"/>
    <n v="0"/>
    <n v="55.12"/>
    <n v="306.22000000000003"/>
    <n v="361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106107"/>
    <n v="0"/>
    <n v="0"/>
    <s v="NULL"/>
    <s v="NULL"/>
    <n v="0"/>
    <n v="0"/>
    <s v="CONTADO                                           "/>
    <n v="13"/>
    <n v="6191333"/>
    <s v="Almacenes"/>
    <s v="General"/>
  </r>
  <r>
    <n v="125"/>
    <s v="A Grande"/>
    <n v="3"/>
    <n v="6191333"/>
    <s v="Juan Rosario"/>
    <s v="Logistica y Distribucion"/>
    <n v="10020231"/>
    <d v="2026-01-29T00:00:00"/>
    <d v="2026-01-29T00:00:00"/>
    <n v="2026"/>
    <n v="1"/>
    <s v="T1"/>
    <n v="1"/>
    <s v="Alimentos - Espejo"/>
    <s v="Santo Domnigo"/>
    <s v="NULL"/>
    <s v="NULL"/>
    <n v="5"/>
    <n v="29"/>
    <n v="36908"/>
    <n v="3"/>
    <s v="c036908"/>
    <s v="Asociacion De Detallistas Unidos De Mendoza"/>
    <s v="SUPERMERCADO"/>
    <s v="Miércoles"/>
    <s v="Miércoles"/>
    <n v="11"/>
    <x v="12"/>
    <s v="V800791"/>
    <x v="12"/>
    <n v="0.04"/>
    <n v="1"/>
    <n v="153.11000000000001"/>
    <n v="0"/>
    <n v="0"/>
    <n v="0"/>
    <n v="27.56"/>
    <n v="153.11000000000001"/>
    <n v="181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106107"/>
    <n v="0"/>
    <n v="0"/>
    <s v="NULL"/>
    <s v="NULL"/>
    <n v="0"/>
    <n v="0"/>
    <s v="CONTADO                                           "/>
    <n v="13"/>
    <n v="6191333"/>
    <s v="Almacenes"/>
    <s v="General"/>
  </r>
  <r>
    <n v="125"/>
    <s v="A Grande"/>
    <n v="3"/>
    <n v="6191333"/>
    <s v="Juan Rosario"/>
    <s v="Logistica y Distribucion"/>
    <n v="10020231"/>
    <d v="2026-01-29T00:00:00"/>
    <d v="2026-01-29T00:00:00"/>
    <n v="2026"/>
    <n v="1"/>
    <s v="T1"/>
    <n v="1"/>
    <s v="Alimentos - Espejo"/>
    <s v="Santo Domnigo"/>
    <s v="NULL"/>
    <s v="NULL"/>
    <n v="5"/>
    <n v="29"/>
    <n v="36908"/>
    <n v="3"/>
    <s v="c036908"/>
    <s v="Asociacion De Detallistas Unidos De Mendoza"/>
    <s v="SUPERMERCADO"/>
    <s v="Miércoles"/>
    <s v="Miércoles"/>
    <n v="11"/>
    <x v="41"/>
    <s v="V800796"/>
    <x v="41"/>
    <n v="0.08"/>
    <n v="2"/>
    <n v="153.11000000000001"/>
    <n v="0"/>
    <n v="0"/>
    <n v="0"/>
    <n v="55.12"/>
    <n v="306.22000000000003"/>
    <n v="361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106107"/>
    <n v="0"/>
    <n v="0"/>
    <s v="NULL"/>
    <s v="NULL"/>
    <n v="0"/>
    <n v="0"/>
    <s v="CONTADO                                           "/>
    <n v="13"/>
    <n v="6191333"/>
    <s v="Almacenes"/>
    <s v="General"/>
  </r>
  <r>
    <n v="125"/>
    <s v="A Grande"/>
    <n v="3"/>
    <n v="6191333"/>
    <s v="Juan Rosario"/>
    <s v="Logistica y Distribucion"/>
    <n v="10020231"/>
    <d v="2026-01-29T00:00:00"/>
    <d v="2026-01-29T00:00:00"/>
    <n v="2026"/>
    <n v="1"/>
    <s v="T1"/>
    <n v="1"/>
    <s v="Alimentos - Espejo"/>
    <s v="Santo Domnigo"/>
    <s v="NULL"/>
    <s v="NULL"/>
    <n v="5"/>
    <n v="29"/>
    <n v="36908"/>
    <n v="3"/>
    <s v="c036908"/>
    <s v="Asociacion De Detallistas Unidos De Mendoza"/>
    <s v="SUPERMERCADO"/>
    <s v="Miércoles"/>
    <s v="Miércoles"/>
    <n v="11"/>
    <x v="21"/>
    <s v="V800792"/>
    <x v="21"/>
    <n v="0.08"/>
    <n v="2"/>
    <n v="153.11000000000001"/>
    <n v="0"/>
    <n v="0"/>
    <n v="0"/>
    <n v="55.12"/>
    <n v="306.22000000000003"/>
    <n v="361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106107"/>
    <n v="0"/>
    <n v="0"/>
    <s v="NULL"/>
    <s v="NULL"/>
    <n v="0"/>
    <n v="0"/>
    <s v="CONTADO                                           "/>
    <n v="13"/>
    <n v="6191333"/>
    <s v="Almacenes"/>
    <s v="General"/>
  </r>
  <r>
    <n v="125"/>
    <s v="A Grande"/>
    <n v="3"/>
    <n v="6191333"/>
    <s v="Juan Rosario"/>
    <s v="Logistica y Distribucion"/>
    <n v="10020231"/>
    <d v="2026-01-29T00:00:00"/>
    <d v="2026-01-29T00:00:00"/>
    <n v="2026"/>
    <n v="1"/>
    <s v="T1"/>
    <n v="1"/>
    <s v="Alimentos - Espejo"/>
    <s v="Santo Domnigo"/>
    <s v="NULL"/>
    <s v="NULL"/>
    <n v="5"/>
    <n v="29"/>
    <n v="36908"/>
    <n v="3"/>
    <s v="c036908"/>
    <s v="Asociacion De Detallistas Unidos De Mendoza"/>
    <s v="SUPERMERCADO"/>
    <s v="Miércoles"/>
    <s v="Miércoles"/>
    <n v="11"/>
    <x v="42"/>
    <s v="V930153"/>
    <x v="42"/>
    <n v="0.08"/>
    <n v="2"/>
    <n v="153.11000000000001"/>
    <n v="0"/>
    <n v="0"/>
    <n v="0"/>
    <n v="55.12"/>
    <n v="306.22000000000003"/>
    <n v="361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106107"/>
    <n v="0"/>
    <n v="0"/>
    <s v="NULL"/>
    <s v="NULL"/>
    <n v="0"/>
    <n v="0"/>
    <s v="CONTADO                                           "/>
    <n v="13"/>
    <n v="6191333"/>
    <s v="Almacenes"/>
    <s v="General"/>
  </r>
  <r>
    <n v="254"/>
    <s v="A Grande"/>
    <n v="3"/>
    <n v="6192826"/>
    <s v="Santo Muñoz de Paula"/>
    <s v="Logistica y Distribucion"/>
    <n v="10021724"/>
    <d v="2026-01-30T00:00:00"/>
    <d v="2026-01-30T00:00:00"/>
    <n v="2026"/>
    <n v="1"/>
    <s v="T1"/>
    <n v="1"/>
    <s v="Alimentos - Espejo"/>
    <s v="Santo Domnigo"/>
    <s v="NULL"/>
    <s v="NULL"/>
    <n v="5"/>
    <n v="30"/>
    <n v="5474"/>
    <n v="3"/>
    <s v="C005474"/>
    <s v="Mini Market Gracia Divina"/>
    <s v="MINI MARKET"/>
    <s v="Jueves"/>
    <s v="SinAsignar"/>
    <n v="70"/>
    <x v="43"/>
    <s v="V982005"/>
    <x v="43"/>
    <n v="3"/>
    <n v="3"/>
    <n v="0"/>
    <n v="0"/>
    <n v="0"/>
    <n v="0"/>
    <n v="0"/>
    <n v="0"/>
    <n v="0"/>
    <n v="94"/>
    <s v="Vicente Cruz"/>
    <s v="SDO6"/>
    <n v="10"/>
    <n v="167"/>
    <s v="AGUA"/>
    <n v="65105"/>
    <s v="ALIMENTOS"/>
    <s v="Agua Crystal"/>
    <s v="S2"/>
    <s v="Fernando Martinez (SDO)"/>
    <s v="P009"/>
    <s v="Santo Domingo Oeste"/>
    <s v="E310000008497"/>
    <n v="0"/>
    <n v="1"/>
    <n v="3303"/>
    <s v="Agua Crystal 8+1/20+3/120+20"/>
    <n v="0"/>
    <n v="0"/>
    <s v="CONTADO                                           "/>
    <n v="13"/>
    <n v="6192826"/>
    <s v="Almacenes"/>
    <s v="General"/>
  </r>
  <r>
    <n v="254"/>
    <s v="A Grande"/>
    <n v="3"/>
    <n v="6192826"/>
    <s v="Santo Muñoz de Paula"/>
    <s v="Logistica y Distribucion"/>
    <n v="10021724"/>
    <d v="2026-01-30T00:00:00"/>
    <d v="2026-01-30T00:00:00"/>
    <n v="2026"/>
    <n v="1"/>
    <s v="T1"/>
    <n v="1"/>
    <s v="Alimentos - Espejo"/>
    <s v="Santo Domnigo"/>
    <s v="NULL"/>
    <s v="NULL"/>
    <n v="5"/>
    <n v="30"/>
    <n v="5474"/>
    <n v="3"/>
    <s v="C005474"/>
    <s v="Mini Market Gracia Divina"/>
    <s v="MINI MARKET"/>
    <s v="Jueves"/>
    <s v="SinAsignar"/>
    <n v="70"/>
    <x v="43"/>
    <s v="V982005"/>
    <x v="43"/>
    <n v="20"/>
    <n v="20"/>
    <n v="141.6"/>
    <n v="0"/>
    <n v="0"/>
    <n v="0"/>
    <n v="509.76"/>
    <n v="2832"/>
    <n v="3342"/>
    <n v="94"/>
    <s v="Vicente Cruz"/>
    <s v="SDO6"/>
    <n v="10"/>
    <n v="167"/>
    <s v="AGUA"/>
    <n v="65105"/>
    <s v="ALIMENTOS"/>
    <s v="Agua Crystal"/>
    <s v="S2"/>
    <s v="Fernando Martinez (SDO)"/>
    <s v="P009"/>
    <s v="Santo Domingo Oeste"/>
    <s v="E310000008497"/>
    <n v="0"/>
    <n v="0"/>
    <s v="NULL"/>
    <s v="NULL"/>
    <n v="0"/>
    <n v="0"/>
    <s v="CONTADO                                           "/>
    <n v="13"/>
    <n v="6192826"/>
    <s v="Almacenes"/>
    <s v="General"/>
  </r>
  <r>
    <n v="254"/>
    <s v="A Grande"/>
    <n v="3"/>
    <n v="6192826"/>
    <s v="Santo Muñoz de Paula"/>
    <s v="Logistica y Distribucion"/>
    <n v="10021724"/>
    <d v="2026-01-30T00:00:00"/>
    <d v="2026-01-30T00:00:00"/>
    <n v="2026"/>
    <n v="1"/>
    <s v="T1"/>
    <n v="1"/>
    <s v="Alimentos - Espejo"/>
    <s v="Santo Domnigo"/>
    <s v="NULL"/>
    <s v="NULL"/>
    <n v="5"/>
    <n v="30"/>
    <n v="5474"/>
    <n v="3"/>
    <s v="C005474"/>
    <s v="Mini Market Gracia Divina"/>
    <s v="MINI MARKET"/>
    <s v="Jueves"/>
    <s v="SinAsignar"/>
    <n v="70"/>
    <x v="30"/>
    <s v="V930023"/>
    <x v="30"/>
    <n v="0.3"/>
    <n v="6"/>
    <n v="140.75"/>
    <n v="0"/>
    <n v="0"/>
    <n v="0"/>
    <n v="152.01"/>
    <n v="844.5"/>
    <n v="997"/>
    <n v="94"/>
    <s v="Vicente Cruz"/>
    <s v="SDO6"/>
    <n v="10"/>
    <n v="208"/>
    <s v="CARAMELOS DUROS"/>
    <n v="0"/>
    <s v="NULL"/>
    <s v="COLOMBINA"/>
    <s v="S2"/>
    <s v="Fernando Martinez (SDO)"/>
    <s v="P009"/>
    <s v="Santo Domingo Oeste"/>
    <s v="E310000008497"/>
    <n v="0"/>
    <n v="0"/>
    <s v="NULL"/>
    <s v="NULL"/>
    <n v="0"/>
    <n v="0"/>
    <s v="CONTADO                                           "/>
    <n v="13"/>
    <n v="6192826"/>
    <s v="Almacenes"/>
    <s v="General"/>
  </r>
  <r>
    <n v="223"/>
    <s v="A Grande"/>
    <n v="3"/>
    <n v="6195253"/>
    <s v="Martin Figueroa"/>
    <s v="Logistica y Distribucion"/>
    <n v="10024154"/>
    <d v="2026-01-31T00:00:00"/>
    <d v="2026-01-31T00:00:00"/>
    <n v="2026"/>
    <n v="1"/>
    <s v="T1"/>
    <n v="1"/>
    <s v="General"/>
    <s v="Santo Domnigo"/>
    <s v="NULL"/>
    <s v="NULL"/>
    <n v="5"/>
    <n v="31"/>
    <n v="1019"/>
    <n v="3"/>
    <s v="C001019"/>
    <s v="Mini Market Shairelys SRL"/>
    <s v="MINI MARKET"/>
    <s v="Viernes"/>
    <s v="Viernes"/>
    <n v="60"/>
    <x v="13"/>
    <s v="v101038"/>
    <x v="13"/>
    <n v="1"/>
    <n v="10"/>
    <n v="357.83"/>
    <n v="0"/>
    <n v="0"/>
    <n v="0"/>
    <n v="644.09"/>
    <n v="3578.3"/>
    <n v="4222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10000008664"/>
    <n v="0"/>
    <n v="0"/>
    <s v="NULL"/>
    <s v="NULL"/>
    <n v="0"/>
    <n v="0"/>
    <s v="CONTADO                                           "/>
    <n v="13"/>
    <n v="6195253"/>
    <s v="Almacenes"/>
    <s v="General"/>
  </r>
  <r>
    <n v="223"/>
    <s v="A Grande"/>
    <n v="3"/>
    <n v="6195253"/>
    <s v="Martin Figueroa"/>
    <s v="Logistica y Distribucion"/>
    <n v="10024154"/>
    <d v="2026-01-31T00:00:00"/>
    <d v="2026-01-31T00:00:00"/>
    <n v="2026"/>
    <n v="1"/>
    <s v="T1"/>
    <n v="1"/>
    <s v="General"/>
    <s v="Santo Domnigo"/>
    <s v="NULL"/>
    <s v="NULL"/>
    <n v="5"/>
    <n v="31"/>
    <n v="1019"/>
    <n v="3"/>
    <s v="C001019"/>
    <s v="Mini Market Shairelys SRL"/>
    <s v="MINI MARKET"/>
    <s v="Viernes"/>
    <s v="Viernes"/>
    <n v="60"/>
    <x v="44"/>
    <s v="V101026"/>
    <x v="44"/>
    <n v="5.5555555555550001E-2"/>
    <n v="2"/>
    <n v="33.06"/>
    <n v="0"/>
    <n v="0"/>
    <n v="0"/>
    <n v="11.9"/>
    <n v="66.12"/>
    <n v="78"/>
    <n v="8"/>
    <s v="Daniel Gutierrez"/>
    <s v="DN3"/>
    <n v="10"/>
    <n v="136"/>
    <s v="NOSOTRAS DIARIOS"/>
    <n v="677001"/>
    <s v="CUIDADO FEMENINO"/>
    <s v="Continental de Negocios"/>
    <s v="S5"/>
    <s v="Fernando Martinez  (DN)"/>
    <s v="P016"/>
    <s v="Distrito Nacional"/>
    <s v="E310000008664"/>
    <n v="0"/>
    <n v="0"/>
    <s v="NULL"/>
    <s v="NULL"/>
    <n v="0"/>
    <n v="0"/>
    <s v="CONTADO                                           "/>
    <n v="13"/>
    <n v="6195253"/>
    <s v="Almacenes"/>
    <s v="General"/>
  </r>
  <r>
    <n v="223"/>
    <s v="A Grande"/>
    <n v="3"/>
    <n v="6195253"/>
    <s v="Martin Figueroa"/>
    <s v="Logistica y Distribucion"/>
    <n v="10024154"/>
    <d v="2026-01-31T00:00:00"/>
    <d v="2026-01-31T00:00:00"/>
    <n v="2026"/>
    <n v="1"/>
    <s v="T1"/>
    <n v="1"/>
    <s v="Alimentos - Espejo"/>
    <s v="Santo Domnigo"/>
    <s v="NULL"/>
    <s v="NULL"/>
    <n v="5"/>
    <n v="31"/>
    <n v="1019"/>
    <n v="3"/>
    <s v="C001019"/>
    <s v="Mini Market Shairelys SRL"/>
    <s v="MINI MARKET"/>
    <s v="Viernes"/>
    <s v="Viernes"/>
    <n v="60"/>
    <x v="45"/>
    <s v="V930188"/>
    <x v="45"/>
    <n v="1"/>
    <n v="15"/>
    <n v="56.36"/>
    <n v="0"/>
    <n v="0"/>
    <n v="0"/>
    <n v="152.16999999999999"/>
    <n v="845.4"/>
    <n v="998"/>
    <n v="8"/>
    <s v="Daniel Gutierrez"/>
    <s v="DN3"/>
    <n v="10"/>
    <n v="206"/>
    <s v="CARAMELOS BLANDOS"/>
    <n v="0"/>
    <s v="NULL"/>
    <s v="COLOMBINA"/>
    <s v="S5"/>
    <s v="Fernando Martinez  (DN)"/>
    <s v="P016"/>
    <s v="Distrito Nacional"/>
    <s v="E310000008664"/>
    <n v="0"/>
    <n v="0"/>
    <s v="NULL"/>
    <s v="NULL"/>
    <n v="0"/>
    <n v="0"/>
    <s v="CONTADO                                           "/>
    <n v="13"/>
    <n v="6195253"/>
    <s v="Almacenes"/>
    <s v="General"/>
  </r>
  <r>
    <n v="109"/>
    <s v="A Grande"/>
    <n v="3"/>
    <n v="6195438"/>
    <s v="Tony Vallejo"/>
    <s v="Logistica y Distribucion"/>
    <n v="10024339"/>
    <d v="2026-01-31T00:00:00"/>
    <d v="2026-01-31T00:00:00"/>
    <n v="2026"/>
    <n v="1"/>
    <s v="T1"/>
    <n v="1"/>
    <s v="General"/>
    <s v="Santo Domnigo"/>
    <s v="NULL"/>
    <s v="NULL"/>
    <n v="5"/>
    <n v="31"/>
    <n v="2280"/>
    <n v="3"/>
    <s v="C002280"/>
    <s v="Mini Market Familiar"/>
    <s v="MINI MARKET"/>
    <s v="Miércoles"/>
    <s v="Miércoles"/>
    <n v="14"/>
    <x v="9"/>
    <s v="V201001"/>
    <x v="9"/>
    <n v="10"/>
    <n v="10"/>
    <n v="221.67"/>
    <n v="0"/>
    <n v="0"/>
    <n v="0"/>
    <n v="399.01"/>
    <n v="2216.6999999999998"/>
    <n v="2616"/>
    <n v="93"/>
    <s v="Junior M. Ramos (Isaac Maria)"/>
    <s v="DN7"/>
    <n v="10"/>
    <n v="113"/>
    <s v="REFISAL"/>
    <n v="82101"/>
    <s v="REFISAL PACA"/>
    <s v="Brinsa Dominicana"/>
    <s v="S5"/>
    <s v="Fernando Martinez  (DN)"/>
    <s v="P007"/>
    <s v="Distrito Nacional"/>
    <s v="E320000110084"/>
    <n v="0"/>
    <n v="0"/>
    <s v="NULL"/>
    <s v="NULL"/>
    <n v="0"/>
    <n v="0"/>
    <s v="CONTADO                                           "/>
    <n v="18"/>
    <n v="6195438"/>
    <s v="Almacenes"/>
    <s v="General"/>
  </r>
  <r>
    <n v="109"/>
    <s v="A Grande"/>
    <n v="3"/>
    <n v="6195438"/>
    <s v="Tony Vallejo"/>
    <s v="Logistica y Distribucion"/>
    <n v="10024339"/>
    <d v="2026-01-31T00:00:00"/>
    <d v="2026-01-31T00:00:00"/>
    <n v="2026"/>
    <n v="1"/>
    <s v="T1"/>
    <n v="1"/>
    <s v="Alimentos - Espejo"/>
    <s v="Santo Domnigo"/>
    <s v="NULL"/>
    <s v="NULL"/>
    <n v="5"/>
    <n v="31"/>
    <n v="2280"/>
    <n v="3"/>
    <s v="C002280"/>
    <s v="Mini Market Familiar"/>
    <s v="MINI MARKET"/>
    <s v="Miércoles"/>
    <s v="Miércoles"/>
    <n v="14"/>
    <x v="10"/>
    <s v="V611221"/>
    <x v="10"/>
    <n v="1"/>
    <n v="1"/>
    <n v="194.92"/>
    <n v="0"/>
    <n v="0"/>
    <n v="0"/>
    <n v="35.090000000000003"/>
    <n v="194.92"/>
    <n v="230"/>
    <n v="93"/>
    <s v="Junior M. Ramos (Isaac Maria)"/>
    <s v="DN7"/>
    <n v="10"/>
    <n v="193"/>
    <s v="Snack"/>
    <n v="65105"/>
    <s v="ALIMENTOS"/>
    <s v="Corporacion Poiroto SRL"/>
    <s v="S5"/>
    <s v="Fernando Martinez  (DN)"/>
    <s v="P007"/>
    <s v="Distrito Nacional"/>
    <s v="E320000110084"/>
    <n v="0"/>
    <n v="0"/>
    <s v="NULL"/>
    <s v="NULL"/>
    <n v="0"/>
    <n v="0"/>
    <s v="CONTADO                                           "/>
    <n v="18"/>
    <n v="6195438"/>
    <s v="Almacenes"/>
    <s v="General"/>
  </r>
  <r>
    <n v="109"/>
    <s v="A Grande"/>
    <n v="3"/>
    <n v="6195438"/>
    <s v="Tony Vallejo"/>
    <s v="Logistica y Distribucion"/>
    <n v="10024339"/>
    <d v="2026-01-31T00:00:00"/>
    <d v="2026-01-31T00:00:00"/>
    <n v="2026"/>
    <n v="1"/>
    <s v="T1"/>
    <n v="1"/>
    <s v="Alimentos - Espejo"/>
    <s v="Santo Domnigo"/>
    <s v="NULL"/>
    <s v="NULL"/>
    <n v="5"/>
    <n v="31"/>
    <n v="2280"/>
    <n v="3"/>
    <s v="C002280"/>
    <s v="Mini Market Familiar"/>
    <s v="MINI MARKET"/>
    <s v="Miércoles"/>
    <s v="Miércoles"/>
    <n v="14"/>
    <x v="11"/>
    <s v="V930045"/>
    <x v="11"/>
    <n v="0.16666666666666"/>
    <n v="4"/>
    <n v="103.5"/>
    <n v="0"/>
    <n v="0"/>
    <n v="0"/>
    <n v="74.52"/>
    <n v="414"/>
    <n v="489"/>
    <n v="93"/>
    <s v="Junior M. Ramos (Isaac Maria)"/>
    <s v="DN7"/>
    <n v="10"/>
    <n v="204"/>
    <s v="GALLETERIA"/>
    <n v="0"/>
    <s v="NULL"/>
    <s v="COLOMBINA"/>
    <s v="S5"/>
    <s v="Fernando Martinez  (DN)"/>
    <s v="P007"/>
    <s v="Distrito Nacional"/>
    <s v="E320000110084"/>
    <n v="0"/>
    <n v="0"/>
    <s v="NULL"/>
    <s v="NULL"/>
    <n v="0"/>
    <n v="0"/>
    <s v="CONTADO                                           "/>
    <n v="18"/>
    <n v="6195438"/>
    <s v="Almacenes"/>
    <s v="General"/>
  </r>
  <r>
    <n v="109"/>
    <s v="A Grande"/>
    <n v="3"/>
    <n v="6195475"/>
    <s v="Tony Vallejo"/>
    <s v="Logistica y Distribucion"/>
    <n v="10024376"/>
    <d v="2026-01-31T00:00:00"/>
    <d v="2026-01-31T00:00:00"/>
    <n v="2026"/>
    <n v="1"/>
    <s v="T1"/>
    <n v="1"/>
    <s v="Alimentos - Espejo"/>
    <s v="Santo Domnigo"/>
    <s v="NULL"/>
    <s v="NULL"/>
    <n v="5"/>
    <n v="31"/>
    <n v="19291"/>
    <n v="3"/>
    <s v="C019291"/>
    <s v="Mini Market Isamal Comercial"/>
    <s v="MINI MARKET"/>
    <s v="Miércoles"/>
    <s v="Miércoles"/>
    <n v="8"/>
    <x v="12"/>
    <s v="V800791"/>
    <x v="12"/>
    <n v="0.28000000000000003"/>
    <n v="7"/>
    <n v="153.11000000000001"/>
    <n v="0"/>
    <n v="0"/>
    <n v="0"/>
    <n v="192.92"/>
    <n v="1071.77"/>
    <n v="1265"/>
    <n v="4"/>
    <s v="Argelis Salvador (Bido)"/>
    <s v="DN2"/>
    <n v="10"/>
    <n v="207"/>
    <s v="BOLONES"/>
    <n v="65103"/>
    <s v="ALIMENTOS DULCES"/>
    <s v="COLOMBINA"/>
    <s v="S5"/>
    <s v="Fernando Martinez  (DN)"/>
    <s v="P003"/>
    <s v="Distrito Nacional"/>
    <s v="E320000110121"/>
    <n v="0"/>
    <n v="0"/>
    <s v="NULL"/>
    <s v="NULL"/>
    <n v="0"/>
    <n v="0"/>
    <s v="CONTADO                                           "/>
    <n v="13"/>
    <n v="6195475"/>
    <s v="Almacenes"/>
    <s v="General"/>
  </r>
  <r>
    <n v="109"/>
    <s v="A Grande"/>
    <n v="3"/>
    <n v="6195475"/>
    <s v="Tony Vallejo"/>
    <s v="Logistica y Distribucion"/>
    <n v="10024376"/>
    <d v="2026-01-31T00:00:00"/>
    <d v="2026-01-31T00:00:00"/>
    <n v="2026"/>
    <n v="1"/>
    <s v="T1"/>
    <n v="1"/>
    <s v="Alimentos - Espejo"/>
    <s v="Santo Domnigo"/>
    <s v="NULL"/>
    <s v="NULL"/>
    <n v="5"/>
    <n v="31"/>
    <n v="19291"/>
    <n v="3"/>
    <s v="C019291"/>
    <s v="Mini Market Isamal Comercial"/>
    <s v="MINI MARKET"/>
    <s v="Miércoles"/>
    <s v="Miércoles"/>
    <n v="8"/>
    <x v="40"/>
    <s v="V800793"/>
    <x v="40"/>
    <n v="0.08"/>
    <n v="2"/>
    <n v="153.11000000000001"/>
    <n v="0"/>
    <n v="0"/>
    <n v="0"/>
    <n v="55.12"/>
    <n v="306.22000000000003"/>
    <n v="361"/>
    <n v="4"/>
    <s v="Argelis Salvador (Bido)"/>
    <s v="DN2"/>
    <n v="10"/>
    <n v="207"/>
    <s v="BOLONES"/>
    <n v="65103"/>
    <s v="ALIMENTOS DULCES"/>
    <s v="COLOMBINA"/>
    <s v="S5"/>
    <s v="Fernando Martinez  (DN)"/>
    <s v="P003"/>
    <s v="Distrito Nacional"/>
    <s v="E320000110121"/>
    <n v="0"/>
    <n v="0"/>
    <s v="NULL"/>
    <s v="NULL"/>
    <n v="0"/>
    <n v="0"/>
    <s v="CONTADO                                           "/>
    <n v="13"/>
    <n v="6195475"/>
    <s v="Almacenes"/>
    <s v="General"/>
  </r>
  <r>
    <n v="109"/>
    <s v="A Grande"/>
    <n v="3"/>
    <n v="6195475"/>
    <s v="Tony Vallejo"/>
    <s v="Logistica y Distribucion"/>
    <n v="10024376"/>
    <d v="2026-01-31T00:00:00"/>
    <d v="2026-01-31T00:00:00"/>
    <n v="2026"/>
    <n v="1"/>
    <s v="T1"/>
    <n v="1"/>
    <s v="Alimentos - Espejo"/>
    <s v="Santo Domnigo"/>
    <s v="NULL"/>
    <s v="NULL"/>
    <n v="5"/>
    <n v="31"/>
    <n v="19291"/>
    <n v="3"/>
    <s v="C019291"/>
    <s v="Mini Market Isamal Comercial"/>
    <s v="MINI MARKET"/>
    <s v="Miércoles"/>
    <s v="Miércoles"/>
    <n v="8"/>
    <x v="41"/>
    <s v="V800796"/>
    <x v="41"/>
    <n v="0.08"/>
    <n v="2"/>
    <n v="153.11000000000001"/>
    <n v="0"/>
    <n v="0"/>
    <n v="0"/>
    <n v="55.12"/>
    <n v="306.22000000000003"/>
    <n v="361"/>
    <n v="4"/>
    <s v="Argelis Salvador (Bido)"/>
    <s v="DN2"/>
    <n v="10"/>
    <n v="207"/>
    <s v="BOLONES"/>
    <n v="65103"/>
    <s v="ALIMENTOS DULCES"/>
    <s v="COLOMBINA"/>
    <s v="S5"/>
    <s v="Fernando Martinez  (DN)"/>
    <s v="P003"/>
    <s v="Distrito Nacional"/>
    <s v="E320000110121"/>
    <n v="0"/>
    <n v="0"/>
    <s v="NULL"/>
    <s v="NULL"/>
    <n v="0"/>
    <n v="0"/>
    <s v="CONTADO                                           "/>
    <n v="13"/>
    <n v="6195475"/>
    <s v="Almacenes"/>
    <s v="General"/>
  </r>
  <r>
    <n v="109"/>
    <s v="A Grande"/>
    <n v="3"/>
    <n v="6195475"/>
    <s v="Tony Vallejo"/>
    <s v="Logistica y Distribucion"/>
    <n v="10024376"/>
    <d v="2026-01-31T00:00:00"/>
    <d v="2026-01-31T00:00:00"/>
    <n v="2026"/>
    <n v="1"/>
    <s v="T1"/>
    <n v="1"/>
    <s v="Alimentos - Espejo"/>
    <s v="Santo Domnigo"/>
    <s v="NULL"/>
    <s v="NULL"/>
    <n v="5"/>
    <n v="31"/>
    <n v="19291"/>
    <n v="3"/>
    <s v="C019291"/>
    <s v="Mini Market Isamal Comercial"/>
    <s v="MINI MARKET"/>
    <s v="Miércoles"/>
    <s v="Miércoles"/>
    <n v="8"/>
    <x v="42"/>
    <s v="V930153"/>
    <x v="42"/>
    <n v="0.08"/>
    <n v="2"/>
    <n v="153.11000000000001"/>
    <n v="0"/>
    <n v="0"/>
    <n v="0"/>
    <n v="55.12"/>
    <n v="306.22000000000003"/>
    <n v="361"/>
    <n v="4"/>
    <s v="Argelis Salvador (Bido)"/>
    <s v="DN2"/>
    <n v="10"/>
    <n v="207"/>
    <s v="BOLONES"/>
    <n v="65103"/>
    <s v="ALIMENTOS DULCES"/>
    <s v="COLOMBINA"/>
    <s v="S5"/>
    <s v="Fernando Martinez  (DN)"/>
    <s v="P003"/>
    <s v="Distrito Nacional"/>
    <s v="E320000110121"/>
    <n v="0"/>
    <n v="0"/>
    <s v="NULL"/>
    <s v="NULL"/>
    <n v="0"/>
    <n v="0"/>
    <s v="CONTADO                                           "/>
    <n v="13"/>
    <n v="6195475"/>
    <s v="Almacenes"/>
    <s v="General"/>
  </r>
  <r>
    <n v="109"/>
    <s v="A Grande"/>
    <n v="3"/>
    <n v="6197085"/>
    <s v="Tony Vallejo"/>
    <s v="Logistica y Distribucion"/>
    <n v="10025986"/>
    <d v="2026-01-31T00:00:00"/>
    <d v="2026-01-31T00:00:00"/>
    <n v="2026"/>
    <n v="1"/>
    <s v="T1"/>
    <n v="1"/>
    <s v="General"/>
    <s v="Santo Domnigo"/>
    <s v="NULL"/>
    <s v="NULL"/>
    <n v="5"/>
    <n v="31"/>
    <n v="2280"/>
    <n v="3"/>
    <s v="C002280"/>
    <s v="Mini Market Familiar"/>
    <s v="MINI MARKET"/>
    <s v="Miércoles"/>
    <s v="Miércoles"/>
    <n v="14"/>
    <x v="9"/>
    <s v="V201001"/>
    <x v="9"/>
    <n v="3"/>
    <n v="3"/>
    <n v="221.67"/>
    <n v="0"/>
    <n v="0"/>
    <n v="0"/>
    <n v="119.7"/>
    <n v="665.01"/>
    <n v="785"/>
    <n v="93"/>
    <s v="Junior M. Ramos (Isaac Maria)"/>
    <s v="DN7"/>
    <n v="10"/>
    <n v="113"/>
    <s v="REFISAL"/>
    <n v="82101"/>
    <s v="REFISAL PACA"/>
    <s v="Brinsa Dominicana"/>
    <s v="S5"/>
    <s v="Fernando Martinez  (DN)"/>
    <s v="P007"/>
    <s v="Distrito Nacional"/>
    <s v="E320000111688"/>
    <n v="0"/>
    <n v="0"/>
    <s v="NULL"/>
    <s v="NULL"/>
    <n v="0"/>
    <n v="0"/>
    <s v="CONTADO                                           "/>
    <n v="13"/>
    <n v="6197085"/>
    <s v="Almacenes"/>
    <s v="General"/>
  </r>
  <r>
    <n v="109"/>
    <s v="A Grande"/>
    <n v="3"/>
    <n v="6197085"/>
    <s v="Tony Vallejo"/>
    <s v="Logistica y Distribucion"/>
    <n v="10025986"/>
    <d v="2026-01-31T00:00:00"/>
    <d v="2026-01-31T00:00:00"/>
    <n v="2026"/>
    <n v="1"/>
    <s v="T1"/>
    <n v="1"/>
    <s v="General"/>
    <s v="Santo Domnigo"/>
    <s v="NULL"/>
    <s v="NULL"/>
    <n v="5"/>
    <n v="31"/>
    <n v="2280"/>
    <n v="3"/>
    <s v="C002280"/>
    <s v="Mini Market Familiar"/>
    <s v="MINI MARKET"/>
    <s v="Miércoles"/>
    <s v="Miércoles"/>
    <n v="14"/>
    <x v="20"/>
    <s v="V611055"/>
    <x v="20"/>
    <n v="4"/>
    <n v="16"/>
    <n v="78.319999999999993"/>
    <n v="0"/>
    <n v="0"/>
    <n v="0"/>
    <n v="225.56"/>
    <n v="1253.1199999999999"/>
    <n v="1479"/>
    <n v="93"/>
    <s v="Junior M. Ramos (Isaac Maria)"/>
    <s v="DN7"/>
    <n v="10"/>
    <n v="114"/>
    <s v="BLANCOX"/>
    <n v="66102"/>
    <s v="BLANCOX BOTELLA"/>
    <s v="Brinsa Dominicana"/>
    <s v="S5"/>
    <s v="Fernando Martinez  (DN)"/>
    <s v="P007"/>
    <s v="Distrito Nacional"/>
    <s v="E320000111688"/>
    <n v="0"/>
    <n v="0"/>
    <s v="NULL"/>
    <s v="NULL"/>
    <n v="0"/>
    <n v="0"/>
    <s v="CONTADO                                           "/>
    <n v="13"/>
    <n v="6197085"/>
    <s v="Almacenes"/>
    <s v="General"/>
  </r>
  <r>
    <n v="109"/>
    <s v="A Grande"/>
    <n v="3"/>
    <n v="6197085"/>
    <s v="Tony Vallejo"/>
    <s v="Logistica y Distribucion"/>
    <n v="10025986"/>
    <d v="2026-01-31T00:00:00"/>
    <d v="2026-01-31T00:00:00"/>
    <n v="2026"/>
    <n v="1"/>
    <s v="T1"/>
    <n v="1"/>
    <s v="General"/>
    <s v="Santo Domnigo"/>
    <s v="NULL"/>
    <s v="NULL"/>
    <n v="5"/>
    <n v="31"/>
    <n v="2280"/>
    <n v="3"/>
    <s v="C002280"/>
    <s v="Mini Market Familiar"/>
    <s v="MINI MARKET"/>
    <s v="Miércoles"/>
    <s v="Miércoles"/>
    <n v="14"/>
    <x v="17"/>
    <s v="V103113"/>
    <x v="17"/>
    <n v="1"/>
    <n v="1"/>
    <n v="0"/>
    <n v="0"/>
    <n v="0"/>
    <n v="0"/>
    <n v="0"/>
    <n v="0"/>
    <n v="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111688"/>
    <n v="0"/>
    <n v="0"/>
    <s v="NULL"/>
    <s v="NULL"/>
    <n v="0"/>
    <n v="0"/>
    <s v="CONTADO                                           "/>
    <n v="13"/>
    <n v="6197085"/>
    <s v="Almacenes"/>
    <s v="General"/>
  </r>
  <r>
    <n v="109"/>
    <s v="A Grande"/>
    <n v="3"/>
    <n v="6197085"/>
    <s v="Tony Vallejo"/>
    <s v="Logistica y Distribucion"/>
    <n v="10025986"/>
    <d v="2026-01-31T00:00:00"/>
    <d v="2026-01-31T00:00:00"/>
    <n v="2026"/>
    <n v="1"/>
    <s v="T1"/>
    <n v="1"/>
    <s v="General"/>
    <s v="Santo Domnigo"/>
    <s v="NULL"/>
    <s v="NULL"/>
    <n v="5"/>
    <n v="31"/>
    <n v="2280"/>
    <n v="3"/>
    <s v="C002280"/>
    <s v="Mini Market Familiar"/>
    <s v="MINI MARKET"/>
    <s v="Miércoles"/>
    <s v="Miércoles"/>
    <n v="14"/>
    <x v="16"/>
    <s v="V103001"/>
    <x v="16"/>
    <n v="1.2083333333333299"/>
    <n v="58"/>
    <n v="17.68"/>
    <n v="0"/>
    <n v="0"/>
    <n v="0"/>
    <n v="184.58"/>
    <n v="1025.44"/>
    <n v="121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111688"/>
    <n v="0"/>
    <n v="0"/>
    <s v="NULL"/>
    <s v="NULL"/>
    <n v="0"/>
    <n v="0"/>
    <s v="CONTADO                                           "/>
    <n v="13"/>
    <n v="6197085"/>
    <s v="Almacenes"/>
    <s v="General"/>
  </r>
  <r>
    <n v="289"/>
    <s v="A Grande"/>
    <n v="3"/>
    <n v="6197194"/>
    <s v="AMAURI GIRON OSORIA"/>
    <s v="Logistica y Distribucion"/>
    <n v="10026095"/>
    <d v="2026-01-31T00:00:00"/>
    <d v="2026-01-31T00:00:00"/>
    <n v="2026"/>
    <n v="1"/>
    <s v="T1"/>
    <n v="1"/>
    <s v="General"/>
    <s v="Santo Domnigo"/>
    <s v="NULL"/>
    <s v="NULL"/>
    <n v="5"/>
    <n v="31"/>
    <n v="1161"/>
    <n v="3"/>
    <s v="C001161"/>
    <s v="Surtidor  el Brisal"/>
    <s v="MINI MARKET"/>
    <s v="SinAsignar"/>
    <s v="Sábado"/>
    <n v="94"/>
    <x v="2"/>
    <s v="V621045"/>
    <x v="2"/>
    <n v="1"/>
    <n v="12"/>
    <n v="161.94999999999999"/>
    <n v="0"/>
    <n v="0"/>
    <n v="0"/>
    <n v="349.81"/>
    <n v="1943.4"/>
    <n v="2293"/>
    <n v="94"/>
    <s v="Vicente Cruz"/>
    <s v="SDO6"/>
    <n v="10"/>
    <n v="138"/>
    <s v="INSECTICIDAS"/>
    <n v="73101"/>
    <s v="INSECTICIDA BAIGON"/>
    <s v="Comercial Fila"/>
    <s v="S2"/>
    <s v="Fernando Martinez (SDO)"/>
    <s v="P009"/>
    <s v="Santo Domingo Oeste"/>
    <s v="E310000008809"/>
    <n v="0"/>
    <n v="0"/>
    <s v="NULL"/>
    <s v="NULL"/>
    <n v="0"/>
    <n v="0"/>
    <s v="CONTADO                                           "/>
    <n v="13"/>
    <n v="6197194"/>
    <s v="Almacenes"/>
    <s v="General"/>
  </r>
  <r>
    <n v="289"/>
    <s v="A Grande"/>
    <n v="3"/>
    <n v="6197194"/>
    <s v="AMAURI GIRON OSORIA"/>
    <s v="Logistica y Distribucion"/>
    <n v="10026095"/>
    <d v="2026-01-31T00:00:00"/>
    <d v="2026-01-31T00:00:00"/>
    <n v="2026"/>
    <n v="1"/>
    <s v="T1"/>
    <n v="1"/>
    <s v="Alimentos - Espejo"/>
    <s v="Santo Domnigo"/>
    <s v="NULL"/>
    <s v="NULL"/>
    <n v="5"/>
    <n v="31"/>
    <n v="1161"/>
    <n v="3"/>
    <s v="C001161"/>
    <s v="Surtidor  el Brisal"/>
    <s v="MINI MARKET"/>
    <s v="SinAsignar"/>
    <s v="Sábado"/>
    <n v="94"/>
    <x v="8"/>
    <s v="V930076"/>
    <x v="8"/>
    <n v="2"/>
    <n v="48"/>
    <n v="40.29"/>
    <n v="0"/>
    <n v="0"/>
    <n v="0"/>
    <n v="348.11"/>
    <n v="1933.92"/>
    <n v="2282"/>
    <n v="94"/>
    <s v="Vicente Cruz"/>
    <s v="SDO6"/>
    <n v="10"/>
    <n v="204"/>
    <s v="GALLETERIA"/>
    <n v="0"/>
    <s v="NULL"/>
    <s v="COLOMBINA"/>
    <s v="S2"/>
    <s v="Fernando Martinez (SDO)"/>
    <s v="P009"/>
    <s v="Santo Domingo Oeste"/>
    <s v="E310000008809"/>
    <n v="0"/>
    <n v="0"/>
    <s v="NULL"/>
    <s v="NULL"/>
    <n v="0"/>
    <n v="0"/>
    <s v="CONTADO                                           "/>
    <n v="13"/>
    <n v="6197194"/>
    <s v="Almacenes"/>
    <s v="General"/>
  </r>
  <r>
    <n v="270"/>
    <s v="A Grande"/>
    <n v="3"/>
    <n v="6202032"/>
    <s v="Pablo Garrido Cabrera"/>
    <s v="Logistica y Distribucion"/>
    <n v="10030935"/>
    <d v="2026-02-04T00:00:00"/>
    <d v="2026-02-04T00:00:00"/>
    <n v="2026"/>
    <n v="2"/>
    <s v="T1"/>
    <n v="1"/>
    <s v="General"/>
    <s v="Santo Domnigo"/>
    <s v="NULL"/>
    <s v="NULL"/>
    <n v="6"/>
    <n v="4"/>
    <n v="2280"/>
    <n v="3"/>
    <s v="C002280"/>
    <s v="Mini Market Familiar"/>
    <s v="MINI MARKET"/>
    <s v="Miércoles"/>
    <s v="Miércoles"/>
    <n v="14"/>
    <x v="19"/>
    <s v="V800089"/>
    <x v="19"/>
    <n v="0.125"/>
    <n v="1"/>
    <n v="349.28"/>
    <n v="0"/>
    <n v="0"/>
    <n v="0"/>
    <n v="62.87"/>
    <n v="349.28"/>
    <n v="412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16431"/>
    <n v="0"/>
    <n v="0"/>
    <s v="NULL"/>
    <s v="NULL"/>
    <n v="0"/>
    <n v="0"/>
    <s v="CONTADO                                           "/>
    <n v="13"/>
    <n v="6202032"/>
    <s v="Almacenes"/>
    <s v="General"/>
  </r>
  <r>
    <n v="270"/>
    <s v="A Grande"/>
    <n v="3"/>
    <n v="6202032"/>
    <s v="Pablo Garrido Cabrera"/>
    <s v="Logistica y Distribucion"/>
    <n v="10030935"/>
    <d v="2026-02-04T00:00:00"/>
    <d v="2026-02-04T00:00:00"/>
    <n v="2026"/>
    <n v="2"/>
    <s v="T1"/>
    <n v="1"/>
    <s v="General"/>
    <s v="Santo Domnigo"/>
    <s v="NULL"/>
    <s v="NULL"/>
    <n v="6"/>
    <n v="4"/>
    <n v="2280"/>
    <n v="3"/>
    <s v="C002280"/>
    <s v="Mini Market Familiar"/>
    <s v="MINI MARKET"/>
    <s v="Miércoles"/>
    <s v="Miércoles"/>
    <n v="14"/>
    <x v="14"/>
    <s v="V800088"/>
    <x v="14"/>
    <n v="0.125"/>
    <n v="1"/>
    <n v="349.28"/>
    <n v="0"/>
    <n v="0"/>
    <n v="0"/>
    <n v="62.87"/>
    <n v="349.28"/>
    <n v="412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16431"/>
    <n v="0"/>
    <n v="0"/>
    <s v="NULL"/>
    <s v="NULL"/>
    <n v="0"/>
    <n v="0"/>
    <s v="CONTADO                                           "/>
    <n v="13"/>
    <n v="6202032"/>
    <s v="Almacenes"/>
    <s v="General"/>
  </r>
  <r>
    <n v="270"/>
    <s v="A Grande"/>
    <n v="3"/>
    <n v="6202032"/>
    <s v="Pablo Garrido Cabrera"/>
    <s v="Logistica y Distribucion"/>
    <n v="10030935"/>
    <d v="2026-02-04T00:00:00"/>
    <d v="2026-02-04T00:00:00"/>
    <n v="2026"/>
    <n v="2"/>
    <s v="T1"/>
    <n v="1"/>
    <s v="General"/>
    <s v="Santo Domnigo"/>
    <s v="NULL"/>
    <s v="NULL"/>
    <n v="6"/>
    <n v="4"/>
    <n v="2280"/>
    <n v="3"/>
    <s v="C002280"/>
    <s v="Mini Market Familiar"/>
    <s v="MINI MARKET"/>
    <s v="Miércoles"/>
    <s v="Miércoles"/>
    <n v="14"/>
    <x v="13"/>
    <s v="v101038"/>
    <x v="13"/>
    <n v="0.2"/>
    <n v="2"/>
    <n v="357.83"/>
    <n v="0"/>
    <n v="0"/>
    <n v="0"/>
    <n v="128.82"/>
    <n v="715.66"/>
    <n v="844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16431"/>
    <n v="0"/>
    <n v="0"/>
    <s v="NULL"/>
    <s v="NULL"/>
    <n v="0"/>
    <n v="0"/>
    <s v="CONTADO                                           "/>
    <n v="13"/>
    <n v="6202032"/>
    <s v="Almacenes"/>
    <s v="General"/>
  </r>
  <r>
    <n v="270"/>
    <s v="A Grande"/>
    <n v="3"/>
    <n v="6202032"/>
    <s v="Pablo Garrido Cabrera"/>
    <s v="Logistica y Distribucion"/>
    <n v="10030935"/>
    <d v="2026-02-04T00:00:00"/>
    <d v="2026-02-04T00:00:00"/>
    <n v="2026"/>
    <n v="2"/>
    <s v="T1"/>
    <n v="1"/>
    <s v="General"/>
    <s v="Santo Domnigo"/>
    <s v="NULL"/>
    <s v="NULL"/>
    <n v="6"/>
    <n v="4"/>
    <n v="2280"/>
    <n v="3"/>
    <s v="C002280"/>
    <s v="Mini Market Familiar"/>
    <s v="MINI MARKET"/>
    <s v="Miércoles"/>
    <s v="Miércoles"/>
    <n v="14"/>
    <x v="2"/>
    <s v="V621045"/>
    <x v="2"/>
    <n v="1"/>
    <n v="12"/>
    <n v="161.94999999999999"/>
    <n v="0"/>
    <n v="0"/>
    <n v="0"/>
    <n v="349.81"/>
    <n v="1943.4"/>
    <n v="2293"/>
    <n v="93"/>
    <s v="Junior M. Ramos (Isaac Maria)"/>
    <s v="DN7"/>
    <n v="10"/>
    <n v="138"/>
    <s v="INSECTICIDAS"/>
    <n v="73101"/>
    <s v="INSECTICIDA BAIGON"/>
    <s v="Comercial Fila"/>
    <s v="S5"/>
    <s v="Fernando Martinez  (DN)"/>
    <s v="P007"/>
    <s v="Distrito Nacional"/>
    <s v="E320000116431"/>
    <n v="0"/>
    <n v="0"/>
    <s v="NULL"/>
    <s v="NULL"/>
    <n v="0"/>
    <n v="0"/>
    <s v="CONTADO                                           "/>
    <n v="13"/>
    <n v="6202032"/>
    <s v="Almacenes"/>
    <s v="General"/>
  </r>
  <r>
    <n v="270"/>
    <s v="A Grande"/>
    <n v="3"/>
    <n v="6202066"/>
    <s v="Pablo Garrido Cabrera"/>
    <s v="Logistica y Distribucion"/>
    <n v="10030969"/>
    <d v="2026-02-04T00:00:00"/>
    <d v="2026-02-04T00:00:00"/>
    <n v="2026"/>
    <n v="2"/>
    <s v="T1"/>
    <n v="1"/>
    <s v="General"/>
    <s v="Santo Domnigo"/>
    <s v="NULL"/>
    <s v="NULL"/>
    <n v="6"/>
    <n v="4"/>
    <n v="19291"/>
    <n v="3"/>
    <s v="C019291"/>
    <s v="Mini Market Isamal Comercial"/>
    <s v="MINI MARKET"/>
    <s v="Miércoles"/>
    <s v="Miércoles"/>
    <n v="8"/>
    <x v="25"/>
    <s v="V501000"/>
    <x v="25"/>
    <n v="5"/>
    <n v="20"/>
    <n v="114.4"/>
    <n v="0"/>
    <n v="0"/>
    <n v="0"/>
    <n v="411.84"/>
    <n v="2288"/>
    <n v="2700"/>
    <n v="4"/>
    <s v="Argelis Salvador (Bido)"/>
    <s v="DN2"/>
    <n v="10"/>
    <n v="114"/>
    <s v="BLANCOX"/>
    <n v="66101"/>
    <s v="BLANCOX SACHET"/>
    <s v="Brinsa Dominicana"/>
    <s v="S5"/>
    <s v="Fernando Martinez  (DN)"/>
    <s v="P003"/>
    <s v="Distrito Nacional"/>
    <s v="E320000116463"/>
    <n v="0"/>
    <n v="0"/>
    <s v="NULL"/>
    <s v="NULL"/>
    <n v="0"/>
    <n v="0"/>
    <s v="CONTADO                                           "/>
    <n v="13"/>
    <n v="6202066"/>
    <s v="Almacenes"/>
    <s v="General"/>
  </r>
  <r>
    <n v="242"/>
    <s v="A Grande"/>
    <n v="3"/>
    <n v="6203976"/>
    <s v="Agustin Luna Valdez"/>
    <s v="Logistica y Distribucion"/>
    <n v="10032879"/>
    <d v="2026-02-05T00:00:00"/>
    <d v="2026-02-05T00:00:00"/>
    <n v="2026"/>
    <n v="2"/>
    <s v="T1"/>
    <n v="1"/>
    <s v="General"/>
    <s v="Santo Domnigo"/>
    <s v="NULL"/>
    <s v="NULL"/>
    <n v="6"/>
    <n v="5"/>
    <n v="37594"/>
    <n v="3"/>
    <s v="C037594"/>
    <s v="Mini Market El patron 3."/>
    <s v="MINI MARKET"/>
    <s v="Miércoles"/>
    <s v="Miércoles"/>
    <n v="72"/>
    <x v="28"/>
    <s v="V101028"/>
    <x v="28"/>
    <n v="1"/>
    <n v="18"/>
    <n v="98.4"/>
    <n v="0"/>
    <n v="0"/>
    <n v="0"/>
    <n v="318.82"/>
    <n v="1771.2"/>
    <n v="2090"/>
    <n v="95"/>
    <s v="Benigno Paniagua (T)"/>
    <s v="SDO5"/>
    <n v="10"/>
    <n v="105"/>
    <s v="NOSOTRAS"/>
    <n v="677001"/>
    <s v="CUIDADO FEMENINO"/>
    <s v="Continental de Negocios"/>
    <s v="S2"/>
    <s v="Fernando Martinez (SDO)"/>
    <s v="P010"/>
    <s v="Santo Domingo Oeste"/>
    <s v="E310000009455"/>
    <n v="0"/>
    <n v="0"/>
    <s v="NULL"/>
    <s v="NULL"/>
    <n v="0"/>
    <n v="0"/>
    <s v="CONTADO                                           "/>
    <n v="13"/>
    <n v="6203976"/>
    <s v="Almacenes"/>
    <s v="General"/>
  </r>
  <r>
    <n v="242"/>
    <s v="A Grande"/>
    <n v="3"/>
    <n v="6203976"/>
    <s v="Agustin Luna Valdez"/>
    <s v="Logistica y Distribucion"/>
    <n v="10032879"/>
    <d v="2026-02-05T00:00:00"/>
    <d v="2026-02-05T00:00:00"/>
    <n v="2026"/>
    <n v="2"/>
    <s v="T1"/>
    <n v="1"/>
    <s v="General"/>
    <s v="Santo Domnigo"/>
    <s v="NULL"/>
    <s v="NULL"/>
    <n v="6"/>
    <n v="5"/>
    <n v="37594"/>
    <n v="3"/>
    <s v="C037594"/>
    <s v="Mini Market El patron 3."/>
    <s v="MINI MARKET"/>
    <s v="Miércoles"/>
    <s v="Miércoles"/>
    <n v="72"/>
    <x v="46"/>
    <s v="v104023"/>
    <x v="46"/>
    <n v="1"/>
    <n v="8"/>
    <n v="295.88"/>
    <n v="0"/>
    <n v="0"/>
    <n v="0"/>
    <n v="426.07"/>
    <n v="2367.04"/>
    <n v="2793"/>
    <n v="95"/>
    <s v="Benigno Paniagua (T)"/>
    <s v="SDO5"/>
    <n v="10"/>
    <n v="115"/>
    <s v="INCONTINENCIA"/>
    <n v="6765681"/>
    <s v="CUIDADO DE ADULTO"/>
    <s v="Continental de Negocios"/>
    <s v="S2"/>
    <s v="Fernando Martinez (SDO)"/>
    <s v="P010"/>
    <s v="Santo Domingo Oeste"/>
    <s v="E310000009455"/>
    <n v="0"/>
    <n v="0"/>
    <s v="NULL"/>
    <s v="NULL"/>
    <n v="0"/>
    <n v="0"/>
    <s v="CONTADO                                           "/>
    <n v="13"/>
    <n v="6203976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General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16"/>
    <s v="V103001"/>
    <x v="16"/>
    <n v="0.16666666666666"/>
    <n v="8"/>
    <n v="0"/>
    <n v="0"/>
    <n v="0"/>
    <n v="0"/>
    <n v="0"/>
    <n v="0"/>
    <n v="0"/>
    <n v="199"/>
    <s v="Giancarlo Tavarez"/>
    <s v="SDE2"/>
    <n v="10"/>
    <n v="107"/>
    <s v="FAMILIA"/>
    <n v="6770651"/>
    <s v="CUIDADO FAMILIAR"/>
    <s v="Continental de Negocios"/>
    <s v="S1"/>
    <s v="Ramon E. Pimentel (SDE)"/>
    <s v="P206"/>
    <s v="Santo Domingo Este"/>
    <s v="E320000119237"/>
    <n v="0"/>
    <n v="1"/>
    <n v="3374"/>
    <s v="Papel Higienico Familia 24 UND +4UND  Papeles Familia de Ofertas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Alimentos - Espejo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47"/>
    <s v="V930112"/>
    <x v="47"/>
    <n v="0.12"/>
    <n v="3"/>
    <n v="152.53"/>
    <n v="0"/>
    <n v="0"/>
    <n v="0"/>
    <n v="82.37"/>
    <n v="457.59"/>
    <n v="540"/>
    <n v="199"/>
    <s v="Giancarlo Tavarez"/>
    <s v="SDE2"/>
    <n v="10"/>
    <n v="207"/>
    <s v="BOLONES"/>
    <n v="0"/>
    <s v="NULL"/>
    <s v="COLOMBINA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Alimentos - Espejo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45"/>
    <s v="V930188"/>
    <x v="45"/>
    <n v="0.66666666666665997"/>
    <n v="10"/>
    <n v="56.36"/>
    <n v="0"/>
    <n v="0"/>
    <n v="0"/>
    <n v="101.45"/>
    <n v="563.6"/>
    <n v="665"/>
    <n v="199"/>
    <s v="Giancarlo Tavarez"/>
    <s v="SDE2"/>
    <n v="10"/>
    <n v="206"/>
    <s v="CARAMELOS BLANDOS"/>
    <n v="0"/>
    <s v="NULL"/>
    <s v="COLOMBINA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Alimentos - Espejo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21"/>
    <s v="V800792"/>
    <x v="21"/>
    <n v="0.08"/>
    <n v="2"/>
    <n v="151.58000000000001"/>
    <n v="0"/>
    <n v="0"/>
    <n v="0"/>
    <n v="54.57"/>
    <n v="303.16000000000003"/>
    <n v="358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Alimentos - Espejo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22"/>
    <s v="V930025"/>
    <x v="22"/>
    <n v="0.27777777777777002"/>
    <n v="10"/>
    <n v="57.58"/>
    <n v="0"/>
    <n v="0"/>
    <n v="0"/>
    <n v="103.64"/>
    <n v="575.79999999999995"/>
    <n v="679"/>
    <n v="199"/>
    <s v="Giancarlo Tavarez"/>
    <s v="SDE2"/>
    <n v="10"/>
    <n v="209"/>
    <s v="PALETAS"/>
    <n v="0"/>
    <s v="NULL"/>
    <s v="COLOMBINA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General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48"/>
    <s v="V501137"/>
    <x v="48"/>
    <n v="0.2"/>
    <n v="24"/>
    <n v="12.39"/>
    <n v="0"/>
    <n v="0"/>
    <n v="0"/>
    <n v="53.52"/>
    <n v="297.36"/>
    <n v="351"/>
    <n v="199"/>
    <s v="Giancarlo Tavarez"/>
    <s v="SDE2"/>
    <n v="10"/>
    <n v="168"/>
    <s v="USO DOMESTICO"/>
    <n v="856801"/>
    <s v="USO DOMESTICO"/>
    <s v="ETERNA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General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49"/>
    <s v="V501139"/>
    <x v="49"/>
    <n v="4.1666666666660003E-2"/>
    <n v="2"/>
    <n v="148.69999999999999"/>
    <n v="0"/>
    <n v="0"/>
    <n v="0"/>
    <n v="53.53"/>
    <n v="297.39999999999998"/>
    <n v="351"/>
    <n v="199"/>
    <s v="Giancarlo Tavarez"/>
    <s v="SDE2"/>
    <n v="10"/>
    <n v="168"/>
    <s v="USO DOMESTICO"/>
    <n v="856801"/>
    <s v="USO DOMESTICO"/>
    <s v="ETERNA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General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44"/>
    <s v="V101026"/>
    <x v="44"/>
    <n v="1"/>
    <n v="36"/>
    <n v="32.729999999999997"/>
    <n v="0"/>
    <n v="0"/>
    <n v="0"/>
    <n v="212.09"/>
    <n v="1178.28"/>
    <n v="1390"/>
    <n v="199"/>
    <s v="Giancarlo Tavarez"/>
    <s v="SDE2"/>
    <n v="10"/>
    <n v="136"/>
    <s v="NOSOTRAS DIARIOS"/>
    <n v="677001"/>
    <s v="CUIDADO FEMENINO"/>
    <s v="Continental de Negocios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General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29"/>
    <s v="V101034"/>
    <x v="29"/>
    <n v="1"/>
    <n v="10"/>
    <n v="197.39"/>
    <n v="0"/>
    <n v="0"/>
    <n v="0"/>
    <n v="355.3"/>
    <n v="1973.9"/>
    <n v="2329"/>
    <n v="199"/>
    <s v="Giancarlo Tavarez"/>
    <s v="SDE2"/>
    <n v="10"/>
    <n v="136"/>
    <s v="NOSOTRAS DIARIOS"/>
    <n v="677001"/>
    <s v="CUIDADO FEMENINO"/>
    <s v="Continental de Negocios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General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16"/>
    <s v="V103001"/>
    <x v="16"/>
    <n v="1"/>
    <n v="48"/>
    <n v="21.15"/>
    <n v="0"/>
    <n v="0"/>
    <n v="0"/>
    <n v="182.74"/>
    <n v="1015.2"/>
    <n v="1198"/>
    <n v="199"/>
    <s v="Giancarlo Tavarez"/>
    <s v="SDE2"/>
    <n v="10"/>
    <n v="107"/>
    <s v="FAMILIA"/>
    <n v="6770651"/>
    <s v="CUIDADO FAMILIAR"/>
    <s v="Continental de Negocios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General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27"/>
    <s v="V101027"/>
    <x v="27"/>
    <n v="1"/>
    <n v="24"/>
    <n v="72.680000000000007"/>
    <n v="0"/>
    <n v="0"/>
    <n v="0"/>
    <n v="313.98"/>
    <n v="1744.32"/>
    <n v="2058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General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28"/>
    <s v="V101028"/>
    <x v="28"/>
    <n v="1"/>
    <n v="18"/>
    <n v="97.42"/>
    <n v="0"/>
    <n v="0"/>
    <n v="0"/>
    <n v="315.64"/>
    <n v="1753.56"/>
    <n v="2069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125"/>
    <s v="A Grande"/>
    <n v="3"/>
    <n v="6204894"/>
    <s v="Juan Rosario"/>
    <s v="Logistica y Distribucion"/>
    <n v="10033797"/>
    <d v="2026-02-05T00:00:00"/>
    <d v="2026-02-05T00:00:00"/>
    <n v="2026"/>
    <n v="2"/>
    <s v="T1"/>
    <n v="1"/>
    <s v="General"/>
    <s v="Santo Domnigo"/>
    <s v="NULL"/>
    <s v="NULL"/>
    <n v="6"/>
    <n v="5"/>
    <n v="36908"/>
    <n v="3"/>
    <s v="c036908"/>
    <s v="Asociacion De Detallistas Unidos De Mendoza"/>
    <s v="SUPERMERCADO"/>
    <s v="Miércoles"/>
    <s v="Miércoles"/>
    <n v="11"/>
    <x v="26"/>
    <s v="V101005"/>
    <x v="26"/>
    <n v="1"/>
    <n v="30"/>
    <n v="72.680000000000007"/>
    <n v="0"/>
    <n v="0"/>
    <n v="0"/>
    <n v="392.47"/>
    <n v="2180.4"/>
    <n v="2573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119237"/>
    <n v="0"/>
    <n v="0"/>
    <s v="NULL"/>
    <s v="NULL"/>
    <n v="0"/>
    <n v="0"/>
    <s v="CONTADO                                           "/>
    <n v="13"/>
    <n v="6204894"/>
    <s v="Almacenes"/>
    <s v="General"/>
  </r>
  <r>
    <n v="254"/>
    <s v="A Grande"/>
    <n v="3"/>
    <n v="6205203"/>
    <s v="Santo Muñoz de Paula"/>
    <s v="Logistica y Distribucion"/>
    <n v="10034107"/>
    <d v="2026-02-06T00:00:00"/>
    <d v="2026-02-06T00:00:00"/>
    <n v="2026"/>
    <n v="2"/>
    <s v="T1"/>
    <n v="1"/>
    <s v="General"/>
    <s v="Santo Domnigo"/>
    <s v="NULL"/>
    <s v="NULL"/>
    <n v="6"/>
    <n v="6"/>
    <n v="5474"/>
    <n v="3"/>
    <s v="C005474"/>
    <s v="Mini Market Gracia Divina"/>
    <s v="MINI MARKET"/>
    <s v="Jueves"/>
    <s v="SinAsignar"/>
    <n v="70"/>
    <x v="20"/>
    <s v="V611055"/>
    <x v="20"/>
    <n v="2"/>
    <n v="8"/>
    <n v="78.319999999999993"/>
    <n v="0"/>
    <n v="0"/>
    <n v="0"/>
    <n v="112.78"/>
    <n v="626.55999999999995"/>
    <n v="739"/>
    <n v="94"/>
    <s v="Vicente Cruz"/>
    <s v="SDO6"/>
    <n v="10"/>
    <n v="114"/>
    <s v="BLANCOX"/>
    <n v="66102"/>
    <s v="BLANCOX BOTELLA"/>
    <s v="Brinsa Dominicana"/>
    <s v="S2"/>
    <s v="Fernando Martinez (SDO)"/>
    <s v="P009"/>
    <s v="Santo Domingo Oeste"/>
    <s v="E310000009527"/>
    <n v="0"/>
    <n v="0"/>
    <s v="NULL"/>
    <s v="NULL"/>
    <n v="0"/>
    <n v="0"/>
    <s v="CONTADO                                           "/>
    <n v="13"/>
    <n v="6205203"/>
    <s v="Almacenes"/>
    <s v="General"/>
  </r>
  <r>
    <n v="270"/>
    <s v="A Grande"/>
    <n v="3"/>
    <n v="6205773"/>
    <s v="Pablo Garrido Cabrera"/>
    <s v="Logistica y Distribucion"/>
    <n v="10034677"/>
    <d v="2026-02-06T00:00:00"/>
    <d v="2026-02-06T00:00:00"/>
    <n v="2026"/>
    <n v="2"/>
    <s v="T1"/>
    <n v="1"/>
    <s v="General"/>
    <s v="Santo Domnigo"/>
    <s v="NULL"/>
    <s v="NULL"/>
    <n v="6"/>
    <n v="6"/>
    <n v="2280"/>
    <n v="3"/>
    <s v="C002280"/>
    <s v="Mini Market Familiar"/>
    <s v="MINI MARKET"/>
    <s v="Miércoles"/>
    <s v="Miércoles"/>
    <n v="14"/>
    <x v="9"/>
    <s v="V201001"/>
    <x v="9"/>
    <n v="10"/>
    <n v="10"/>
    <n v="221.67"/>
    <n v="0"/>
    <n v="0"/>
    <n v="0"/>
    <n v="399.01"/>
    <n v="2216.6999999999998"/>
    <n v="2616"/>
    <n v="93"/>
    <s v="Junior M. Ramos (Isaac Maria)"/>
    <s v="DN7"/>
    <n v="10"/>
    <n v="113"/>
    <s v="REFISAL"/>
    <n v="82101"/>
    <s v="REFISAL PACA"/>
    <s v="Brinsa Dominicana"/>
    <s v="S5"/>
    <s v="Fernando Martinez  (DN)"/>
    <s v="P007"/>
    <s v="Distrito Nacional"/>
    <s v="E320000120153"/>
    <n v="0"/>
    <n v="0"/>
    <s v="NULL"/>
    <s v="NULL"/>
    <n v="0"/>
    <n v="0"/>
    <s v="CONTADO                                           "/>
    <n v="13"/>
    <n v="6205773"/>
    <s v="Almacenes"/>
    <s v="General"/>
  </r>
  <r>
    <n v="270"/>
    <s v="A Grande"/>
    <n v="3"/>
    <n v="6205773"/>
    <s v="Pablo Garrido Cabrera"/>
    <s v="Logistica y Distribucion"/>
    <n v="10034677"/>
    <d v="2026-02-06T00:00:00"/>
    <d v="2026-02-06T00:00:00"/>
    <n v="2026"/>
    <n v="2"/>
    <s v="T1"/>
    <n v="1"/>
    <s v="Alimentos - Espejo"/>
    <s v="Santo Domnigo"/>
    <s v="NULL"/>
    <s v="NULL"/>
    <n v="6"/>
    <n v="6"/>
    <n v="2280"/>
    <n v="3"/>
    <s v="C002280"/>
    <s v="Mini Market Familiar"/>
    <s v="MINI MARKET"/>
    <s v="Miércoles"/>
    <s v="Miércoles"/>
    <n v="14"/>
    <x v="50"/>
    <s v="V930039"/>
    <x v="50"/>
    <n v="1"/>
    <n v="16"/>
    <n v="103.51"/>
    <n v="0"/>
    <n v="0"/>
    <n v="0"/>
    <n v="298.11"/>
    <n v="1656.16"/>
    <n v="1954"/>
    <n v="93"/>
    <s v="Junior M. Ramos (Isaac Maria)"/>
    <s v="DN7"/>
    <n v="10"/>
    <n v="203"/>
    <s v="CHOCOLATERIA"/>
    <n v="0"/>
    <s v="NULL"/>
    <s v="COLOMBINA"/>
    <s v="S5"/>
    <s v="Fernando Martinez  (DN)"/>
    <s v="P007"/>
    <s v="Distrito Nacional"/>
    <s v="E320000120153"/>
    <n v="0"/>
    <n v="0"/>
    <s v="NULL"/>
    <s v="NULL"/>
    <n v="0"/>
    <n v="0"/>
    <s v="CONTADO                                           "/>
    <n v="13"/>
    <n v="6205773"/>
    <s v="Almacenes"/>
    <s v="General"/>
  </r>
  <r>
    <n v="109"/>
    <s v="A Grande"/>
    <n v="3"/>
    <n v="6208726"/>
    <s v="Tony Vallejo"/>
    <s v="Logistica y Distribucion"/>
    <n v="10037632"/>
    <d v="2026-02-07T00:00:00"/>
    <d v="2026-02-07T00:00:00"/>
    <n v="2026"/>
    <n v="2"/>
    <s v="T1"/>
    <n v="1"/>
    <s v="General"/>
    <s v="Santo Domnigo"/>
    <s v="NULL"/>
    <s v="NULL"/>
    <n v="6"/>
    <n v="7"/>
    <n v="19291"/>
    <n v="3"/>
    <s v="C019291"/>
    <s v="Mini Market Isamal Comercial"/>
    <s v="MINI MARKET"/>
    <s v="Miércoles"/>
    <s v="Miércoles"/>
    <n v="8"/>
    <x v="16"/>
    <s v="V103001"/>
    <x v="16"/>
    <n v="2"/>
    <n v="96"/>
    <n v="21.36"/>
    <n v="0"/>
    <n v="0"/>
    <n v="0"/>
    <n v="369.1"/>
    <n v="2050.56"/>
    <n v="2420"/>
    <n v="4"/>
    <s v="Argelis Salvador (Bido)"/>
    <s v="DN2"/>
    <n v="10"/>
    <n v="107"/>
    <s v="FAMILIA"/>
    <n v="6770651"/>
    <s v="CUIDADO FAMILIAR"/>
    <s v="Continental de Negocios"/>
    <s v="S5"/>
    <s v="Fernando Martinez  (DN)"/>
    <s v="P003"/>
    <s v="Distrito Nacional"/>
    <s v="E320000123233"/>
    <n v="0"/>
    <n v="0"/>
    <s v="NULL"/>
    <s v="NULL"/>
    <n v="0"/>
    <n v="0"/>
    <s v="CONTADO                                           "/>
    <n v="13"/>
    <n v="6208726"/>
    <s v="Almacenes"/>
    <s v="General"/>
  </r>
  <r>
    <n v="109"/>
    <s v="A Grande"/>
    <n v="3"/>
    <n v="6208726"/>
    <s v="Tony Vallejo"/>
    <s v="Logistica y Distribucion"/>
    <n v="10037632"/>
    <d v="2026-02-07T00:00:00"/>
    <d v="2026-02-07T00:00:00"/>
    <n v="2026"/>
    <n v="2"/>
    <s v="T1"/>
    <n v="1"/>
    <s v="General"/>
    <s v="Santo Domnigo"/>
    <s v="NULL"/>
    <s v="NULL"/>
    <n v="6"/>
    <n v="7"/>
    <n v="19291"/>
    <n v="3"/>
    <s v="C019291"/>
    <s v="Mini Market Isamal Comercial"/>
    <s v="MINI MARKET"/>
    <s v="Miércoles"/>
    <s v="Miércoles"/>
    <n v="8"/>
    <x v="16"/>
    <s v="V103001"/>
    <x v="16"/>
    <n v="0.33333333333332998"/>
    <n v="16"/>
    <n v="0"/>
    <n v="0"/>
    <n v="0"/>
    <n v="0"/>
    <n v="0"/>
    <n v="0"/>
    <n v="0"/>
    <n v="4"/>
    <s v="Argelis Salvador (Bido)"/>
    <s v="DN2"/>
    <n v="10"/>
    <n v="107"/>
    <s v="FAMILIA"/>
    <n v="6770651"/>
    <s v="CUIDADO FAMILIAR"/>
    <s v="Continental de Negocios"/>
    <s v="S5"/>
    <s v="Fernando Martinez  (DN)"/>
    <s v="P003"/>
    <s v="Distrito Nacional"/>
    <s v="E320000123233"/>
    <n v="0"/>
    <n v="1"/>
    <n v="3374"/>
    <s v="Papel Higienico Familia 24 UND +4UND  Papeles Familia de Ofertas"/>
    <n v="0"/>
    <n v="0"/>
    <s v="CONTADO                                           "/>
    <n v="13"/>
    <n v="6208726"/>
    <s v="Almacenes"/>
    <s v="General"/>
  </r>
  <r>
    <n v="109"/>
    <s v="A Grande"/>
    <n v="3"/>
    <n v="6211160"/>
    <s v="Tony Vallejo"/>
    <s v="Logistica y Distribucion"/>
    <n v="10040066"/>
    <d v="2026-02-09T00:00:00"/>
    <d v="2026-02-09T00:00:00"/>
    <n v="2026"/>
    <n v="2"/>
    <s v="T1"/>
    <n v="1"/>
    <s v="General"/>
    <s v="Santo Domnigo"/>
    <s v="NULL"/>
    <s v="NULL"/>
    <n v="7"/>
    <n v="9"/>
    <n v="2280"/>
    <n v="3"/>
    <s v="C002280"/>
    <s v="Mini Market Familiar"/>
    <s v="MINI MARKET"/>
    <s v="Miércoles"/>
    <s v="Miércoles"/>
    <n v="14"/>
    <x v="13"/>
    <s v="v101038"/>
    <x v="13"/>
    <n v="0.3"/>
    <n v="3"/>
    <n v="357.83"/>
    <n v="0"/>
    <n v="0"/>
    <n v="0"/>
    <n v="193.23"/>
    <n v="1073.49"/>
    <n v="1267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25858"/>
    <n v="0"/>
    <n v="0"/>
    <s v="NULL"/>
    <s v="NULL"/>
    <n v="0"/>
    <n v="0"/>
    <s v="CONTADO                                           "/>
    <n v="13"/>
    <n v="6211160"/>
    <s v="Almacenes"/>
    <s v="General"/>
  </r>
  <r>
    <n v="109"/>
    <s v="A Grande"/>
    <n v="3"/>
    <n v="6211160"/>
    <s v="Tony Vallejo"/>
    <s v="Logistica y Distribucion"/>
    <n v="10040066"/>
    <d v="2026-02-09T00:00:00"/>
    <d v="2026-02-09T00:00:00"/>
    <n v="2026"/>
    <n v="2"/>
    <s v="T1"/>
    <n v="1"/>
    <s v="General"/>
    <s v="Santo Domnigo"/>
    <s v="NULL"/>
    <s v="NULL"/>
    <n v="7"/>
    <n v="9"/>
    <n v="2280"/>
    <n v="3"/>
    <s v="C002280"/>
    <s v="Mini Market Familiar"/>
    <s v="MINI MARKET"/>
    <s v="Miércoles"/>
    <s v="Miércoles"/>
    <n v="14"/>
    <x v="19"/>
    <s v="V800089"/>
    <x v="19"/>
    <n v="0.375"/>
    <n v="3"/>
    <n v="349.28"/>
    <n v="0"/>
    <n v="0"/>
    <n v="0"/>
    <n v="188.61"/>
    <n v="1047.8399999999999"/>
    <n v="1236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25858"/>
    <n v="0"/>
    <n v="0"/>
    <s v="NULL"/>
    <s v="NULL"/>
    <n v="0"/>
    <n v="0"/>
    <s v="CONTADO                                           "/>
    <n v="13"/>
    <n v="6211160"/>
    <s v="Almacenes"/>
    <s v="General"/>
  </r>
  <r>
    <n v="270"/>
    <s v="A Grande"/>
    <n v="3"/>
    <n v="6213444"/>
    <s v="Pablo Garrido Cabrera"/>
    <s v="Logistica y Distribucion"/>
    <n v="10042350"/>
    <d v="2026-02-10T00:00:00"/>
    <d v="2026-02-10T00:00:00"/>
    <n v="2026"/>
    <n v="2"/>
    <s v="T1"/>
    <n v="1"/>
    <s v="General"/>
    <s v="Santo Domnigo"/>
    <s v="NULL"/>
    <s v="NULL"/>
    <n v="7"/>
    <n v="10"/>
    <n v="14167"/>
    <n v="3"/>
    <s v="C014167"/>
    <s v="Mini Market Galvan"/>
    <s v="MINI MARKET"/>
    <s v="Lunes"/>
    <s v="Lunes"/>
    <n v="91"/>
    <x v="7"/>
    <s v="V621004"/>
    <x v="7"/>
    <n v="1"/>
    <n v="12"/>
    <n v="265.58999999999997"/>
    <n v="0"/>
    <n v="0"/>
    <n v="0"/>
    <n v="573.66999999999996"/>
    <n v="3187.08"/>
    <n v="3761"/>
    <n v="3"/>
    <s v="Enmanuel Bido (Argelis)"/>
    <s v="DN1"/>
    <n v="10"/>
    <n v="138"/>
    <s v="INSECTICIDAS"/>
    <n v="73101"/>
    <s v="INSECTICIDA BAIGON"/>
    <s v="Comercial Fila"/>
    <s v="S5"/>
    <s v="Fernando Martinez  (DN)"/>
    <s v="P005"/>
    <s v="Distrito Nacional"/>
    <s v="E320000128034"/>
    <n v="0"/>
    <n v="0"/>
    <s v="NULL"/>
    <s v="NULL"/>
    <n v="0"/>
    <n v="0"/>
    <s v="CONTADO                                           "/>
    <n v="13"/>
    <n v="6213444"/>
    <s v="Almacenes"/>
    <s v="General"/>
  </r>
  <r>
    <n v="270"/>
    <s v="A Grande"/>
    <n v="3"/>
    <n v="6213444"/>
    <s v="Pablo Garrido Cabrera"/>
    <s v="Logistica y Distribucion"/>
    <n v="10042350"/>
    <d v="2026-02-10T00:00:00"/>
    <d v="2026-02-10T00:00:00"/>
    <n v="2026"/>
    <n v="2"/>
    <s v="T1"/>
    <n v="1"/>
    <s v="General"/>
    <s v="Santo Domnigo"/>
    <s v="NULL"/>
    <s v="NULL"/>
    <n v="7"/>
    <n v="10"/>
    <n v="14167"/>
    <n v="3"/>
    <s v="C014167"/>
    <s v="Mini Market Galvan"/>
    <s v="MINI MARKET"/>
    <s v="Lunes"/>
    <s v="Lunes"/>
    <n v="91"/>
    <x v="2"/>
    <s v="V621045"/>
    <x v="2"/>
    <n v="1"/>
    <n v="12"/>
    <n v="161.94999999999999"/>
    <n v="0"/>
    <n v="0"/>
    <n v="0"/>
    <n v="349.81"/>
    <n v="1943.4"/>
    <n v="2293"/>
    <n v="3"/>
    <s v="Enmanuel Bido (Argelis)"/>
    <s v="DN1"/>
    <n v="10"/>
    <n v="138"/>
    <s v="INSECTICIDAS"/>
    <n v="73101"/>
    <s v="INSECTICIDA BAIGON"/>
    <s v="Comercial Fila"/>
    <s v="S5"/>
    <s v="Fernando Martinez  (DN)"/>
    <s v="P005"/>
    <s v="Distrito Nacional"/>
    <s v="E320000128034"/>
    <n v="0"/>
    <n v="0"/>
    <s v="NULL"/>
    <s v="NULL"/>
    <n v="0"/>
    <n v="0"/>
    <s v="CONTADO                                           "/>
    <n v="13"/>
    <n v="6213444"/>
    <s v="Almacenes"/>
    <s v="General"/>
  </r>
  <r>
    <n v="270"/>
    <s v="A Grande"/>
    <n v="3"/>
    <n v="6213444"/>
    <s v="Pablo Garrido Cabrera"/>
    <s v="Logistica y Distribucion"/>
    <n v="10042350"/>
    <d v="2026-02-10T00:00:00"/>
    <d v="2026-02-10T00:00:00"/>
    <n v="2026"/>
    <n v="2"/>
    <s v="T1"/>
    <n v="1"/>
    <s v="General"/>
    <s v="Santo Domnigo"/>
    <s v="NULL"/>
    <s v="NULL"/>
    <n v="7"/>
    <n v="10"/>
    <n v="14167"/>
    <n v="3"/>
    <s v="C014167"/>
    <s v="Mini Market Galvan"/>
    <s v="MINI MARKET"/>
    <s v="Lunes"/>
    <s v="Lunes"/>
    <n v="91"/>
    <x v="9"/>
    <s v="V201001"/>
    <x v="9"/>
    <n v="10"/>
    <n v="10"/>
    <n v="221.67"/>
    <n v="0"/>
    <n v="0"/>
    <n v="0"/>
    <n v="399.01"/>
    <n v="2216.6999999999998"/>
    <n v="2616"/>
    <n v="3"/>
    <s v="Enmanuel Bido (Argelis)"/>
    <s v="DN1"/>
    <n v="10"/>
    <n v="113"/>
    <s v="REFISAL"/>
    <n v="82101"/>
    <s v="REFISAL PACA"/>
    <s v="Brinsa Dominicana"/>
    <s v="S5"/>
    <s v="Fernando Martinez  (DN)"/>
    <s v="P005"/>
    <s v="Distrito Nacional"/>
    <s v="E320000128034"/>
    <n v="0"/>
    <n v="0"/>
    <s v="NULL"/>
    <s v="NULL"/>
    <n v="0"/>
    <n v="0"/>
    <s v="CONTADO                                           "/>
    <n v="13"/>
    <n v="6213444"/>
    <s v="Almacenes"/>
    <s v="General"/>
  </r>
  <r>
    <n v="223"/>
    <s v="A Grande"/>
    <n v="3"/>
    <n v="6215628"/>
    <s v="Martin Figueroa"/>
    <s v="Logistica y Distribucion"/>
    <n v="10044536"/>
    <d v="2026-02-11T00:00:00"/>
    <d v="2026-02-11T00:00:00"/>
    <n v="2026"/>
    <n v="2"/>
    <s v="T1"/>
    <n v="1"/>
    <s v="Alimentos - Espejo"/>
    <s v="Santo Domnigo"/>
    <s v="NULL"/>
    <s v="NULL"/>
    <n v="7"/>
    <n v="11"/>
    <n v="12191"/>
    <n v="3"/>
    <s v="C012191"/>
    <s v="Super Mercado La Ballena"/>
    <s v="SUPERMERCADO"/>
    <s v="Lunes"/>
    <s v="Lunes"/>
    <n v="91"/>
    <x v="12"/>
    <s v="V800791"/>
    <x v="12"/>
    <n v="1"/>
    <n v="25"/>
    <n v="153.11000000000001"/>
    <n v="0"/>
    <n v="0"/>
    <n v="0"/>
    <n v="689"/>
    <n v="3827.75"/>
    <n v="4517"/>
    <n v="91"/>
    <s v="Enrrique Morillo (DN)"/>
    <s v="DN6"/>
    <n v="10"/>
    <n v="207"/>
    <s v="BOLONES"/>
    <n v="65103"/>
    <s v="ALIMENTOS DULCES"/>
    <s v="COLOMBINA"/>
    <s v="S5"/>
    <s v="Fernando Martinez  (DN)"/>
    <s v="DN013"/>
    <s v="Distrito Nacional"/>
    <s v="E320000130139"/>
    <n v="0"/>
    <n v="0"/>
    <s v="NULL"/>
    <s v="NULL"/>
    <n v="0"/>
    <n v="0"/>
    <s v="CONTADO                                           "/>
    <n v="13"/>
    <n v="6215628"/>
    <s v="Almacenes"/>
    <s v="General"/>
  </r>
  <r>
    <n v="270"/>
    <s v="A Grande"/>
    <n v="3"/>
    <n v="6215810"/>
    <s v="Pablo Garrido Cabrera"/>
    <s v="Logistica y Distribucion"/>
    <n v="10044718"/>
    <d v="2026-02-11T00:00:00"/>
    <d v="2026-02-11T00:00:00"/>
    <n v="2026"/>
    <n v="2"/>
    <s v="T1"/>
    <n v="1"/>
    <s v="General"/>
    <s v="Santo Domnigo"/>
    <s v="NULL"/>
    <s v="NULL"/>
    <n v="7"/>
    <n v="11"/>
    <n v="2280"/>
    <n v="3"/>
    <s v="C002280"/>
    <s v="Mini Market Familiar"/>
    <s v="MINI MARKET"/>
    <s v="Miércoles"/>
    <s v="Miércoles"/>
    <n v="14"/>
    <x v="6"/>
    <s v="V511005"/>
    <x v="6"/>
    <n v="1"/>
    <n v="12"/>
    <n v="64.44"/>
    <n v="0"/>
    <n v="0"/>
    <n v="0"/>
    <n v="139.19"/>
    <n v="773.28"/>
    <n v="912"/>
    <n v="93"/>
    <s v="Junior M. Ramos (Isaac Maria)"/>
    <s v="DN7"/>
    <n v="10"/>
    <n v="114"/>
    <s v="BLANCOX"/>
    <n v="66102"/>
    <s v="BLANCOX BOTELLA"/>
    <s v="Brinsa Dominicana"/>
    <s v="S5"/>
    <s v="Fernando Martinez  (DN)"/>
    <s v="P007"/>
    <s v="Distrito Nacional"/>
    <s v="E320000130359"/>
    <n v="0"/>
    <n v="0"/>
    <s v="NULL"/>
    <s v="NULL"/>
    <n v="0"/>
    <n v="0"/>
    <s v="CONTADO                                           "/>
    <n v="13"/>
    <n v="6215810"/>
    <s v="Almacenes"/>
    <s v="General"/>
  </r>
  <r>
    <n v="270"/>
    <s v="A Grande"/>
    <n v="3"/>
    <n v="6215810"/>
    <s v="Pablo Garrido Cabrera"/>
    <s v="Logistica y Distribucion"/>
    <n v="10044718"/>
    <d v="2026-02-11T00:00:00"/>
    <d v="2026-02-11T00:00:00"/>
    <n v="2026"/>
    <n v="2"/>
    <s v="T1"/>
    <n v="1"/>
    <s v="General"/>
    <s v="Santo Domnigo"/>
    <s v="NULL"/>
    <s v="NULL"/>
    <n v="7"/>
    <n v="11"/>
    <n v="2280"/>
    <n v="3"/>
    <s v="C002280"/>
    <s v="Mini Market Familiar"/>
    <s v="MINI MARKET"/>
    <s v="Miércoles"/>
    <s v="Miércoles"/>
    <n v="14"/>
    <x v="5"/>
    <s v="V611053"/>
    <x v="5"/>
    <n v="2"/>
    <n v="48"/>
    <n v="20"/>
    <n v="0"/>
    <n v="0"/>
    <n v="0"/>
    <n v="172.8"/>
    <n v="960"/>
    <n v="1133"/>
    <n v="93"/>
    <s v="Junior M. Ramos (Isaac Maria)"/>
    <s v="DN7"/>
    <n v="10"/>
    <n v="114"/>
    <s v="BLANCOX"/>
    <n v="66102"/>
    <s v="BLANCOX BOTELLA"/>
    <s v="Brinsa Dominicana"/>
    <s v="S5"/>
    <s v="Fernando Martinez  (DN)"/>
    <s v="P007"/>
    <s v="Distrito Nacional"/>
    <s v="E320000130359"/>
    <n v="0"/>
    <n v="0"/>
    <s v="NULL"/>
    <s v="NULL"/>
    <n v="0"/>
    <n v="0"/>
    <s v="CONTADO                                           "/>
    <n v="13"/>
    <n v="6215810"/>
    <s v="Almacenes"/>
    <s v="General"/>
  </r>
  <r>
    <n v="270"/>
    <s v="A Grande"/>
    <n v="3"/>
    <n v="6215810"/>
    <s v="Pablo Garrido Cabrera"/>
    <s v="Logistica y Distribucion"/>
    <n v="10044718"/>
    <d v="2026-02-11T00:00:00"/>
    <d v="2026-02-11T00:00:00"/>
    <n v="2026"/>
    <n v="2"/>
    <s v="T1"/>
    <n v="1"/>
    <s v="General"/>
    <s v="Santo Domnigo"/>
    <s v="NULL"/>
    <s v="NULL"/>
    <n v="7"/>
    <n v="11"/>
    <n v="2280"/>
    <n v="3"/>
    <s v="C002280"/>
    <s v="Mini Market Familiar"/>
    <s v="MINI MARKET"/>
    <s v="Miércoles"/>
    <s v="Miércoles"/>
    <n v="14"/>
    <x v="20"/>
    <s v="V611055"/>
    <x v="20"/>
    <n v="1"/>
    <n v="4"/>
    <n v="78.319999999999993"/>
    <n v="0"/>
    <n v="0"/>
    <n v="0"/>
    <n v="56.39"/>
    <n v="313.27999999999997"/>
    <n v="370"/>
    <n v="93"/>
    <s v="Junior M. Ramos (Isaac Maria)"/>
    <s v="DN7"/>
    <n v="10"/>
    <n v="114"/>
    <s v="BLANCOX"/>
    <n v="66102"/>
    <s v="BLANCOX BOTELLA"/>
    <s v="Brinsa Dominicana"/>
    <s v="S5"/>
    <s v="Fernando Martinez  (DN)"/>
    <s v="P007"/>
    <s v="Distrito Nacional"/>
    <s v="E320000130359"/>
    <n v="0"/>
    <n v="0"/>
    <s v="NULL"/>
    <s v="NULL"/>
    <n v="0"/>
    <n v="0"/>
    <s v="CONTADO                                           "/>
    <n v="13"/>
    <n v="6215810"/>
    <s v="Almacenes"/>
    <s v="General"/>
  </r>
  <r>
    <n v="270"/>
    <s v="A Grande"/>
    <n v="3"/>
    <n v="6215836"/>
    <s v="Pablo Garrido Cabrera"/>
    <s v="Logistica y Distribucion"/>
    <n v="10044744"/>
    <d v="2026-02-11T00:00:00"/>
    <d v="2026-02-11T00:00:00"/>
    <n v="2026"/>
    <n v="2"/>
    <s v="T1"/>
    <n v="1"/>
    <s v="General"/>
    <s v="Santo Domnigo"/>
    <s v="NULL"/>
    <s v="NULL"/>
    <n v="7"/>
    <n v="11"/>
    <n v="19291"/>
    <n v="3"/>
    <s v="C019291"/>
    <s v="Mini Market Isamal Comercial"/>
    <s v="MINI MARKET"/>
    <s v="Miércoles"/>
    <s v="Miércoles"/>
    <n v="8"/>
    <x v="25"/>
    <s v="V501000"/>
    <x v="25"/>
    <n v="10"/>
    <n v="40"/>
    <n v="114.4"/>
    <n v="0"/>
    <n v="0"/>
    <n v="0"/>
    <n v="823.68"/>
    <n v="4576"/>
    <n v="5400"/>
    <n v="4"/>
    <s v="Argelis Salvador (Bido)"/>
    <s v="DN2"/>
    <n v="10"/>
    <n v="114"/>
    <s v="BLANCOX"/>
    <n v="66101"/>
    <s v="BLANCOX SACHET"/>
    <s v="Brinsa Dominicana"/>
    <s v="S5"/>
    <s v="Fernando Martinez  (DN)"/>
    <s v="P003"/>
    <s v="Distrito Nacional"/>
    <s v="E320000130387"/>
    <n v="0"/>
    <n v="0"/>
    <s v="NULL"/>
    <s v="NULL"/>
    <n v="0"/>
    <n v="0"/>
    <s v="CONTADO                                           "/>
    <n v="13"/>
    <n v="6215836"/>
    <s v="Almacenes"/>
    <s v="General"/>
  </r>
  <r>
    <n v="242"/>
    <s v="A Grande"/>
    <n v="3"/>
    <n v="6217578"/>
    <s v="Agustin Luna Valdez"/>
    <s v="Logistica y Distribucion"/>
    <n v="10046486"/>
    <d v="2026-02-12T00:00:00"/>
    <d v="2026-02-12T00:00:00"/>
    <n v="2026"/>
    <n v="2"/>
    <s v="T1"/>
    <n v="1"/>
    <s v="General"/>
    <s v="Santo Domnigo"/>
    <s v="NULL"/>
    <s v="NULL"/>
    <n v="7"/>
    <n v="12"/>
    <n v="37594"/>
    <n v="3"/>
    <s v="C037594"/>
    <s v="Mini Market El patron 3."/>
    <s v="MINI MARKET"/>
    <s v="Miércoles"/>
    <s v="Miércoles"/>
    <n v="72"/>
    <x v="18"/>
    <s v="V101124"/>
    <x v="18"/>
    <n v="0.5"/>
    <n v="12"/>
    <n v="73.7"/>
    <n v="0"/>
    <n v="0"/>
    <n v="0"/>
    <n v="159.19"/>
    <n v="884.4"/>
    <n v="1044"/>
    <n v="95"/>
    <s v="Benigno Paniagua (T)"/>
    <s v="SDO5"/>
    <n v="10"/>
    <n v="135"/>
    <s v="CUIDADO DE BEBE"/>
    <n v="6770651"/>
    <s v="CUIDADO FAMILIAR"/>
    <s v="Continental de Negocios"/>
    <s v="S2"/>
    <s v="Fernando Martinez (SDO)"/>
    <s v="P010"/>
    <s v="Santo Domingo Oeste"/>
    <s v="E310000010576"/>
    <n v="0"/>
    <n v="0"/>
    <s v="NULL"/>
    <s v="NULL"/>
    <n v="0"/>
    <n v="0"/>
    <s v="CONTADO                                           "/>
    <n v="13"/>
    <n v="6217578"/>
    <s v="Almacenes"/>
    <s v="General"/>
  </r>
  <r>
    <n v="242"/>
    <s v="A Grande"/>
    <n v="3"/>
    <n v="6217578"/>
    <s v="Agustin Luna Valdez"/>
    <s v="Logistica y Distribucion"/>
    <n v="10046486"/>
    <d v="2026-02-12T00:00:00"/>
    <d v="2026-02-12T00:00:00"/>
    <n v="2026"/>
    <n v="2"/>
    <s v="T1"/>
    <n v="1"/>
    <s v="General"/>
    <s v="Santo Domnigo"/>
    <s v="NULL"/>
    <s v="NULL"/>
    <n v="7"/>
    <n v="12"/>
    <n v="37594"/>
    <n v="3"/>
    <s v="C037594"/>
    <s v="Mini Market El patron 3."/>
    <s v="MINI MARKET"/>
    <s v="Miércoles"/>
    <s v="Miércoles"/>
    <n v="72"/>
    <x v="51"/>
    <s v="V101072"/>
    <x v="51"/>
    <n v="1"/>
    <n v="24"/>
    <n v="43.55"/>
    <n v="0"/>
    <n v="0"/>
    <n v="0"/>
    <n v="188.14"/>
    <n v="1045.2"/>
    <n v="1233"/>
    <n v="95"/>
    <s v="Benigno Paniagua (T)"/>
    <s v="SDO5"/>
    <n v="10"/>
    <n v="135"/>
    <s v="CUIDADO DE BEBE"/>
    <n v="6766661"/>
    <s v="CUIDADO DE BEBE"/>
    <s v="Continental de Negocios"/>
    <s v="S2"/>
    <s v="Fernando Martinez (SDO)"/>
    <s v="P010"/>
    <s v="Santo Domingo Oeste"/>
    <s v="E310000010576"/>
    <n v="0"/>
    <n v="0"/>
    <s v="NULL"/>
    <s v="NULL"/>
    <n v="0"/>
    <n v="0"/>
    <s v="CONTADO                                           "/>
    <n v="13"/>
    <n v="6217578"/>
    <s v="Almacenes"/>
    <s v="General"/>
  </r>
  <r>
    <n v="242"/>
    <s v="A Grande"/>
    <n v="3"/>
    <n v="6217578"/>
    <s v="Agustin Luna Valdez"/>
    <s v="Logistica y Distribucion"/>
    <n v="10046486"/>
    <d v="2026-02-12T00:00:00"/>
    <d v="2026-02-12T00:00:00"/>
    <n v="2026"/>
    <n v="2"/>
    <s v="T1"/>
    <n v="1"/>
    <s v="Alimentos - Espejo"/>
    <s v="Santo Domnigo"/>
    <s v="NULL"/>
    <s v="NULL"/>
    <n v="7"/>
    <n v="12"/>
    <n v="37594"/>
    <n v="3"/>
    <s v="C037594"/>
    <s v="Mini Market El patron 3."/>
    <s v="MINI MARKET"/>
    <s v="Miércoles"/>
    <s v="Miércoles"/>
    <n v="72"/>
    <x v="37"/>
    <s v="V925094"/>
    <x v="37"/>
    <n v="0.25"/>
    <n v="12"/>
    <n v="46.08"/>
    <n v="0"/>
    <n v="0"/>
    <n v="0"/>
    <n v="99.53"/>
    <n v="552.96"/>
    <n v="652"/>
    <n v="95"/>
    <s v="Benigno Paniagua (T)"/>
    <s v="SDO5"/>
    <n v="10"/>
    <n v="117"/>
    <s v="DIMAR"/>
    <n v="65104"/>
    <s v="ALIMENTOS SARDINAS"/>
    <s v="DIMAR DOMINICANA"/>
    <s v="S2"/>
    <s v="Fernando Martinez (SDO)"/>
    <s v="P010"/>
    <s v="Santo Domingo Oeste"/>
    <s v="E310000010576"/>
    <n v="0"/>
    <n v="0"/>
    <s v="NULL"/>
    <s v="NULL"/>
    <n v="0"/>
    <n v="0"/>
    <s v="CONTADO                                           "/>
    <n v="13"/>
    <n v="6217578"/>
    <s v="Almacenes"/>
    <s v="General"/>
  </r>
  <r>
    <n v="242"/>
    <s v="A Grande"/>
    <n v="3"/>
    <n v="6217578"/>
    <s v="Agustin Luna Valdez"/>
    <s v="Logistica y Distribucion"/>
    <n v="10046486"/>
    <d v="2026-02-12T00:00:00"/>
    <d v="2026-02-12T00:00:00"/>
    <n v="2026"/>
    <n v="2"/>
    <s v="T1"/>
    <n v="1"/>
    <s v="Alimentos - Espejo"/>
    <s v="Santo Domnigo"/>
    <s v="NULL"/>
    <s v="NULL"/>
    <n v="7"/>
    <n v="12"/>
    <n v="37594"/>
    <n v="3"/>
    <s v="C037594"/>
    <s v="Mini Market El patron 3."/>
    <s v="MINI MARKET"/>
    <s v="Miércoles"/>
    <s v="Miércoles"/>
    <n v="72"/>
    <x v="38"/>
    <s v="V925095"/>
    <x v="38"/>
    <n v="0.25"/>
    <n v="12"/>
    <n v="46.08"/>
    <n v="0"/>
    <n v="0"/>
    <n v="0"/>
    <n v="99.53"/>
    <n v="552.96"/>
    <n v="652"/>
    <n v="95"/>
    <s v="Benigno Paniagua (T)"/>
    <s v="SDO5"/>
    <n v="10"/>
    <n v="117"/>
    <s v="DIMAR"/>
    <n v="65104"/>
    <s v="ALIMENTOS SARDINAS"/>
    <s v="DIMAR DOMINICANA"/>
    <s v="S2"/>
    <s v="Fernando Martinez (SDO)"/>
    <s v="P010"/>
    <s v="Santo Domingo Oeste"/>
    <s v="E310000010576"/>
    <n v="0"/>
    <n v="0"/>
    <s v="NULL"/>
    <s v="NULL"/>
    <n v="0"/>
    <n v="0"/>
    <s v="CONTADO                                           "/>
    <n v="13"/>
    <n v="6217578"/>
    <s v="Almacenes"/>
    <s v="General"/>
  </r>
  <r>
    <n v="254"/>
    <s v="A Grande"/>
    <n v="3"/>
    <n v="6220008"/>
    <s v="Santo Muñoz de Paula"/>
    <s v="Logistica y Distribucion"/>
    <n v="10048916"/>
    <d v="2026-02-13T00:00:00"/>
    <d v="2026-02-13T00:00:00"/>
    <n v="2026"/>
    <n v="2"/>
    <s v="T1"/>
    <n v="1"/>
    <s v="Alimentos - Espejo"/>
    <s v="Santo Domnigo"/>
    <s v="NULL"/>
    <s v="NULL"/>
    <n v="7"/>
    <n v="13"/>
    <n v="5474"/>
    <n v="3"/>
    <s v="C005474"/>
    <s v="Mini Market Gracia Divina"/>
    <s v="MINI MARKET"/>
    <s v="Jueves"/>
    <s v="SinAsignar"/>
    <n v="70"/>
    <x v="15"/>
    <s v="V925064"/>
    <x v="15"/>
    <n v="0.24"/>
    <n v="12"/>
    <n v="32.86"/>
    <n v="0"/>
    <n v="0"/>
    <n v="0"/>
    <n v="70.98"/>
    <n v="394.32"/>
    <n v="465"/>
    <n v="94"/>
    <s v="Vicente Cruz"/>
    <s v="SDO6"/>
    <n v="10"/>
    <n v="117"/>
    <s v="DIMAR"/>
    <n v="65104"/>
    <s v="ALIMENTOS SARDINAS"/>
    <s v="DIMAR DOMINICANA"/>
    <s v="S2"/>
    <s v="Fernando Martinez (SDO)"/>
    <s v="P009"/>
    <s v="Santo Domingo Oeste"/>
    <s v="E310000010778"/>
    <n v="0"/>
    <n v="0"/>
    <s v="NULL"/>
    <s v="NULL"/>
    <n v="0"/>
    <n v="0"/>
    <s v="CONTADO                                           "/>
    <n v="13"/>
    <n v="6220008"/>
    <s v="Almacenes"/>
    <s v="General"/>
  </r>
  <r>
    <n v="254"/>
    <s v="A Grande"/>
    <n v="3"/>
    <n v="6220008"/>
    <s v="Santo Muñoz de Paula"/>
    <s v="Logistica y Distribucion"/>
    <n v="10048916"/>
    <d v="2026-02-13T00:00:00"/>
    <d v="2026-02-13T00:00:00"/>
    <n v="2026"/>
    <n v="2"/>
    <s v="T1"/>
    <n v="1"/>
    <s v="Alimentos - Espejo"/>
    <s v="Santo Domnigo"/>
    <s v="NULL"/>
    <s v="NULL"/>
    <n v="7"/>
    <n v="13"/>
    <n v="5474"/>
    <n v="3"/>
    <s v="C005474"/>
    <s v="Mini Market Gracia Divina"/>
    <s v="MINI MARKET"/>
    <s v="Jueves"/>
    <s v="SinAsignar"/>
    <n v="70"/>
    <x v="30"/>
    <s v="V930023"/>
    <x v="30"/>
    <n v="0.2"/>
    <n v="4"/>
    <n v="140.75"/>
    <n v="0"/>
    <n v="0"/>
    <n v="0"/>
    <n v="101.34"/>
    <n v="563"/>
    <n v="664"/>
    <n v="94"/>
    <s v="Vicente Cruz"/>
    <s v="SDO6"/>
    <n v="10"/>
    <n v="208"/>
    <s v="CARAMELOS DUROS"/>
    <n v="0"/>
    <s v="NULL"/>
    <s v="COLOMBINA"/>
    <s v="S2"/>
    <s v="Fernando Martinez (SDO)"/>
    <s v="P009"/>
    <s v="Santo Domingo Oeste"/>
    <s v="E310000010778"/>
    <n v="0"/>
    <n v="0"/>
    <s v="NULL"/>
    <s v="NULL"/>
    <n v="0"/>
    <n v="0"/>
    <s v="CONTADO                                           "/>
    <n v="13"/>
    <n v="6220008"/>
    <s v="Almacenes"/>
    <s v="General"/>
  </r>
  <r>
    <n v="254"/>
    <s v="A Grande"/>
    <n v="3"/>
    <n v="6220008"/>
    <s v="Santo Muñoz de Paula"/>
    <s v="Logistica y Distribucion"/>
    <n v="10048916"/>
    <d v="2026-02-13T00:00:00"/>
    <d v="2026-02-13T00:00:00"/>
    <n v="2026"/>
    <n v="2"/>
    <s v="T1"/>
    <n v="1"/>
    <s v="Alimentos - Espejo"/>
    <s v="Santo Domnigo"/>
    <s v="NULL"/>
    <s v="NULL"/>
    <n v="7"/>
    <n v="13"/>
    <n v="5474"/>
    <n v="3"/>
    <s v="C005474"/>
    <s v="Mini Market Gracia Divina"/>
    <s v="MINI MARKET"/>
    <s v="Jueves"/>
    <s v="SinAsignar"/>
    <n v="70"/>
    <x v="24"/>
    <s v="V930012"/>
    <x v="24"/>
    <n v="0.125"/>
    <n v="2"/>
    <n v="91.09"/>
    <n v="0"/>
    <n v="0"/>
    <n v="0"/>
    <n v="32.79"/>
    <n v="182.18"/>
    <n v="215"/>
    <n v="94"/>
    <s v="Vicente Cruz"/>
    <s v="SDO6"/>
    <n v="10"/>
    <n v="208"/>
    <s v="CARAMELOS DUROS"/>
    <n v="0"/>
    <s v="NULL"/>
    <s v="COLOMBINA"/>
    <s v="S2"/>
    <s v="Fernando Martinez (SDO)"/>
    <s v="P009"/>
    <s v="Santo Domingo Oeste"/>
    <s v="E310000010778"/>
    <n v="0"/>
    <n v="0"/>
    <s v="NULL"/>
    <s v="NULL"/>
    <n v="0"/>
    <n v="0"/>
    <s v="CONTADO                                           "/>
    <n v="13"/>
    <n v="6220008"/>
    <s v="Almacenes"/>
    <s v="General"/>
  </r>
  <r>
    <n v="254"/>
    <s v="A Grande"/>
    <n v="3"/>
    <n v="6220008"/>
    <s v="Santo Muñoz de Paula"/>
    <s v="Logistica y Distribucion"/>
    <n v="10048916"/>
    <d v="2026-02-13T00:00:00"/>
    <d v="2026-02-13T00:00:00"/>
    <n v="2026"/>
    <n v="2"/>
    <s v="T1"/>
    <n v="1"/>
    <s v="Alimentos - Espejo"/>
    <s v="Santo Domnigo"/>
    <s v="NULL"/>
    <s v="NULL"/>
    <n v="7"/>
    <n v="13"/>
    <n v="5474"/>
    <n v="3"/>
    <s v="C005474"/>
    <s v="Mini Market Gracia Divina"/>
    <s v="MINI MARKET"/>
    <s v="Jueves"/>
    <s v="SinAsignar"/>
    <n v="70"/>
    <x v="52"/>
    <s v="V925065"/>
    <x v="52"/>
    <n v="0.02"/>
    <n v="1"/>
    <n v="0"/>
    <n v="0"/>
    <n v="0"/>
    <n v="0"/>
    <n v="0"/>
    <n v="0"/>
    <n v="0"/>
    <n v="94"/>
    <s v="Vicente Cruz"/>
    <s v="SDO6"/>
    <n v="10"/>
    <n v="117"/>
    <s v="DIMAR"/>
    <n v="65104"/>
    <s v="ALIMENTOS SARDINAS"/>
    <s v="DIMAR DOMINICANA"/>
    <s v="S2"/>
    <s v="Fernando Martinez (SDO)"/>
    <s v="P009"/>
    <s v="Santo Domingo Oeste"/>
    <s v="E310000010778"/>
    <n v="0"/>
    <n v="1"/>
    <n v="3384"/>
    <s v="Sardina Plana 12+1 de Oferta"/>
    <n v="0"/>
    <n v="0"/>
    <s v="CONTADO                                           "/>
    <n v="13"/>
    <n v="6220008"/>
    <s v="Almacenes"/>
    <s v="General"/>
  </r>
  <r>
    <n v="270"/>
    <s v="A Grande"/>
    <n v="3"/>
    <n v="6220324"/>
    <s v="Pablo Garrido Cabrera"/>
    <s v="Logistica y Distribucion"/>
    <n v="10049232"/>
    <d v="2026-02-13T00:00:00"/>
    <d v="2026-02-13T00:00:00"/>
    <n v="2026"/>
    <n v="2"/>
    <s v="T1"/>
    <n v="1"/>
    <s v="General"/>
    <s v="Santo Domnigo"/>
    <s v="NULL"/>
    <s v="NULL"/>
    <n v="7"/>
    <n v="13"/>
    <n v="2280"/>
    <n v="3"/>
    <s v="C002280"/>
    <s v="Mini Market Familiar"/>
    <s v="MINI MARKET"/>
    <s v="Miércoles"/>
    <s v="Miércoles"/>
    <n v="14"/>
    <x v="16"/>
    <s v="V103001"/>
    <x v="16"/>
    <n v="0.33333333333332998"/>
    <n v="16"/>
    <n v="0"/>
    <n v="0"/>
    <n v="0"/>
    <n v="0"/>
    <n v="0"/>
    <n v="0"/>
    <n v="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134801"/>
    <n v="0"/>
    <n v="1"/>
    <n v="3374"/>
    <s v="Papel Higienico Familia 24 UND +4UND  Papeles Familia de Ofertas"/>
    <n v="0"/>
    <n v="0"/>
    <s v="CONTADO                                           "/>
    <n v="13"/>
    <n v="6220324"/>
    <s v="Almacenes"/>
    <s v="General"/>
  </r>
  <r>
    <n v="270"/>
    <s v="A Grande"/>
    <n v="3"/>
    <n v="6220324"/>
    <s v="Pablo Garrido Cabrera"/>
    <s v="Logistica y Distribucion"/>
    <n v="10049232"/>
    <d v="2026-02-13T00:00:00"/>
    <d v="2026-02-13T00:00:00"/>
    <n v="2026"/>
    <n v="2"/>
    <s v="T1"/>
    <n v="1"/>
    <s v="General"/>
    <s v="Santo Domnigo"/>
    <s v="NULL"/>
    <s v="NULL"/>
    <n v="7"/>
    <n v="13"/>
    <n v="2280"/>
    <n v="3"/>
    <s v="C002280"/>
    <s v="Mini Market Familiar"/>
    <s v="MINI MARKET"/>
    <s v="Miércoles"/>
    <s v="Miércoles"/>
    <n v="14"/>
    <x v="16"/>
    <s v="V103001"/>
    <x v="16"/>
    <n v="2"/>
    <n v="96"/>
    <n v="21.36"/>
    <n v="0"/>
    <n v="0"/>
    <n v="0"/>
    <n v="369.1"/>
    <n v="2050.56"/>
    <n v="242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134801"/>
    <n v="0"/>
    <n v="0"/>
    <s v="NULL"/>
    <s v="NULL"/>
    <n v="0"/>
    <n v="0"/>
    <s v="CONTADO                                           "/>
    <n v="13"/>
    <n v="6220324"/>
    <s v="Almacenes"/>
    <s v="General"/>
  </r>
  <r>
    <n v="223"/>
    <s v="A Grande"/>
    <n v="3"/>
    <n v="6222439"/>
    <s v="Martin Figueroa"/>
    <s v="Logistica y Distribucion"/>
    <n v="10051347"/>
    <d v="2026-02-14T00:00:00"/>
    <d v="2026-02-14T00:00:00"/>
    <n v="2026"/>
    <n v="2"/>
    <s v="T1"/>
    <n v="1"/>
    <s v="Alimentos - Espejo"/>
    <s v="Santo Domnigo"/>
    <s v="NULL"/>
    <s v="NULL"/>
    <n v="7"/>
    <n v="14"/>
    <n v="1019"/>
    <n v="3"/>
    <s v="C001019"/>
    <s v="Mini Market Shairelys SRL"/>
    <s v="MINI MARKET"/>
    <s v="Viernes"/>
    <s v="Viernes"/>
    <n v="60"/>
    <x v="8"/>
    <s v="V930076"/>
    <x v="8"/>
    <n v="1"/>
    <n v="24"/>
    <n v="40.29"/>
    <n v="0"/>
    <n v="0"/>
    <n v="0"/>
    <n v="174.05"/>
    <n v="966.96"/>
    <n v="1141"/>
    <n v="8"/>
    <s v="Daniel Gutierrez"/>
    <s v="DN3"/>
    <n v="10"/>
    <n v="204"/>
    <s v="GALLETERIA"/>
    <n v="0"/>
    <s v="NULL"/>
    <s v="COLOMBINA"/>
    <s v="S5"/>
    <s v="Fernando Martinez  (DN)"/>
    <s v="P016"/>
    <s v="Distrito Nacional"/>
    <s v="E310000010950"/>
    <n v="0"/>
    <n v="0"/>
    <s v="NULL"/>
    <s v="NULL"/>
    <n v="0"/>
    <n v="0"/>
    <s v="CONTADO                                           "/>
    <n v="13"/>
    <n v="6222439"/>
    <s v="Almacenes"/>
    <s v="General"/>
  </r>
  <r>
    <n v="223"/>
    <s v="A Grande"/>
    <n v="3"/>
    <n v="6222440"/>
    <s v="Martin Figueroa"/>
    <s v="Logistica y Distribucion"/>
    <n v="10051348"/>
    <d v="2026-02-14T00:00:00"/>
    <d v="2026-02-14T00:00:00"/>
    <n v="2026"/>
    <n v="2"/>
    <s v="T1"/>
    <n v="1"/>
    <s v="Alimentos - Espejo"/>
    <s v="Santo Domnigo"/>
    <s v="NULL"/>
    <s v="NULL"/>
    <n v="7"/>
    <n v="14"/>
    <n v="29579"/>
    <n v="3"/>
    <s v="C029579"/>
    <s v="Mini Market  Shairelys"/>
    <s v="MINI MARKET"/>
    <s v="Viernes"/>
    <s v="Viernes"/>
    <n v="60"/>
    <x v="8"/>
    <s v="V930076"/>
    <x v="8"/>
    <n v="1"/>
    <n v="24"/>
    <n v="40.29"/>
    <n v="0"/>
    <n v="0"/>
    <n v="0"/>
    <n v="174.05"/>
    <n v="966.96"/>
    <n v="1141"/>
    <n v="8"/>
    <s v="Daniel Gutierrez"/>
    <s v="DN3"/>
    <n v="10"/>
    <n v="204"/>
    <s v="GALLETERIA"/>
    <n v="0"/>
    <s v="NULL"/>
    <s v="COLOMBINA"/>
    <s v="S5"/>
    <s v="Fernando Martinez  (DN)"/>
    <s v="P016"/>
    <s v="Distrito Nacional"/>
    <s v="E310000010951"/>
    <n v="0"/>
    <n v="0"/>
    <s v="NULL"/>
    <s v="NULL"/>
    <n v="0"/>
    <n v="0"/>
    <s v="CONTADO                                           "/>
    <n v="18"/>
    <n v="6222440"/>
    <s v="Almacenes"/>
    <s v="General"/>
  </r>
  <r>
    <n v="270"/>
    <s v="A Grande"/>
    <n v="3"/>
    <n v="6226669"/>
    <s v="Pablo Garrido Cabrera"/>
    <s v="Logistica y Distribucion"/>
    <n v="10055577"/>
    <d v="2026-02-17T00:00:00"/>
    <d v="2026-02-17T00:00:00"/>
    <n v="2026"/>
    <n v="2"/>
    <s v="T1"/>
    <n v="1"/>
    <s v="General"/>
    <s v="Santo Domnigo"/>
    <s v="NULL"/>
    <s v="NULL"/>
    <n v="8"/>
    <n v="17"/>
    <n v="14167"/>
    <n v="3"/>
    <s v="C014167"/>
    <s v="Mini Market Galvan"/>
    <s v="MINI MARKET"/>
    <s v="Lunes"/>
    <s v="Lunes"/>
    <n v="91"/>
    <x v="13"/>
    <s v="v101038"/>
    <x v="13"/>
    <n v="3"/>
    <n v="30"/>
    <n v="354.25"/>
    <n v="0"/>
    <n v="0"/>
    <n v="0"/>
    <n v="1912.95"/>
    <n v="10627.5"/>
    <n v="12540"/>
    <n v="3"/>
    <s v="Enmanuel Bido (Argelis)"/>
    <s v="DN1"/>
    <n v="10"/>
    <n v="105"/>
    <s v="NOSOTRAS"/>
    <n v="677001"/>
    <s v="CUIDADO FEMENINO"/>
    <s v="Continental de Negocios"/>
    <s v="S5"/>
    <s v="Fernando Martinez  (DN)"/>
    <s v="P005"/>
    <s v="Distrito Nacional"/>
    <s v="E320000140843"/>
    <n v="0"/>
    <n v="0"/>
    <s v="NULL"/>
    <s v="NULL"/>
    <n v="0"/>
    <n v="0"/>
    <s v="CONTADO                                           "/>
    <n v="13"/>
    <n v="6226669"/>
    <s v="Almacenes"/>
    <s v="General"/>
  </r>
  <r>
    <n v="270"/>
    <s v="A Grande"/>
    <n v="3"/>
    <n v="6228980"/>
    <s v="Pablo Garrido Cabrera"/>
    <s v="Logistica y Distribucion"/>
    <n v="10057888"/>
    <d v="2026-02-18T00:00:00"/>
    <d v="2026-02-18T00:00:00"/>
    <n v="2026"/>
    <n v="2"/>
    <s v="T1"/>
    <n v="1"/>
    <s v="General"/>
    <s v="Santo Domnigo"/>
    <s v="NULL"/>
    <s v="NULL"/>
    <n v="8"/>
    <n v="18"/>
    <n v="2280"/>
    <n v="3"/>
    <s v="C002280"/>
    <s v="Mini Market Familiar"/>
    <s v="MINI MARKET"/>
    <s v="Miércoles"/>
    <s v="Miércoles"/>
    <n v="14"/>
    <x v="20"/>
    <s v="V611055"/>
    <x v="20"/>
    <n v="2"/>
    <n v="8"/>
    <n v="78.319999999999993"/>
    <n v="0"/>
    <n v="0"/>
    <n v="0"/>
    <n v="112.78"/>
    <n v="626.55999999999995"/>
    <n v="739"/>
    <n v="93"/>
    <s v="Junior M. Ramos (Isaac Maria)"/>
    <s v="DN7"/>
    <n v="10"/>
    <n v="114"/>
    <s v="BLANCOX"/>
    <n v="66102"/>
    <s v="BLANCOX BOTELLA"/>
    <s v="Brinsa Dominicana"/>
    <s v="S5"/>
    <s v="Fernando Martinez  (DN)"/>
    <s v="P007"/>
    <s v="Distrito Nacional"/>
    <s v="E320000142977"/>
    <n v="0"/>
    <n v="0"/>
    <s v="NULL"/>
    <s v="NULL"/>
    <n v="0"/>
    <n v="0"/>
    <s v="CONTADO                                           "/>
    <n v="13"/>
    <n v="6228980"/>
    <s v="Almacenes"/>
    <s v="General"/>
  </r>
  <r>
    <n v="270"/>
    <s v="A Grande"/>
    <n v="3"/>
    <n v="6228980"/>
    <s v="Pablo Garrido Cabrera"/>
    <s v="Logistica y Distribucion"/>
    <n v="10057888"/>
    <d v="2026-02-18T00:00:00"/>
    <d v="2026-02-18T00:00:00"/>
    <n v="2026"/>
    <n v="2"/>
    <s v="T1"/>
    <n v="1"/>
    <s v="General"/>
    <s v="Santo Domnigo"/>
    <s v="NULL"/>
    <s v="NULL"/>
    <n v="8"/>
    <n v="18"/>
    <n v="2280"/>
    <n v="3"/>
    <s v="C002280"/>
    <s v="Mini Market Familiar"/>
    <s v="MINI MARKET"/>
    <s v="Miércoles"/>
    <s v="Miércoles"/>
    <n v="14"/>
    <x v="28"/>
    <s v="V101028"/>
    <x v="28"/>
    <n v="0.33333333333332998"/>
    <n v="6"/>
    <n v="98.4"/>
    <n v="0"/>
    <n v="0"/>
    <n v="0"/>
    <n v="106.27"/>
    <n v="590.4"/>
    <n v="697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42977"/>
    <n v="0"/>
    <n v="0"/>
    <s v="NULL"/>
    <s v="NULL"/>
    <n v="0"/>
    <n v="0"/>
    <s v="CONTADO                                           "/>
    <n v="13"/>
    <n v="6228980"/>
    <s v="Almacenes"/>
    <s v="General"/>
  </r>
  <r>
    <n v="270"/>
    <s v="A Grande"/>
    <n v="3"/>
    <n v="6228980"/>
    <s v="Pablo Garrido Cabrera"/>
    <s v="Logistica y Distribucion"/>
    <n v="10057888"/>
    <d v="2026-02-18T00:00:00"/>
    <d v="2026-02-18T00:00:00"/>
    <n v="2026"/>
    <n v="2"/>
    <s v="T1"/>
    <n v="1"/>
    <s v="General"/>
    <s v="Santo Domnigo"/>
    <s v="NULL"/>
    <s v="NULL"/>
    <n v="8"/>
    <n v="18"/>
    <n v="2280"/>
    <n v="3"/>
    <s v="C002280"/>
    <s v="Mini Market Familiar"/>
    <s v="MINI MARKET"/>
    <s v="Miércoles"/>
    <s v="Miércoles"/>
    <n v="14"/>
    <x v="26"/>
    <s v="V101005"/>
    <x v="26"/>
    <n v="0.2"/>
    <n v="6"/>
    <n v="73.41"/>
    <n v="0"/>
    <n v="0"/>
    <n v="0"/>
    <n v="79.28"/>
    <n v="440.46"/>
    <n v="520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42977"/>
    <n v="0"/>
    <n v="0"/>
    <s v="NULL"/>
    <s v="NULL"/>
    <n v="0"/>
    <n v="0"/>
    <s v="CONTADO                                           "/>
    <n v="13"/>
    <n v="6228980"/>
    <s v="Almacenes"/>
    <s v="General"/>
  </r>
  <r>
    <n v="242"/>
    <s v="A Grande"/>
    <n v="3"/>
    <n v="6231195"/>
    <s v="Agustin Luna Valdez"/>
    <s v="Logistica y Distribucion"/>
    <n v="10060103"/>
    <d v="2026-02-19T00:00:00"/>
    <d v="2026-02-19T00:00:00"/>
    <n v="2026"/>
    <n v="2"/>
    <s v="T1"/>
    <n v="1"/>
    <s v="General"/>
    <s v="Santo Domnigo"/>
    <s v="NULL"/>
    <s v="NULL"/>
    <n v="8"/>
    <n v="19"/>
    <n v="37594"/>
    <n v="3"/>
    <s v="C037594"/>
    <s v="Mini Market El patron 3."/>
    <s v="MINI MARKET"/>
    <s v="Miércoles"/>
    <s v="Miércoles"/>
    <n v="72"/>
    <x v="44"/>
    <s v="V101026"/>
    <x v="44"/>
    <n v="1"/>
    <n v="36"/>
    <n v="33.06"/>
    <n v="0"/>
    <n v="0"/>
    <n v="0"/>
    <n v="214.23"/>
    <n v="1190.1600000000001"/>
    <n v="1404"/>
    <n v="95"/>
    <s v="Benigno Paniagua (T)"/>
    <s v="SDO5"/>
    <n v="10"/>
    <n v="136"/>
    <s v="NOSOTRAS DIARIOS"/>
    <n v="677001"/>
    <s v="CUIDADO FEMENINO"/>
    <s v="Continental de Negocios"/>
    <s v="S2"/>
    <s v="Fernando Martinez (SDO)"/>
    <s v="P010"/>
    <s v="Santo Domingo Oeste"/>
    <s v="E310000011687"/>
    <n v="0"/>
    <n v="0"/>
    <s v="NULL"/>
    <s v="NULL"/>
    <n v="0"/>
    <n v="0"/>
    <s v="CONTADO                                           "/>
    <n v="13"/>
    <n v="6231195"/>
    <s v="Almacenes"/>
    <s v="General"/>
  </r>
  <r>
    <n v="242"/>
    <s v="A Grande"/>
    <n v="3"/>
    <n v="6231195"/>
    <s v="Agustin Luna Valdez"/>
    <s v="Logistica y Distribucion"/>
    <n v="10060103"/>
    <d v="2026-02-19T00:00:00"/>
    <d v="2026-02-19T00:00:00"/>
    <n v="2026"/>
    <n v="2"/>
    <s v="T1"/>
    <n v="1"/>
    <s v="Alimentos - Espejo"/>
    <s v="Santo Domnigo"/>
    <s v="NULL"/>
    <s v="NULL"/>
    <n v="8"/>
    <n v="19"/>
    <n v="37594"/>
    <n v="3"/>
    <s v="C037594"/>
    <s v="Mini Market El patron 3."/>
    <s v="MINI MARKET"/>
    <s v="Miércoles"/>
    <s v="Miércoles"/>
    <n v="72"/>
    <x v="15"/>
    <s v="V925064"/>
    <x v="15"/>
    <n v="1"/>
    <n v="50"/>
    <n v="32.86"/>
    <n v="0"/>
    <n v="0"/>
    <n v="0"/>
    <n v="295.74"/>
    <n v="1643"/>
    <n v="1939"/>
    <n v="95"/>
    <s v="Benigno Paniagua (T)"/>
    <s v="SDO5"/>
    <n v="10"/>
    <n v="117"/>
    <s v="DIMAR"/>
    <n v="65104"/>
    <s v="ALIMENTOS SARDINAS"/>
    <s v="DIMAR DOMINICANA"/>
    <s v="S2"/>
    <s v="Fernando Martinez (SDO)"/>
    <s v="P010"/>
    <s v="Santo Domingo Oeste"/>
    <s v="E310000011687"/>
    <n v="0"/>
    <n v="0"/>
    <s v="NULL"/>
    <s v="NULL"/>
    <n v="0"/>
    <n v="0"/>
    <s v="CONTADO                                           "/>
    <n v="13"/>
    <n v="6231195"/>
    <s v="Almacenes"/>
    <s v="General"/>
  </r>
  <r>
    <n v="242"/>
    <s v="A Grande"/>
    <n v="3"/>
    <n v="6231195"/>
    <s v="Agustin Luna Valdez"/>
    <s v="Logistica y Distribucion"/>
    <n v="10060103"/>
    <d v="2026-02-19T00:00:00"/>
    <d v="2026-02-19T00:00:00"/>
    <n v="2026"/>
    <n v="2"/>
    <s v="T1"/>
    <n v="1"/>
    <s v="General"/>
    <s v="Santo Domnigo"/>
    <s v="NULL"/>
    <s v="NULL"/>
    <n v="8"/>
    <n v="19"/>
    <n v="37594"/>
    <n v="3"/>
    <s v="C037594"/>
    <s v="Mini Market El patron 3."/>
    <s v="MINI MARKET"/>
    <s v="Miércoles"/>
    <s v="Miércoles"/>
    <n v="72"/>
    <x v="16"/>
    <s v="V103001"/>
    <x v="16"/>
    <n v="0.5"/>
    <n v="24"/>
    <n v="0"/>
    <n v="0"/>
    <n v="0"/>
    <n v="0"/>
    <n v="0"/>
    <n v="0"/>
    <n v="0"/>
    <n v="95"/>
    <s v="Benigno Paniagua (T)"/>
    <s v="SDO5"/>
    <n v="10"/>
    <n v="107"/>
    <s v="FAMILIA"/>
    <n v="6770651"/>
    <s v="CUIDADO FAMILIAR"/>
    <s v="Continental de Negocios"/>
    <s v="S2"/>
    <s v="Fernando Martinez (SDO)"/>
    <s v="P010"/>
    <s v="Santo Domingo Oeste"/>
    <s v="E310000011687"/>
    <n v="0"/>
    <n v="1"/>
    <n v="3374"/>
    <s v="Papel Higienico Familia 24 UND +4UND  Papeles Familia de Ofertas"/>
    <n v="0"/>
    <n v="0"/>
    <s v="CONTADO                                           "/>
    <n v="13"/>
    <n v="6231195"/>
    <s v="Almacenes"/>
    <s v="General"/>
  </r>
  <r>
    <n v="242"/>
    <s v="A Grande"/>
    <n v="3"/>
    <n v="6231195"/>
    <s v="Agustin Luna Valdez"/>
    <s v="Logistica y Distribucion"/>
    <n v="10060103"/>
    <d v="2026-02-19T00:00:00"/>
    <d v="2026-02-19T00:00:00"/>
    <n v="2026"/>
    <n v="2"/>
    <s v="T1"/>
    <n v="1"/>
    <s v="Alimentos - Espejo"/>
    <s v="Santo Domnigo"/>
    <s v="NULL"/>
    <s v="NULL"/>
    <n v="8"/>
    <n v="19"/>
    <n v="37594"/>
    <n v="3"/>
    <s v="C037594"/>
    <s v="Mini Market El patron 3."/>
    <s v="MINI MARKET"/>
    <s v="Miércoles"/>
    <s v="Miércoles"/>
    <n v="72"/>
    <x v="52"/>
    <s v="V925065"/>
    <x v="52"/>
    <n v="0.08"/>
    <n v="4"/>
    <n v="0"/>
    <n v="0"/>
    <n v="0"/>
    <n v="0"/>
    <n v="0"/>
    <n v="0"/>
    <n v="0"/>
    <n v="95"/>
    <s v="Benigno Paniagua (T)"/>
    <s v="SDO5"/>
    <n v="10"/>
    <n v="117"/>
    <s v="DIMAR"/>
    <n v="65104"/>
    <s v="ALIMENTOS SARDINAS"/>
    <s v="DIMAR DOMINICANA"/>
    <s v="S2"/>
    <s v="Fernando Martinez (SDO)"/>
    <s v="P010"/>
    <s v="Santo Domingo Oeste"/>
    <s v="E310000011687"/>
    <n v="0"/>
    <n v="1"/>
    <n v="3384"/>
    <s v="Sardina Plana 12+1 de Oferta"/>
    <n v="0"/>
    <n v="0"/>
    <s v="CONTADO                                           "/>
    <n v="13"/>
    <n v="6231195"/>
    <s v="Almacenes"/>
    <s v="General"/>
  </r>
  <r>
    <n v="242"/>
    <s v="A Grande"/>
    <n v="3"/>
    <n v="6231195"/>
    <s v="Agustin Luna Valdez"/>
    <s v="Logistica y Distribucion"/>
    <n v="10060103"/>
    <d v="2026-02-19T00:00:00"/>
    <d v="2026-02-19T00:00:00"/>
    <n v="2026"/>
    <n v="2"/>
    <s v="T1"/>
    <n v="1"/>
    <s v="General"/>
    <s v="Santo Domnigo"/>
    <s v="NULL"/>
    <s v="NULL"/>
    <n v="8"/>
    <n v="19"/>
    <n v="37594"/>
    <n v="3"/>
    <s v="C037594"/>
    <s v="Mini Market El patron 3."/>
    <s v="MINI MARKET"/>
    <s v="Miércoles"/>
    <s v="Miércoles"/>
    <n v="72"/>
    <x v="16"/>
    <s v="V103001"/>
    <x v="16"/>
    <n v="3"/>
    <n v="144"/>
    <n v="21.36"/>
    <n v="0"/>
    <n v="0"/>
    <n v="0"/>
    <n v="553.65"/>
    <n v="3075.84"/>
    <n v="3629"/>
    <n v="95"/>
    <s v="Benigno Paniagua (T)"/>
    <s v="SDO5"/>
    <n v="10"/>
    <n v="107"/>
    <s v="FAMILIA"/>
    <n v="6770651"/>
    <s v="CUIDADO FAMILIAR"/>
    <s v="Continental de Negocios"/>
    <s v="S2"/>
    <s v="Fernando Martinez (SDO)"/>
    <s v="P010"/>
    <s v="Santo Domingo Oeste"/>
    <s v="E310000011687"/>
    <n v="0"/>
    <n v="0"/>
    <s v="NULL"/>
    <s v="NULL"/>
    <n v="0"/>
    <n v="0"/>
    <s v="CONTADO                                           "/>
    <n v="13"/>
    <n v="6231195"/>
    <s v="Almacenes"/>
    <s v="General"/>
  </r>
  <r>
    <n v="254"/>
    <s v="A Grande"/>
    <n v="3"/>
    <n v="6233091"/>
    <s v="Santo Muñoz de Paula"/>
    <s v="Logistica y Distribucion"/>
    <n v="10062000"/>
    <d v="2026-02-20T00:00:00"/>
    <d v="2026-02-20T00:00:00"/>
    <n v="2026"/>
    <n v="2"/>
    <s v="T1"/>
    <n v="1"/>
    <s v="General"/>
    <s v="Santo Domnigo"/>
    <s v="NULL"/>
    <s v="NULL"/>
    <n v="8"/>
    <n v="20"/>
    <n v="5474"/>
    <n v="3"/>
    <s v="C005474"/>
    <s v="Mini Market Gracia Divina"/>
    <s v="MINI MARKET"/>
    <s v="Jueves"/>
    <s v="SinAsignar"/>
    <n v="70"/>
    <x v="20"/>
    <s v="V611055"/>
    <x v="20"/>
    <n v="2"/>
    <n v="8"/>
    <n v="78.319999999999993"/>
    <n v="0"/>
    <n v="0"/>
    <n v="0"/>
    <n v="112.78"/>
    <n v="626.55999999999995"/>
    <n v="739"/>
    <n v="94"/>
    <s v="Vicente Cruz"/>
    <s v="SDO6"/>
    <n v="10"/>
    <n v="114"/>
    <s v="BLANCOX"/>
    <n v="66102"/>
    <s v="BLANCOX BOTELLA"/>
    <s v="Brinsa Dominicana"/>
    <s v="S2"/>
    <s v="Fernando Martinez (SDO)"/>
    <s v="P009"/>
    <s v="Santo Domingo Oeste"/>
    <s v="E310000011879"/>
    <n v="0"/>
    <n v="0"/>
    <s v="NULL"/>
    <s v="NULL"/>
    <n v="0"/>
    <n v="0"/>
    <s v="CONTADO                                           "/>
    <n v="13"/>
    <n v="6233091"/>
    <s v="Almacenes"/>
    <s v="General"/>
  </r>
  <r>
    <n v="270"/>
    <s v="A Grande"/>
    <n v="3"/>
    <n v="6233248"/>
    <s v="Pablo Garrido Cabrera"/>
    <s v="Logistica y Distribucion"/>
    <n v="10062157"/>
    <d v="2026-02-20T00:00:00"/>
    <d v="2026-02-20T00:00:00"/>
    <n v="2026"/>
    <n v="2"/>
    <s v="T1"/>
    <n v="1"/>
    <s v="General"/>
    <s v="Santo Domnigo"/>
    <s v="NULL"/>
    <s v="NULL"/>
    <n v="8"/>
    <n v="20"/>
    <n v="2280"/>
    <n v="3"/>
    <s v="C002280"/>
    <s v="Mini Market Familiar"/>
    <s v="MINI MARKET"/>
    <s v="Miércoles"/>
    <s v="Miércoles"/>
    <n v="14"/>
    <x v="16"/>
    <s v="V103001"/>
    <x v="16"/>
    <n v="0.16666666666666"/>
    <n v="8"/>
    <n v="0"/>
    <n v="0"/>
    <n v="0"/>
    <n v="0"/>
    <n v="0"/>
    <n v="0"/>
    <n v="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147048"/>
    <n v="0"/>
    <n v="1"/>
    <n v="3374"/>
    <s v="Papel Higienico Familia 24 UND +4UND  Papeles Familia de Ofertas"/>
    <n v="0"/>
    <n v="0"/>
    <s v="CONTADO                                           "/>
    <n v="13"/>
    <n v="6233248"/>
    <s v="Almacenes"/>
    <s v="General"/>
  </r>
  <r>
    <n v="270"/>
    <s v="A Grande"/>
    <n v="3"/>
    <n v="6233248"/>
    <s v="Pablo Garrido Cabrera"/>
    <s v="Logistica y Distribucion"/>
    <n v="10062157"/>
    <d v="2026-02-20T00:00:00"/>
    <d v="2026-02-20T00:00:00"/>
    <n v="2026"/>
    <n v="2"/>
    <s v="T1"/>
    <n v="1"/>
    <s v="Alimentos - Espejo"/>
    <s v="Santo Domnigo"/>
    <s v="NULL"/>
    <s v="NULL"/>
    <n v="8"/>
    <n v="20"/>
    <n v="2280"/>
    <n v="3"/>
    <s v="C002280"/>
    <s v="Mini Market Familiar"/>
    <s v="MINI MARKET"/>
    <s v="Miércoles"/>
    <s v="Miércoles"/>
    <n v="14"/>
    <x v="24"/>
    <s v="V930012"/>
    <x v="24"/>
    <n v="0.1875"/>
    <n v="3"/>
    <n v="91.09"/>
    <n v="0"/>
    <n v="0"/>
    <n v="0"/>
    <n v="49.19"/>
    <n v="273.27"/>
    <n v="322"/>
    <n v="93"/>
    <s v="Junior M. Ramos (Isaac Maria)"/>
    <s v="DN7"/>
    <n v="10"/>
    <n v="208"/>
    <s v="CARAMELOS DUROS"/>
    <n v="0"/>
    <s v="NULL"/>
    <s v="COLOMBINA"/>
    <s v="S5"/>
    <s v="Fernando Martinez  (DN)"/>
    <s v="P007"/>
    <s v="Distrito Nacional"/>
    <s v="E320000147048"/>
    <n v="0"/>
    <n v="0"/>
    <s v="NULL"/>
    <s v="NULL"/>
    <n v="0"/>
    <n v="0"/>
    <s v="CONTADO                                           "/>
    <n v="13"/>
    <n v="6233248"/>
    <s v="Almacenes"/>
    <s v="General"/>
  </r>
  <r>
    <n v="270"/>
    <s v="A Grande"/>
    <n v="3"/>
    <n v="6233248"/>
    <s v="Pablo Garrido Cabrera"/>
    <s v="Logistica y Distribucion"/>
    <n v="10062157"/>
    <d v="2026-02-20T00:00:00"/>
    <d v="2026-02-20T00:00:00"/>
    <n v="2026"/>
    <n v="2"/>
    <s v="T1"/>
    <n v="1"/>
    <s v="General"/>
    <s v="Santo Domnigo"/>
    <s v="NULL"/>
    <s v="NULL"/>
    <n v="8"/>
    <n v="20"/>
    <n v="2280"/>
    <n v="3"/>
    <s v="C002280"/>
    <s v="Mini Market Familiar"/>
    <s v="MINI MARKET"/>
    <s v="Miércoles"/>
    <s v="Miércoles"/>
    <n v="14"/>
    <x v="16"/>
    <s v="V103001"/>
    <x v="16"/>
    <n v="1"/>
    <n v="48"/>
    <n v="21.36"/>
    <n v="0"/>
    <n v="0"/>
    <n v="0"/>
    <n v="184.55"/>
    <n v="1025.28"/>
    <n v="121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147048"/>
    <n v="0"/>
    <n v="0"/>
    <s v="NULL"/>
    <s v="NULL"/>
    <n v="0"/>
    <n v="0"/>
    <s v="CONTADO                                           "/>
    <n v="13"/>
    <n v="6233248"/>
    <s v="Almacenes"/>
    <s v="General"/>
  </r>
  <r>
    <n v="270"/>
    <s v="A Grande"/>
    <n v="3"/>
    <n v="6233249"/>
    <s v="Pablo Garrido Cabrera"/>
    <s v="Logistica y Distribucion"/>
    <n v="10062158"/>
    <d v="2026-02-20T00:00:00"/>
    <d v="2026-02-20T00:00:00"/>
    <n v="2026"/>
    <n v="2"/>
    <s v="T1"/>
    <n v="1"/>
    <s v="General"/>
    <s v="Santo Domnigo"/>
    <s v="NULL"/>
    <s v="NULL"/>
    <n v="8"/>
    <n v="20"/>
    <n v="2280"/>
    <n v="3"/>
    <s v="C002280"/>
    <s v="Mini Market Familiar"/>
    <s v="MINI MARKET"/>
    <s v="Miércoles"/>
    <s v="Miércoles"/>
    <n v="14"/>
    <x v="16"/>
    <s v="V103001"/>
    <x v="16"/>
    <n v="1"/>
    <n v="48"/>
    <n v="21.36"/>
    <n v="0"/>
    <n v="0"/>
    <n v="0"/>
    <n v="184.55"/>
    <n v="1025.28"/>
    <n v="121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147049"/>
    <n v="0"/>
    <n v="0"/>
    <s v="NULL"/>
    <s v="NULL"/>
    <n v="0"/>
    <n v="0"/>
    <s v="CONTADO                                           "/>
    <n v="13"/>
    <n v="6233249"/>
    <s v="Almacenes"/>
    <s v="General"/>
  </r>
  <r>
    <n v="270"/>
    <s v="A Grande"/>
    <n v="3"/>
    <n v="6233249"/>
    <s v="Pablo Garrido Cabrera"/>
    <s v="Logistica y Distribucion"/>
    <n v="10062158"/>
    <d v="2026-02-20T00:00:00"/>
    <d v="2026-02-20T00:00:00"/>
    <n v="2026"/>
    <n v="2"/>
    <s v="T1"/>
    <n v="1"/>
    <s v="General"/>
    <s v="Santo Domnigo"/>
    <s v="NULL"/>
    <s v="NULL"/>
    <n v="8"/>
    <n v="20"/>
    <n v="2280"/>
    <n v="3"/>
    <s v="C002280"/>
    <s v="Mini Market Familiar"/>
    <s v="MINI MARKET"/>
    <s v="Miércoles"/>
    <s v="Miércoles"/>
    <n v="14"/>
    <x v="16"/>
    <s v="V103001"/>
    <x v="16"/>
    <n v="0.16666666666666"/>
    <n v="8"/>
    <n v="0"/>
    <n v="0"/>
    <n v="0"/>
    <n v="0"/>
    <n v="0"/>
    <n v="0"/>
    <n v="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147049"/>
    <n v="0"/>
    <n v="1"/>
    <n v="3374"/>
    <s v="Papel Higienico Familia 24 UND +4UND  Papeles Familia de Ofertas"/>
    <n v="0"/>
    <n v="0"/>
    <s v="CONTADO                                           "/>
    <n v="13"/>
    <n v="6233249"/>
    <s v="Almacenes"/>
    <s v="General"/>
  </r>
  <r>
    <n v="242"/>
    <s v="A Grande"/>
    <n v="3"/>
    <n v="6235750"/>
    <s v="Agustin Luna Valdez"/>
    <s v="Logistica y Distribucion"/>
    <n v="10064659"/>
    <d v="2026-02-21T00:00:00"/>
    <d v="2026-02-21T00:00:00"/>
    <n v="2026"/>
    <n v="2"/>
    <s v="T1"/>
    <n v="1"/>
    <s v="General"/>
    <s v="Santo Domnigo"/>
    <s v="NULL"/>
    <s v="NULL"/>
    <n v="8"/>
    <n v="21"/>
    <n v="2280"/>
    <n v="3"/>
    <s v="C002280"/>
    <s v="Mini Market Familiar"/>
    <s v="MINI MARKET"/>
    <s v="Miércoles"/>
    <s v="Miércoles"/>
    <n v="14"/>
    <x v="28"/>
    <s v="V101028"/>
    <x v="28"/>
    <n v="1"/>
    <n v="18"/>
    <n v="98.4"/>
    <n v="0"/>
    <n v="0"/>
    <n v="0"/>
    <n v="318.82"/>
    <n v="1771.2"/>
    <n v="2090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49584"/>
    <n v="0"/>
    <n v="0"/>
    <s v="NULL"/>
    <s v="NULL"/>
    <n v="0"/>
    <n v="0"/>
    <s v="CONTADO                                           "/>
    <n v="13"/>
    <n v="6235750"/>
    <s v="Almacenes"/>
    <s v="General"/>
  </r>
  <r>
    <n v="242"/>
    <s v="A Grande"/>
    <n v="3"/>
    <n v="6235750"/>
    <s v="Agustin Luna Valdez"/>
    <s v="Logistica y Distribucion"/>
    <n v="10064659"/>
    <d v="2026-02-21T00:00:00"/>
    <d v="2026-02-21T00:00:00"/>
    <n v="2026"/>
    <n v="2"/>
    <s v="T1"/>
    <n v="1"/>
    <s v="General"/>
    <s v="Santo Domnigo"/>
    <s v="NULL"/>
    <s v="NULL"/>
    <n v="8"/>
    <n v="21"/>
    <n v="2280"/>
    <n v="3"/>
    <s v="C002280"/>
    <s v="Mini Market Familiar"/>
    <s v="MINI MARKET"/>
    <s v="Miércoles"/>
    <s v="Miércoles"/>
    <n v="14"/>
    <x v="26"/>
    <s v="V101005"/>
    <x v="26"/>
    <n v="1"/>
    <n v="30"/>
    <n v="73.41"/>
    <n v="0"/>
    <n v="0"/>
    <n v="0"/>
    <n v="396.41"/>
    <n v="2202.3000000000002"/>
    <n v="2599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49584"/>
    <n v="0"/>
    <n v="0"/>
    <s v="NULL"/>
    <s v="NULL"/>
    <n v="0"/>
    <n v="0"/>
    <s v="CONTADO                                           "/>
    <n v="13"/>
    <n v="6235750"/>
    <s v="Almacenes"/>
    <s v="General"/>
  </r>
  <r>
    <n v="109"/>
    <s v="A Grande"/>
    <n v="3"/>
    <n v="6237373"/>
    <s v="Tony Vallejo"/>
    <s v="Logistica y Distribucion"/>
    <n v="10066282"/>
    <d v="2026-02-23T00:00:00"/>
    <d v="2026-02-23T00:00:00"/>
    <n v="2026"/>
    <n v="2"/>
    <s v="T1"/>
    <n v="1"/>
    <s v="General"/>
    <s v="Santo Domnigo"/>
    <s v="NULL"/>
    <s v="NULL"/>
    <n v="9"/>
    <n v="23"/>
    <n v="2280"/>
    <n v="3"/>
    <s v="C002280"/>
    <s v="Mini Market Familiar"/>
    <s v="MINI MARKET"/>
    <s v="Miércoles"/>
    <s v="Miércoles"/>
    <n v="14"/>
    <x v="13"/>
    <s v="v101038"/>
    <x v="13"/>
    <n v="0.2"/>
    <n v="2"/>
    <n v="357.83"/>
    <n v="0"/>
    <n v="0"/>
    <n v="0"/>
    <n v="128.82"/>
    <n v="715.66"/>
    <n v="844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51126"/>
    <n v="0"/>
    <n v="0"/>
    <s v="NULL"/>
    <s v="NULL"/>
    <n v="0"/>
    <n v="0"/>
    <s v="CONTADO                                           "/>
    <n v="13"/>
    <n v="6237373"/>
    <s v="Almacenes"/>
    <s v="General"/>
  </r>
  <r>
    <n v="109"/>
    <s v="A Grande"/>
    <n v="3"/>
    <n v="6237373"/>
    <s v="Tony Vallejo"/>
    <s v="Logistica y Distribucion"/>
    <n v="10066282"/>
    <d v="2026-02-23T00:00:00"/>
    <d v="2026-02-23T00:00:00"/>
    <n v="2026"/>
    <n v="2"/>
    <s v="T1"/>
    <n v="1"/>
    <s v="General"/>
    <s v="Santo Domnigo"/>
    <s v="NULL"/>
    <s v="NULL"/>
    <n v="9"/>
    <n v="23"/>
    <n v="2280"/>
    <n v="3"/>
    <s v="C002280"/>
    <s v="Mini Market Familiar"/>
    <s v="MINI MARKET"/>
    <s v="Miércoles"/>
    <s v="Miércoles"/>
    <n v="14"/>
    <x v="28"/>
    <s v="V101028"/>
    <x v="28"/>
    <n v="0.44444444444443998"/>
    <n v="8"/>
    <n v="98.4"/>
    <n v="0"/>
    <n v="0"/>
    <n v="0"/>
    <n v="141.69999999999999"/>
    <n v="787.2"/>
    <n v="929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51126"/>
    <n v="0"/>
    <n v="0"/>
    <s v="NULL"/>
    <s v="NULL"/>
    <n v="0"/>
    <n v="0"/>
    <s v="CONTADO                                           "/>
    <n v="13"/>
    <n v="6237373"/>
    <s v="Almacenes"/>
    <s v="General"/>
  </r>
  <r>
    <n v="109"/>
    <s v="A Grande"/>
    <n v="3"/>
    <n v="6237373"/>
    <s v="Tony Vallejo"/>
    <s v="Logistica y Distribucion"/>
    <n v="10066282"/>
    <d v="2026-02-23T00:00:00"/>
    <d v="2026-02-23T00:00:00"/>
    <n v="2026"/>
    <n v="2"/>
    <s v="T1"/>
    <n v="1"/>
    <s v="General"/>
    <s v="Santo Domnigo"/>
    <s v="NULL"/>
    <s v="NULL"/>
    <n v="9"/>
    <n v="23"/>
    <n v="2280"/>
    <n v="3"/>
    <s v="C002280"/>
    <s v="Mini Market Familiar"/>
    <s v="MINI MARKET"/>
    <s v="Miércoles"/>
    <s v="Miércoles"/>
    <n v="14"/>
    <x v="9"/>
    <s v="V201001"/>
    <x v="9"/>
    <n v="2"/>
    <n v="2"/>
    <n v="221.67"/>
    <n v="0"/>
    <n v="0"/>
    <n v="0"/>
    <n v="79.8"/>
    <n v="443.34"/>
    <n v="523"/>
    <n v="93"/>
    <s v="Junior M. Ramos (Isaac Maria)"/>
    <s v="DN7"/>
    <n v="10"/>
    <n v="113"/>
    <s v="REFISAL"/>
    <n v="82101"/>
    <s v="REFISAL PACA"/>
    <s v="Brinsa Dominicana"/>
    <s v="S5"/>
    <s v="Fernando Martinez  (DN)"/>
    <s v="P007"/>
    <s v="Distrito Nacional"/>
    <s v="E320000151126"/>
    <n v="0"/>
    <n v="0"/>
    <s v="NULL"/>
    <s v="NULL"/>
    <n v="0"/>
    <n v="0"/>
    <s v="CONTADO                                           "/>
    <n v="13"/>
    <n v="6237373"/>
    <s v="Almacenes"/>
    <s v="General"/>
  </r>
  <r>
    <n v="109"/>
    <s v="A Grande"/>
    <n v="3"/>
    <n v="6237373"/>
    <s v="Tony Vallejo"/>
    <s v="Logistica y Distribucion"/>
    <n v="10066282"/>
    <d v="2026-02-23T00:00:00"/>
    <d v="2026-02-23T00:00:00"/>
    <n v="2026"/>
    <n v="2"/>
    <s v="T1"/>
    <n v="1"/>
    <s v="General"/>
    <s v="Santo Domnigo"/>
    <s v="NULL"/>
    <s v="NULL"/>
    <n v="9"/>
    <n v="23"/>
    <n v="2280"/>
    <n v="3"/>
    <s v="C002280"/>
    <s v="Mini Market Familiar"/>
    <s v="MINI MARKET"/>
    <s v="Miércoles"/>
    <s v="Miércoles"/>
    <n v="14"/>
    <x v="16"/>
    <s v="V103001"/>
    <x v="16"/>
    <n v="1"/>
    <n v="48"/>
    <n v="21.36"/>
    <n v="0"/>
    <n v="0"/>
    <n v="0"/>
    <n v="184.55"/>
    <n v="1025.28"/>
    <n v="121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151126"/>
    <n v="0"/>
    <n v="0"/>
    <s v="NULL"/>
    <s v="NULL"/>
    <n v="0"/>
    <n v="0"/>
    <s v="CONTADO                                           "/>
    <n v="13"/>
    <n v="6237373"/>
    <s v="Almacenes"/>
    <s v="General"/>
  </r>
  <r>
    <n v="109"/>
    <s v="A Grande"/>
    <n v="3"/>
    <n v="6237373"/>
    <s v="Tony Vallejo"/>
    <s v="Logistica y Distribucion"/>
    <n v="10066282"/>
    <d v="2026-02-23T00:00:00"/>
    <d v="2026-02-23T00:00:00"/>
    <n v="2026"/>
    <n v="2"/>
    <s v="T1"/>
    <n v="1"/>
    <s v="General"/>
    <s v="Santo Domnigo"/>
    <s v="NULL"/>
    <s v="NULL"/>
    <n v="9"/>
    <n v="23"/>
    <n v="2280"/>
    <n v="3"/>
    <s v="C002280"/>
    <s v="Mini Market Familiar"/>
    <s v="MINI MARKET"/>
    <s v="Miércoles"/>
    <s v="Miércoles"/>
    <n v="14"/>
    <x v="16"/>
    <s v="V103001"/>
    <x v="16"/>
    <n v="0.16666666666666"/>
    <n v="8"/>
    <n v="0"/>
    <n v="0"/>
    <n v="0"/>
    <n v="0"/>
    <n v="0"/>
    <n v="0"/>
    <n v="0"/>
    <n v="93"/>
    <s v="Junior M. Ramos (Isaac Maria)"/>
    <s v="DN7"/>
    <n v="10"/>
    <n v="107"/>
    <s v="FAMILIA"/>
    <n v="6770651"/>
    <s v="CUIDADO FAMILIAR"/>
    <s v="Continental de Negocios"/>
    <s v="S5"/>
    <s v="Fernando Martinez  (DN)"/>
    <s v="P007"/>
    <s v="Distrito Nacional"/>
    <s v="E320000151126"/>
    <n v="0"/>
    <n v="1"/>
    <n v="3374"/>
    <s v="Papel Higienico Familia 24 UND +4UND  Papeles Familia de Ofertas"/>
    <n v="0"/>
    <n v="0"/>
    <s v="CONTADO                                           "/>
    <n v="13"/>
    <n v="6237373"/>
    <s v="Almacenes"/>
    <s v="General"/>
  </r>
  <r>
    <n v="242"/>
    <s v="A Grande"/>
    <n v="3"/>
    <n v="6241726"/>
    <s v="Agustin Luna Valdez"/>
    <s v="Logistica y Distribucion"/>
    <n v="10070635"/>
    <d v="2026-02-25T00:00:00"/>
    <d v="2026-02-25T00:00:00"/>
    <n v="2026"/>
    <n v="2"/>
    <s v="T1"/>
    <n v="1"/>
    <s v="General"/>
    <s v="Santo Domnigo"/>
    <s v="NULL"/>
    <s v="NULL"/>
    <n v="9"/>
    <n v="25"/>
    <n v="2280"/>
    <n v="3"/>
    <s v="C002280"/>
    <s v="Mini Market Familiar"/>
    <s v="MINI MARKET"/>
    <s v="Miércoles"/>
    <s v="Miércoles"/>
    <n v="14"/>
    <x v="13"/>
    <s v="v101038"/>
    <x v="13"/>
    <n v="0.2"/>
    <n v="2"/>
    <n v="357.83"/>
    <n v="0"/>
    <n v="0"/>
    <n v="0"/>
    <n v="128.82"/>
    <n v="715.66"/>
    <n v="844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55232"/>
    <n v="0"/>
    <n v="0"/>
    <s v="NULL"/>
    <s v="NULL"/>
    <n v="0"/>
    <n v="0"/>
    <s v="CONTADO                                           "/>
    <n v="13"/>
    <n v="6241726"/>
    <s v="Almacenes"/>
    <s v="General"/>
  </r>
  <r>
    <n v="242"/>
    <s v="A Grande"/>
    <n v="3"/>
    <n v="6241726"/>
    <s v="Agustin Luna Valdez"/>
    <s v="Logistica y Distribucion"/>
    <n v="10070635"/>
    <d v="2026-02-25T00:00:00"/>
    <d v="2026-02-25T00:00:00"/>
    <n v="2026"/>
    <n v="2"/>
    <s v="T1"/>
    <n v="1"/>
    <s v="General"/>
    <s v="Santo Domnigo"/>
    <s v="NULL"/>
    <s v="NULL"/>
    <n v="9"/>
    <n v="25"/>
    <n v="2280"/>
    <n v="3"/>
    <s v="C002280"/>
    <s v="Mini Market Familiar"/>
    <s v="MINI MARKET"/>
    <s v="Miércoles"/>
    <s v="Miércoles"/>
    <n v="14"/>
    <x v="14"/>
    <s v="V800088"/>
    <x v="14"/>
    <n v="0.125"/>
    <n v="1"/>
    <n v="349.28"/>
    <n v="0"/>
    <n v="0"/>
    <n v="0"/>
    <n v="62.87"/>
    <n v="349.28"/>
    <n v="412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55232"/>
    <n v="0"/>
    <n v="0"/>
    <s v="NULL"/>
    <s v="NULL"/>
    <n v="0"/>
    <n v="0"/>
    <s v="CONTADO                                           "/>
    <n v="13"/>
    <n v="6241726"/>
    <s v="Almacenes"/>
    <s v="General"/>
  </r>
  <r>
    <n v="242"/>
    <s v="A Grande"/>
    <n v="3"/>
    <n v="6241726"/>
    <s v="Agustin Luna Valdez"/>
    <s v="Logistica y Distribucion"/>
    <n v="10070635"/>
    <d v="2026-02-25T00:00:00"/>
    <d v="2026-02-25T00:00:00"/>
    <n v="2026"/>
    <n v="2"/>
    <s v="T1"/>
    <n v="1"/>
    <s v="General"/>
    <s v="Santo Domnigo"/>
    <s v="NULL"/>
    <s v="NULL"/>
    <n v="9"/>
    <n v="25"/>
    <n v="2280"/>
    <n v="3"/>
    <s v="C002280"/>
    <s v="Mini Market Familiar"/>
    <s v="MINI MARKET"/>
    <s v="Miércoles"/>
    <s v="Miércoles"/>
    <n v="14"/>
    <x v="19"/>
    <s v="V800089"/>
    <x v="19"/>
    <n v="0.25"/>
    <n v="2"/>
    <n v="349.28"/>
    <n v="0"/>
    <n v="0"/>
    <n v="0"/>
    <n v="125.74"/>
    <n v="698.56"/>
    <n v="824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55232"/>
    <n v="0"/>
    <n v="0"/>
    <s v="NULL"/>
    <s v="NULL"/>
    <n v="0"/>
    <n v="0"/>
    <s v="CONTADO                                           "/>
    <n v="13"/>
    <n v="6241726"/>
    <s v="Almacenes"/>
    <s v="General"/>
  </r>
  <r>
    <n v="242"/>
    <s v="A Grande"/>
    <n v="3"/>
    <n v="6241759"/>
    <s v="Agustin Luna Valdez"/>
    <s v="Logistica y Distribucion"/>
    <n v="10070668"/>
    <d v="2026-02-25T00:00:00"/>
    <d v="2026-02-25T00:00:00"/>
    <n v="2026"/>
    <n v="2"/>
    <s v="T1"/>
    <n v="1"/>
    <s v="General"/>
    <s v="Santo Domnigo"/>
    <s v="NULL"/>
    <s v="NULL"/>
    <n v="9"/>
    <n v="25"/>
    <n v="2280"/>
    <n v="3"/>
    <s v="C002280"/>
    <s v="Mini Market Familiar"/>
    <s v="MINI MARKET"/>
    <s v="Miércoles"/>
    <s v="Miércoles"/>
    <n v="14"/>
    <x v="9"/>
    <s v="V201001"/>
    <x v="9"/>
    <n v="10"/>
    <n v="10"/>
    <n v="221.67"/>
    <n v="0"/>
    <n v="0"/>
    <n v="0"/>
    <n v="399.01"/>
    <n v="2216.6999999999998"/>
    <n v="2616"/>
    <n v="93"/>
    <s v="Junior M. Ramos (Isaac Maria)"/>
    <s v="DN7"/>
    <n v="10"/>
    <n v="113"/>
    <s v="REFISAL"/>
    <n v="82101"/>
    <s v="REFISAL PACA"/>
    <s v="Brinsa Dominicana"/>
    <s v="S5"/>
    <s v="Fernando Martinez  (DN)"/>
    <s v="P007"/>
    <s v="Distrito Nacional"/>
    <s v="E320000155264"/>
    <n v="0"/>
    <n v="0"/>
    <s v="NULL"/>
    <s v="NULL"/>
    <n v="0"/>
    <n v="0"/>
    <s v="CONTADO                                           "/>
    <n v="13"/>
    <n v="6241759"/>
    <s v="Almacenes"/>
    <s v="General"/>
  </r>
  <r>
    <n v="242"/>
    <s v="A Grande"/>
    <n v="3"/>
    <n v="6241761"/>
    <s v="Agustin Luna Valdez"/>
    <s v="Logistica y Distribucion"/>
    <n v="10070670"/>
    <d v="2026-02-25T00:00:00"/>
    <d v="2026-02-25T00:00:00"/>
    <n v="2026"/>
    <n v="2"/>
    <s v="T1"/>
    <n v="1"/>
    <s v="General"/>
    <s v="Santo Domnigo"/>
    <s v="NULL"/>
    <s v="NULL"/>
    <n v="9"/>
    <n v="25"/>
    <n v="19291"/>
    <n v="3"/>
    <s v="C019291"/>
    <s v="Mini Market Isamal Comercial"/>
    <s v="MINI MARKET"/>
    <s v="Miércoles"/>
    <s v="Miércoles"/>
    <n v="8"/>
    <x v="53"/>
    <s v="V611306"/>
    <x v="53"/>
    <n v="1"/>
    <n v="1"/>
    <n v="838.98"/>
    <n v="0"/>
    <n v="0"/>
    <n v="0"/>
    <n v="151.02000000000001"/>
    <n v="838.98"/>
    <n v="990"/>
    <n v="4"/>
    <s v="Argelis Salvador (Bido)"/>
    <s v="DN2"/>
    <n v="10"/>
    <n v="118"/>
    <s v="SR. COMPADRE"/>
    <n v="8081801"/>
    <s v="TORBELLINO"/>
    <s v="F&amp;T Industries, SRL"/>
    <s v="S5"/>
    <s v="Fernando Martinez  (DN)"/>
    <s v="P003"/>
    <s v="Distrito Nacional"/>
    <s v="E320000155266"/>
    <n v="0"/>
    <n v="0"/>
    <s v="NULL"/>
    <s v="NULL"/>
    <n v="0"/>
    <n v="0"/>
    <s v="CONTADO                                           "/>
    <n v="13"/>
    <n v="6241761"/>
    <s v="Almacenes"/>
    <s v="General"/>
  </r>
  <r>
    <n v="242"/>
    <s v="A Grande"/>
    <n v="3"/>
    <n v="6241761"/>
    <s v="Agustin Luna Valdez"/>
    <s v="Logistica y Distribucion"/>
    <n v="10070670"/>
    <d v="2026-02-25T00:00:00"/>
    <d v="2026-02-25T00:00:00"/>
    <n v="2026"/>
    <n v="2"/>
    <s v="T1"/>
    <n v="1"/>
    <s v="General"/>
    <s v="Santo Domnigo"/>
    <s v="NULL"/>
    <s v="NULL"/>
    <n v="9"/>
    <n v="25"/>
    <n v="19291"/>
    <n v="3"/>
    <s v="C019291"/>
    <s v="Mini Market Isamal Comercial"/>
    <s v="MINI MARKET"/>
    <s v="Miércoles"/>
    <s v="Miércoles"/>
    <n v="8"/>
    <x v="25"/>
    <s v="V501000"/>
    <x v="25"/>
    <n v="10"/>
    <n v="40"/>
    <n v="114.4"/>
    <n v="0"/>
    <n v="0"/>
    <n v="0"/>
    <n v="823.68"/>
    <n v="4576"/>
    <n v="5400"/>
    <n v="4"/>
    <s v="Argelis Salvador (Bido)"/>
    <s v="DN2"/>
    <n v="10"/>
    <n v="114"/>
    <s v="BLANCOX"/>
    <n v="66101"/>
    <s v="BLANCOX SACHET"/>
    <s v="Brinsa Dominicana"/>
    <s v="S5"/>
    <s v="Fernando Martinez  (DN)"/>
    <s v="P003"/>
    <s v="Distrito Nacional"/>
    <s v="E320000155266"/>
    <n v="0"/>
    <n v="0"/>
    <s v="NULL"/>
    <s v="NULL"/>
    <n v="0"/>
    <n v="0"/>
    <s v="CONTADO                                           "/>
    <n v="13"/>
    <n v="6241761"/>
    <s v="Almacenes"/>
    <s v="General"/>
  </r>
  <r>
    <n v="283"/>
    <s v="A Grande"/>
    <n v="3"/>
    <n v="6243507"/>
    <s v="Jelyn Martinez Figueroa"/>
    <s v="Logistica y Distribucion"/>
    <n v="10072416"/>
    <d v="2026-02-26T00:00:00"/>
    <d v="2026-02-26T00:00:00"/>
    <n v="2026"/>
    <n v="2"/>
    <s v="T1"/>
    <n v="1"/>
    <s v="General"/>
    <s v="Santo Domnigo"/>
    <s v="NULL"/>
    <s v="NULL"/>
    <n v="9"/>
    <n v="26"/>
    <n v="37594"/>
    <n v="3"/>
    <s v="C037594"/>
    <s v="Mini Market El patron 3."/>
    <s v="MINI MARKET"/>
    <s v="Miércoles"/>
    <s v="Miércoles"/>
    <n v="72"/>
    <x v="9"/>
    <s v="V201001"/>
    <x v="9"/>
    <n v="25"/>
    <n v="25"/>
    <n v="212.8"/>
    <n v="0"/>
    <n v="0"/>
    <n v="0"/>
    <n v="957.6"/>
    <n v="5320"/>
    <n v="6278"/>
    <n v="95"/>
    <s v="Benigno Paniagua (T)"/>
    <s v="SDO5"/>
    <n v="10"/>
    <n v="113"/>
    <s v="REFISAL"/>
    <n v="82101"/>
    <s v="REFISAL PACA"/>
    <s v="Brinsa Dominicana"/>
    <s v="S2"/>
    <s v="Fernando Martinez (SDO)"/>
    <s v="P010"/>
    <s v="Santo Domingo Oeste"/>
    <s v="E310000012762"/>
    <n v="0"/>
    <n v="0"/>
    <s v="NULL"/>
    <s v="NULL"/>
    <n v="0"/>
    <n v="0"/>
    <s v="CONTADO                                           "/>
    <n v="13"/>
    <n v="6243507"/>
    <s v="Almacenes"/>
    <s v="General"/>
  </r>
  <r>
    <n v="254"/>
    <s v="A Grande"/>
    <n v="3"/>
    <n v="6245918"/>
    <s v="Santo Muñoz de Paula"/>
    <s v="Logistica y Distribucion"/>
    <n v="10074827"/>
    <d v="2026-02-27T00:00:00"/>
    <d v="2026-02-27T00:00:00"/>
    <n v="2026"/>
    <n v="2"/>
    <s v="T1"/>
    <n v="1"/>
    <s v="General"/>
    <s v="Santo Domnigo"/>
    <s v="NULL"/>
    <s v="NULL"/>
    <n v="9"/>
    <n v="27"/>
    <n v="5474"/>
    <n v="3"/>
    <s v="C005474"/>
    <s v="Mini Market Gracia Divina"/>
    <s v="MINI MARKET"/>
    <s v="Jueves"/>
    <s v="SinAsignar"/>
    <n v="70"/>
    <x v="9"/>
    <s v="V201001"/>
    <x v="9"/>
    <n v="26"/>
    <n v="26"/>
    <n v="212.8"/>
    <n v="0"/>
    <n v="0"/>
    <n v="0"/>
    <n v="995.9"/>
    <n v="5532.8"/>
    <n v="6529"/>
    <n v="94"/>
    <s v="Vicente Cruz"/>
    <s v="SDO6"/>
    <n v="10"/>
    <n v="113"/>
    <s v="REFISAL"/>
    <n v="82101"/>
    <s v="REFISAL PACA"/>
    <s v="Brinsa Dominicana"/>
    <s v="S2"/>
    <s v="Fernando Martinez (SDO)"/>
    <s v="P009"/>
    <s v="Santo Domingo Oeste"/>
    <s v="E310000012933"/>
    <n v="0"/>
    <n v="0"/>
    <s v="NULL"/>
    <s v="NULL"/>
    <n v="0"/>
    <n v="0"/>
    <s v="CONTADO                                           "/>
    <n v="13"/>
    <n v="6245918"/>
    <s v="Almacenes"/>
    <s v="General"/>
  </r>
  <r>
    <n v="254"/>
    <s v="A Grande"/>
    <n v="3"/>
    <n v="6245918"/>
    <s v="Santo Muñoz de Paula"/>
    <s v="Logistica y Distribucion"/>
    <n v="10074827"/>
    <d v="2026-02-27T00:00:00"/>
    <d v="2026-02-27T00:00:00"/>
    <n v="2026"/>
    <n v="2"/>
    <s v="T1"/>
    <n v="1"/>
    <s v="General"/>
    <s v="Santo Domnigo"/>
    <s v="NULL"/>
    <s v="NULL"/>
    <n v="9"/>
    <n v="27"/>
    <n v="5474"/>
    <n v="3"/>
    <s v="C005474"/>
    <s v="Mini Market Gracia Divina"/>
    <s v="MINI MARKET"/>
    <s v="Jueves"/>
    <s v="SinAsignar"/>
    <n v="70"/>
    <x v="54"/>
    <s v="V611049"/>
    <x v="54"/>
    <n v="1"/>
    <n v="24"/>
    <n v="27.76"/>
    <n v="0"/>
    <n v="0"/>
    <n v="0"/>
    <n v="119.92"/>
    <n v="666.24"/>
    <n v="786"/>
    <n v="94"/>
    <s v="Vicente Cruz"/>
    <s v="SDO6"/>
    <n v="10"/>
    <n v="113"/>
    <s v="REFISAL"/>
    <n v="82102"/>
    <s v="REFISAL POTE"/>
    <s v="Brinsa Dominicana"/>
    <s v="S2"/>
    <s v="Fernando Martinez (SDO)"/>
    <s v="P009"/>
    <s v="Santo Domingo Oeste"/>
    <s v="E310000012933"/>
    <n v="0"/>
    <n v="0"/>
    <s v="NULL"/>
    <s v="NULL"/>
    <n v="0"/>
    <n v="0"/>
    <s v="CONTADO                                           "/>
    <n v="13"/>
    <n v="6245918"/>
    <s v="Almacenes"/>
    <s v="General"/>
  </r>
  <r>
    <n v="223"/>
    <s v="A Grande"/>
    <n v="3"/>
    <n v="6246167"/>
    <s v="Martin Figueroa"/>
    <s v="Logistica y Distribucion"/>
    <n v="10075076"/>
    <d v="2026-02-27T00:00:00"/>
    <d v="2026-02-27T00:00:00"/>
    <n v="2026"/>
    <n v="2"/>
    <s v="T1"/>
    <n v="1"/>
    <s v="Alimentos - Espejo"/>
    <s v="Santo Domnigo"/>
    <s v="NULL"/>
    <s v="NULL"/>
    <n v="9"/>
    <n v="27"/>
    <n v="12191"/>
    <n v="3"/>
    <s v="C012191"/>
    <s v="Super Mercado La Ballena"/>
    <s v="SUPERMERCADO"/>
    <s v="Lunes"/>
    <s v="Lunes"/>
    <n v="91"/>
    <x v="12"/>
    <s v="V800791"/>
    <x v="12"/>
    <n v="0.16"/>
    <n v="4"/>
    <n v="153.11000000000001"/>
    <n v="0"/>
    <n v="0"/>
    <n v="0"/>
    <n v="110.24"/>
    <n v="612.44000000000005"/>
    <n v="723"/>
    <n v="91"/>
    <s v="Enrrique Morillo (DN)"/>
    <s v="DN6"/>
    <n v="10"/>
    <n v="207"/>
    <s v="BOLONES"/>
    <n v="65103"/>
    <s v="ALIMENTOS DULCES"/>
    <s v="COLOMBINA"/>
    <s v="S5"/>
    <s v="Fernando Martinez  (DN)"/>
    <s v="DN013"/>
    <s v="Distrito Nacional"/>
    <s v="E320000159386"/>
    <n v="0"/>
    <n v="0"/>
    <s v="NULL"/>
    <s v="NULL"/>
    <n v="0"/>
    <n v="0"/>
    <s v="CONTADO                                           "/>
    <n v="13"/>
    <n v="6246167"/>
    <s v="Almacenes"/>
    <s v="General"/>
  </r>
  <r>
    <n v="223"/>
    <s v="A Grande"/>
    <n v="3"/>
    <n v="6246167"/>
    <s v="Martin Figueroa"/>
    <s v="Logistica y Distribucion"/>
    <n v="10075076"/>
    <d v="2026-02-27T00:00:00"/>
    <d v="2026-02-27T00:00:00"/>
    <n v="2026"/>
    <n v="2"/>
    <s v="T1"/>
    <n v="1"/>
    <s v="Alimentos - Espejo"/>
    <s v="Santo Domnigo"/>
    <s v="NULL"/>
    <s v="NULL"/>
    <n v="9"/>
    <n v="27"/>
    <n v="12191"/>
    <n v="3"/>
    <s v="C012191"/>
    <s v="Super Mercado La Ballena"/>
    <s v="SUPERMERCADO"/>
    <s v="Lunes"/>
    <s v="Lunes"/>
    <n v="91"/>
    <x v="21"/>
    <s v="V800792"/>
    <x v="21"/>
    <n v="0.08"/>
    <n v="2"/>
    <n v="153.11000000000001"/>
    <n v="0"/>
    <n v="0"/>
    <n v="0"/>
    <n v="55.12"/>
    <n v="306.22000000000003"/>
    <n v="361"/>
    <n v="91"/>
    <s v="Enrrique Morillo (DN)"/>
    <s v="DN6"/>
    <n v="10"/>
    <n v="207"/>
    <s v="BOLONES"/>
    <n v="65103"/>
    <s v="ALIMENTOS DULCES"/>
    <s v="COLOMBINA"/>
    <s v="S5"/>
    <s v="Fernando Martinez  (DN)"/>
    <s v="DN013"/>
    <s v="Distrito Nacional"/>
    <s v="E320000159386"/>
    <n v="0"/>
    <n v="0"/>
    <s v="NULL"/>
    <s v="NULL"/>
    <n v="0"/>
    <n v="0"/>
    <s v="CONTADO                                           "/>
    <n v="13"/>
    <n v="6246167"/>
    <s v="Almacenes"/>
    <s v="General"/>
  </r>
  <r>
    <n v="223"/>
    <s v="A Grande"/>
    <n v="3"/>
    <n v="6248104"/>
    <s v="Martin Figueroa"/>
    <s v="Logistica y Distribucion"/>
    <n v="10077013"/>
    <d v="2026-02-28T00:00:00"/>
    <d v="2026-02-28T00:00:00"/>
    <n v="2026"/>
    <n v="2"/>
    <s v="T1"/>
    <n v="1"/>
    <s v="Alimentos - Espejo"/>
    <s v="Santo Domnigo"/>
    <s v="NULL"/>
    <s v="NULL"/>
    <n v="9"/>
    <n v="28"/>
    <n v="1019"/>
    <n v="3"/>
    <s v="C001019"/>
    <s v="Mini Market Shairelys SRL"/>
    <s v="MINI MARKET"/>
    <s v="Viernes"/>
    <s v="Viernes"/>
    <n v="60"/>
    <x v="55"/>
    <s v="V930121"/>
    <x v="55"/>
    <n v="0.33333333333332998"/>
    <n v="10"/>
    <n v="58.16"/>
    <n v="0"/>
    <n v="0"/>
    <n v="0"/>
    <n v="104.69"/>
    <n v="581.6"/>
    <n v="686"/>
    <n v="8"/>
    <s v="Daniel Gutierrez"/>
    <s v="DN3"/>
    <n v="10"/>
    <n v="209"/>
    <s v="PALETAS"/>
    <n v="0"/>
    <s v="NULL"/>
    <s v="COLOMBINA"/>
    <s v="S5"/>
    <s v="Fernando Martinez  (DN)"/>
    <s v="P016"/>
    <s v="Distrito Nacional"/>
    <s v="E310000013099"/>
    <n v="0"/>
    <n v="0"/>
    <s v="NULL"/>
    <s v="NULL"/>
    <n v="0"/>
    <n v="0"/>
    <s v="CONTADO                                           "/>
    <n v="13"/>
    <n v="6248104"/>
    <s v="Almacenes"/>
    <s v="General"/>
  </r>
  <r>
    <n v="223"/>
    <s v="A Grande"/>
    <n v="3"/>
    <n v="6248104"/>
    <s v="Martin Figueroa"/>
    <s v="Logistica y Distribucion"/>
    <n v="10077013"/>
    <d v="2026-02-28T00:00:00"/>
    <d v="2026-02-28T00:00:00"/>
    <n v="2026"/>
    <n v="2"/>
    <s v="T1"/>
    <n v="1"/>
    <s v="Alimentos - Espejo"/>
    <s v="Santo Domnigo"/>
    <s v="NULL"/>
    <s v="NULL"/>
    <n v="9"/>
    <n v="28"/>
    <n v="1019"/>
    <n v="3"/>
    <s v="C001019"/>
    <s v="Mini Market Shairelys SRL"/>
    <s v="MINI MARKET"/>
    <s v="Viernes"/>
    <s v="Viernes"/>
    <n v="60"/>
    <x v="22"/>
    <s v="V930025"/>
    <x v="22"/>
    <n v="0.27777777777777002"/>
    <n v="10"/>
    <n v="58.16"/>
    <n v="0"/>
    <n v="0"/>
    <n v="0"/>
    <n v="104.69"/>
    <n v="581.6"/>
    <n v="686"/>
    <n v="8"/>
    <s v="Daniel Gutierrez"/>
    <s v="DN3"/>
    <n v="10"/>
    <n v="209"/>
    <s v="PALETAS"/>
    <n v="0"/>
    <s v="NULL"/>
    <s v="COLOMBINA"/>
    <s v="S5"/>
    <s v="Fernando Martinez  (DN)"/>
    <s v="P016"/>
    <s v="Distrito Nacional"/>
    <s v="E310000013099"/>
    <n v="0"/>
    <n v="0"/>
    <s v="NULL"/>
    <s v="NULL"/>
    <n v="0"/>
    <n v="0"/>
    <s v="CONTADO                                           "/>
    <n v="13"/>
    <n v="6248104"/>
    <s v="Almacenes"/>
    <s v="General"/>
  </r>
  <r>
    <n v="223"/>
    <s v="A Grande"/>
    <n v="3"/>
    <n v="6248941"/>
    <s v="Martin Figueroa"/>
    <s v="Logistica y Distribucion"/>
    <n v="10077850"/>
    <d v="2026-02-28T00:00:00"/>
    <d v="2026-02-28T00:00:00"/>
    <n v="2026"/>
    <n v="2"/>
    <s v="T1"/>
    <n v="1"/>
    <s v="General"/>
    <s v="Santo Domnigo"/>
    <s v="NULL"/>
    <s v="NULL"/>
    <n v="9"/>
    <n v="28"/>
    <n v="12191"/>
    <n v="3"/>
    <s v="C012191"/>
    <s v="Super Mercado La Ballena"/>
    <s v="SUPERMERCADO"/>
    <s v="Lunes"/>
    <s v="Lunes"/>
    <n v="91"/>
    <x v="9"/>
    <s v="V201001"/>
    <x v="9"/>
    <n v="25"/>
    <n v="25"/>
    <n v="212.8"/>
    <n v="0"/>
    <n v="0"/>
    <n v="0"/>
    <n v="957.6"/>
    <n v="5320"/>
    <n v="6278"/>
    <n v="91"/>
    <s v="Enrrique Morillo (DN)"/>
    <s v="DN6"/>
    <n v="10"/>
    <n v="113"/>
    <s v="REFISAL"/>
    <n v="82101"/>
    <s v="REFISAL PACA"/>
    <s v="Brinsa Dominicana"/>
    <s v="S5"/>
    <s v="Fernando Martinez  (DN)"/>
    <s v="DN013"/>
    <s v="Distrito Nacional"/>
    <s v="E320000161974"/>
    <n v="0"/>
    <n v="0"/>
    <s v="NULL"/>
    <s v="NULL"/>
    <n v="0"/>
    <n v="0"/>
    <s v="CONTADO                                           "/>
    <n v="13"/>
    <n v="6248941"/>
    <s v="Almacenes"/>
    <s v="General"/>
  </r>
  <r>
    <n v="242"/>
    <s v="A Grande"/>
    <n v="3"/>
    <n v="6252504"/>
    <s v="Agustin Luna Valdez"/>
    <s v="Logistica y Distribucion"/>
    <n v="10081413"/>
    <d v="2026-03-03T00:00:00"/>
    <d v="2026-03-03T00:00:00"/>
    <n v="2026"/>
    <n v="3"/>
    <s v="T1"/>
    <n v="1"/>
    <s v="General"/>
    <s v="Santo Domnigo"/>
    <s v="NULL"/>
    <s v="NULL"/>
    <n v="10"/>
    <n v="3"/>
    <n v="14167"/>
    <n v="3"/>
    <s v="C014167"/>
    <s v="Mini Market Galvan"/>
    <s v="MINI MARKET"/>
    <s v="Lunes"/>
    <s v="Lunes"/>
    <n v="91"/>
    <x v="14"/>
    <s v="V800088"/>
    <x v="14"/>
    <n v="3"/>
    <n v="24"/>
    <n v="349.28"/>
    <n v="0"/>
    <n v="0"/>
    <n v="0"/>
    <n v="1508.89"/>
    <n v="8382.7199999999993"/>
    <n v="9892"/>
    <n v="3"/>
    <s v="Enmanuel Bido (Argelis)"/>
    <s v="DN1"/>
    <n v="10"/>
    <n v="105"/>
    <s v="NOSOTRAS"/>
    <n v="677001"/>
    <s v="CUIDADO FEMENINO"/>
    <s v="Continental de Negocios"/>
    <s v="S5"/>
    <s v="Fernando Martinez  (DN)"/>
    <s v="P005"/>
    <s v="Distrito Nacional"/>
    <s v="E320000165293"/>
    <n v="0"/>
    <n v="0"/>
    <s v="NULL"/>
    <s v="NULL"/>
    <n v="0"/>
    <n v="0"/>
    <s v="CONTADO                                           "/>
    <n v="13"/>
    <n v="6252504"/>
    <s v="Almacenes"/>
    <s v="General"/>
  </r>
  <r>
    <n v="223"/>
    <s v="A Grande"/>
    <n v="3"/>
    <n v="6254377"/>
    <s v="Martin Figueroa"/>
    <s v="Logistica y Distribucion"/>
    <n v="10083287"/>
    <d v="2026-03-04T00:00:00"/>
    <d v="2026-03-04T00:00:00"/>
    <n v="2026"/>
    <n v="3"/>
    <s v="T1"/>
    <n v="1"/>
    <s v="Alimentos - Espejo"/>
    <s v="Santo Domnigo"/>
    <s v="NULL"/>
    <s v="NULL"/>
    <n v="10"/>
    <n v="4"/>
    <n v="12191"/>
    <n v="3"/>
    <s v="C012191"/>
    <s v="Super Mercado La Ballena"/>
    <s v="SUPERMERCADO"/>
    <s v="Lunes"/>
    <s v="Lunes"/>
    <n v="91"/>
    <x v="12"/>
    <s v="V800791"/>
    <x v="12"/>
    <n v="1"/>
    <n v="25"/>
    <n v="153.11000000000001"/>
    <n v="0"/>
    <n v="0"/>
    <n v="0"/>
    <n v="689"/>
    <n v="3827.75"/>
    <n v="4517"/>
    <n v="91"/>
    <s v="Enrrique Morillo (DN)"/>
    <s v="DN6"/>
    <n v="10"/>
    <n v="207"/>
    <s v="BOLONES"/>
    <n v="65103"/>
    <s v="ALIMENTOS DULCES"/>
    <s v="COLOMBINA"/>
    <s v="S5"/>
    <s v="Fernando Martinez  (DN)"/>
    <s v="DN013"/>
    <s v="Distrito Nacional"/>
    <s v="E320000167081"/>
    <n v="0"/>
    <n v="0"/>
    <s v="NULL"/>
    <s v="NULL"/>
    <n v="0"/>
    <n v="0"/>
    <s v="CONTADO                                           "/>
    <n v="13"/>
    <n v="6254377"/>
    <s v="Almacenes"/>
    <s v="General"/>
  </r>
  <r>
    <n v="109"/>
    <s v="A Grande"/>
    <n v="3"/>
    <n v="6254525"/>
    <s v="Tony Vallejo"/>
    <s v="Logistica y Distribucion"/>
    <n v="10083435"/>
    <d v="2026-03-04T00:00:00"/>
    <d v="2026-03-04T00:00:00"/>
    <n v="2026"/>
    <n v="3"/>
    <s v="T1"/>
    <n v="1"/>
    <s v="General"/>
    <s v="Santo Domnigo"/>
    <s v="NULL"/>
    <s v="NULL"/>
    <n v="10"/>
    <n v="4"/>
    <n v="14167"/>
    <n v="3"/>
    <s v="C014167"/>
    <s v="Mini Market Galvan"/>
    <s v="MINI MARKET"/>
    <s v="Lunes"/>
    <s v="Lunes"/>
    <n v="91"/>
    <x v="13"/>
    <s v="v101038"/>
    <x v="13"/>
    <n v="1"/>
    <n v="10"/>
    <n v="357.83"/>
    <n v="0"/>
    <n v="0"/>
    <n v="0"/>
    <n v="644.09"/>
    <n v="3578.3"/>
    <n v="4222"/>
    <n v="3"/>
    <s v="Enmanuel Bido (Argelis)"/>
    <s v="DN1"/>
    <n v="10"/>
    <n v="105"/>
    <s v="NOSOTRAS"/>
    <n v="677001"/>
    <s v="CUIDADO FEMENINO"/>
    <s v="Continental de Negocios"/>
    <s v="S5"/>
    <s v="Fernando Martinez  (DN)"/>
    <s v="P005"/>
    <s v="Distrito Nacional"/>
    <s v="E320000167211"/>
    <n v="0"/>
    <n v="0"/>
    <s v="NULL"/>
    <s v="NULL"/>
    <n v="0"/>
    <n v="0"/>
    <s v="CONTADO                                           "/>
    <n v="13"/>
    <n v="6254525"/>
    <s v="Almacenes"/>
    <s v="General"/>
  </r>
  <r>
    <n v="242"/>
    <s v="A Grande"/>
    <n v="3"/>
    <n v="6254542"/>
    <s v="Agustin Luna Valdez"/>
    <s v="Logistica y Distribucion"/>
    <n v="10083452"/>
    <d v="2026-03-04T00:00:00"/>
    <d v="2026-03-04T00:00:00"/>
    <n v="2026"/>
    <n v="3"/>
    <s v="T1"/>
    <n v="1"/>
    <s v="General"/>
    <s v="Santo Domnigo"/>
    <s v="NULL"/>
    <s v="NULL"/>
    <n v="10"/>
    <n v="4"/>
    <n v="2280"/>
    <n v="3"/>
    <s v="C002280"/>
    <s v="Mini Market Familiar"/>
    <s v="MINI MARKET"/>
    <s v="Miércoles"/>
    <s v="Miércoles"/>
    <n v="14"/>
    <x v="2"/>
    <s v="V621045"/>
    <x v="2"/>
    <n v="1"/>
    <n v="12"/>
    <n v="161.94999999999999"/>
    <n v="0"/>
    <n v="0"/>
    <n v="0"/>
    <n v="349.81"/>
    <n v="1943.4"/>
    <n v="2293"/>
    <n v="93"/>
    <s v="Junior M. Ramos (Isaac Maria)"/>
    <s v="DN7"/>
    <n v="10"/>
    <n v="138"/>
    <s v="INSECTICIDAS"/>
    <n v="73101"/>
    <s v="INSECTICIDA BAIGON"/>
    <s v="Comercial Fila"/>
    <s v="S5"/>
    <s v="Fernando Martinez  (DN)"/>
    <s v="P007"/>
    <s v="Distrito Nacional"/>
    <s v="E320000167227"/>
    <n v="0"/>
    <n v="0"/>
    <s v="NULL"/>
    <s v="NULL"/>
    <n v="0"/>
    <n v="0"/>
    <s v="CONTADO                                           "/>
    <n v="13"/>
    <n v="6254542"/>
    <s v="Almacenes"/>
    <s v="General"/>
  </r>
  <r>
    <n v="242"/>
    <s v="A Grande"/>
    <n v="3"/>
    <n v="6254542"/>
    <s v="Agustin Luna Valdez"/>
    <s v="Logistica y Distribucion"/>
    <n v="10083452"/>
    <d v="2026-03-04T00:00:00"/>
    <d v="2026-03-04T00:00:00"/>
    <n v="2026"/>
    <n v="3"/>
    <s v="T1"/>
    <n v="1"/>
    <s v="General"/>
    <s v="Santo Domnigo"/>
    <s v="NULL"/>
    <s v="NULL"/>
    <n v="10"/>
    <n v="4"/>
    <n v="2280"/>
    <n v="3"/>
    <s v="C002280"/>
    <s v="Mini Market Familiar"/>
    <s v="MINI MARKET"/>
    <s v="Miércoles"/>
    <s v="Miércoles"/>
    <n v="14"/>
    <x v="28"/>
    <s v="V101028"/>
    <x v="28"/>
    <n v="1"/>
    <n v="18"/>
    <n v="98.4"/>
    <n v="0"/>
    <n v="0"/>
    <n v="0"/>
    <n v="318.82"/>
    <n v="1771.2"/>
    <n v="2090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167227"/>
    <n v="0"/>
    <n v="0"/>
    <s v="NULL"/>
    <s v="NULL"/>
    <n v="0"/>
    <n v="0"/>
    <s v="CONTADO                                           "/>
    <n v="13"/>
    <n v="6254542"/>
    <s v="Almacenes"/>
    <s v="General"/>
  </r>
  <r>
    <n v="242"/>
    <s v="A Grande"/>
    <n v="3"/>
    <n v="6254567"/>
    <s v="Agustin Luna Valdez"/>
    <s v="Logistica y Distribucion"/>
    <n v="10083477"/>
    <d v="2026-03-04T00:00:00"/>
    <d v="2026-03-04T00:00:00"/>
    <n v="2026"/>
    <n v="3"/>
    <s v="T1"/>
    <n v="1"/>
    <s v="General"/>
    <s v="Santo Domnigo"/>
    <s v="NULL"/>
    <s v="NULL"/>
    <n v="10"/>
    <n v="4"/>
    <n v="2280"/>
    <n v="3"/>
    <s v="C002280"/>
    <s v="Mini Market Familiar"/>
    <s v="MINI MARKET"/>
    <s v="Miércoles"/>
    <s v="Miércoles"/>
    <n v="14"/>
    <x v="9"/>
    <s v="V201001"/>
    <x v="9"/>
    <n v="5"/>
    <n v="5"/>
    <n v="221.67"/>
    <n v="0"/>
    <n v="0"/>
    <n v="0"/>
    <n v="199.5"/>
    <n v="1108.3499999999999"/>
    <n v="1308"/>
    <n v="93"/>
    <s v="Junior M. Ramos (Isaac Maria)"/>
    <s v="DN7"/>
    <n v="10"/>
    <n v="113"/>
    <s v="REFISAL"/>
    <n v="82101"/>
    <s v="REFISAL PACA"/>
    <s v="Brinsa Dominicana"/>
    <s v="S5"/>
    <s v="Fernando Martinez  (DN)"/>
    <s v="P007"/>
    <s v="Distrito Nacional"/>
    <s v="E320000167251"/>
    <n v="0"/>
    <n v="0"/>
    <s v="NULL"/>
    <s v="NULL"/>
    <n v="0"/>
    <n v="0"/>
    <s v="CONTADO                                           "/>
    <n v="13"/>
    <n v="6254567"/>
    <s v="Almacenes"/>
    <s v="General"/>
  </r>
  <r>
    <n v="242"/>
    <s v="A Grande"/>
    <n v="3"/>
    <n v="6254567"/>
    <s v="Agustin Luna Valdez"/>
    <s v="Logistica y Distribucion"/>
    <n v="10083477"/>
    <d v="2026-03-04T00:00:00"/>
    <d v="2026-03-04T00:00:00"/>
    <n v="2026"/>
    <n v="3"/>
    <s v="T1"/>
    <n v="1"/>
    <s v="General"/>
    <s v="Santo Domnigo"/>
    <s v="NULL"/>
    <s v="NULL"/>
    <n v="10"/>
    <n v="4"/>
    <n v="2280"/>
    <n v="3"/>
    <s v="C002280"/>
    <s v="Mini Market Familiar"/>
    <s v="MINI MARKET"/>
    <s v="Miércoles"/>
    <s v="Miércoles"/>
    <n v="14"/>
    <x v="2"/>
    <s v="V621045"/>
    <x v="2"/>
    <n v="1"/>
    <n v="12"/>
    <n v="161.94999999999999"/>
    <n v="0"/>
    <n v="0"/>
    <n v="0"/>
    <n v="349.81"/>
    <n v="1943.4"/>
    <n v="2293"/>
    <n v="93"/>
    <s v="Junior M. Ramos (Isaac Maria)"/>
    <s v="DN7"/>
    <n v="10"/>
    <n v="138"/>
    <s v="INSECTICIDAS"/>
    <n v="73101"/>
    <s v="INSECTICIDA BAIGON"/>
    <s v="Comercial Fila"/>
    <s v="S5"/>
    <s v="Fernando Martinez  (DN)"/>
    <s v="P007"/>
    <s v="Distrito Nacional"/>
    <s v="E320000167251"/>
    <n v="0"/>
    <n v="0"/>
    <s v="NULL"/>
    <s v="NULL"/>
    <n v="0"/>
    <n v="0"/>
    <s v="CONTADO                                           "/>
    <n v="13"/>
    <n v="6254567"/>
    <s v="Almacenes"/>
    <s v="General"/>
  </r>
  <r>
    <n v="242"/>
    <s v="A Grande"/>
    <n v="3"/>
    <n v="6254621"/>
    <s v="Agustin Luna Valdez"/>
    <s v="Logistica y Distribucion"/>
    <n v="10083531"/>
    <d v="2026-03-04T00:00:00"/>
    <d v="2026-03-04T00:00:00"/>
    <n v="2026"/>
    <n v="3"/>
    <s v="T1"/>
    <n v="1"/>
    <s v="General"/>
    <s v="Santo Domnigo"/>
    <s v="NULL"/>
    <s v="NULL"/>
    <n v="10"/>
    <n v="4"/>
    <n v="19291"/>
    <n v="3"/>
    <s v="C019291"/>
    <s v="Mini Market Isamal Comercial"/>
    <s v="MINI MARKET"/>
    <s v="Miércoles"/>
    <s v="Miércoles"/>
    <n v="8"/>
    <x v="25"/>
    <s v="V501000"/>
    <x v="25"/>
    <n v="10"/>
    <n v="40"/>
    <n v="113.26"/>
    <n v="0"/>
    <n v="0"/>
    <n v="0"/>
    <n v="815.47"/>
    <n v="4530.3999999999996"/>
    <n v="5346"/>
    <n v="4"/>
    <s v="Argelis Salvador (Bido)"/>
    <s v="DN2"/>
    <n v="10"/>
    <n v="114"/>
    <s v="BLANCOX"/>
    <n v="66101"/>
    <s v="BLANCOX SACHET"/>
    <s v="Brinsa Dominicana"/>
    <s v="S5"/>
    <s v="Fernando Martinez  (DN)"/>
    <s v="P003"/>
    <s v="Distrito Nacional"/>
    <s v="E320000167304"/>
    <n v="0"/>
    <n v="0"/>
    <s v="NULL"/>
    <s v="NULL"/>
    <n v="0"/>
    <n v="0"/>
    <s v="CONTADO                                           "/>
    <n v="13"/>
    <n v="6254621"/>
    <s v="Almacenes"/>
    <s v="General"/>
  </r>
  <r>
    <n v="242"/>
    <s v="A Grande"/>
    <n v="3"/>
    <n v="6254621"/>
    <s v="Agustin Luna Valdez"/>
    <s v="Logistica y Distribucion"/>
    <n v="10083531"/>
    <d v="2026-03-04T00:00:00"/>
    <d v="2026-03-04T00:00:00"/>
    <n v="2026"/>
    <n v="3"/>
    <s v="T1"/>
    <n v="1"/>
    <s v="General"/>
    <s v="Santo Domnigo"/>
    <s v="NULL"/>
    <s v="NULL"/>
    <n v="10"/>
    <n v="4"/>
    <n v="19291"/>
    <n v="3"/>
    <s v="C019291"/>
    <s v="Mini Market Isamal Comercial"/>
    <s v="MINI MARKET"/>
    <s v="Miércoles"/>
    <s v="Miércoles"/>
    <n v="8"/>
    <x v="9"/>
    <s v="V201001"/>
    <x v="9"/>
    <n v="26"/>
    <n v="26"/>
    <n v="210.59"/>
    <n v="0"/>
    <n v="0"/>
    <n v="0"/>
    <n v="985.56"/>
    <n v="5475.34"/>
    <n v="6461"/>
    <n v="4"/>
    <s v="Argelis Salvador (Bido)"/>
    <s v="DN2"/>
    <n v="10"/>
    <n v="113"/>
    <s v="REFISAL"/>
    <n v="82101"/>
    <s v="REFISAL PACA"/>
    <s v="Brinsa Dominicana"/>
    <s v="S5"/>
    <s v="Fernando Martinez  (DN)"/>
    <s v="P003"/>
    <s v="Distrito Nacional"/>
    <s v="E320000167304"/>
    <n v="0"/>
    <n v="0"/>
    <s v="NULL"/>
    <s v="NULL"/>
    <n v="0"/>
    <n v="0"/>
    <s v="CONTADO                                           "/>
    <n v="13"/>
    <n v="6254621"/>
    <s v="Almacenes"/>
    <s v="General"/>
  </r>
  <r>
    <n v="270"/>
    <s v="A Grande"/>
    <n v="3"/>
    <n v="6256763"/>
    <s v="Pablo Garrido Cabrera"/>
    <s v="Logistica y Distribucion"/>
    <n v="10085673"/>
    <d v="2026-03-05T00:00:00"/>
    <d v="2026-03-05T00:00:00"/>
    <n v="2026"/>
    <n v="3"/>
    <s v="T1"/>
    <n v="1"/>
    <s v="General"/>
    <s v="Santo Domnigo"/>
    <s v="NULL"/>
    <s v="NULL"/>
    <n v="10"/>
    <n v="5"/>
    <n v="37594"/>
    <n v="3"/>
    <s v="C037594"/>
    <s v="Mini Market El patron 3."/>
    <s v="MINI MARKET"/>
    <s v="Miércoles"/>
    <s v="Miércoles"/>
    <n v="72"/>
    <x v="16"/>
    <s v="V103001"/>
    <x v="16"/>
    <n v="0.5"/>
    <n v="24"/>
    <n v="0"/>
    <n v="0"/>
    <n v="0"/>
    <n v="0"/>
    <n v="0"/>
    <n v="0"/>
    <n v="0"/>
    <n v="95"/>
    <s v="Benigno Paniagua (T)"/>
    <s v="SDO5"/>
    <n v="10"/>
    <n v="107"/>
    <s v="FAMILIA"/>
    <n v="6770651"/>
    <s v="CUIDADO FAMILIAR"/>
    <s v="Continental de Negocios"/>
    <s v="S2"/>
    <s v="Fernando Martinez (SDO)"/>
    <s v="P010"/>
    <s v="Santo Domingo Oeste"/>
    <s v="E310000013870"/>
    <n v="0"/>
    <n v="1"/>
    <n v="3438"/>
    <s v="Papel Higienico Familia 24 UND +4UND  Papeles Familia de Ofertas"/>
    <n v="0"/>
    <n v="0"/>
    <s v="CONTADO                                           "/>
    <n v="13"/>
    <n v="6256763"/>
    <s v="Almacenes"/>
    <s v="General"/>
  </r>
  <r>
    <n v="270"/>
    <s v="A Grande"/>
    <n v="3"/>
    <n v="6256763"/>
    <s v="Pablo Garrido Cabrera"/>
    <s v="Logistica y Distribucion"/>
    <n v="10085673"/>
    <d v="2026-03-05T00:00:00"/>
    <d v="2026-03-05T00:00:00"/>
    <n v="2026"/>
    <n v="3"/>
    <s v="T1"/>
    <n v="1"/>
    <s v="General"/>
    <s v="Santo Domnigo"/>
    <s v="NULL"/>
    <s v="NULL"/>
    <n v="10"/>
    <n v="5"/>
    <n v="37594"/>
    <n v="3"/>
    <s v="C037594"/>
    <s v="Mini Market El patron 3."/>
    <s v="MINI MARKET"/>
    <s v="Miércoles"/>
    <s v="Miércoles"/>
    <n v="72"/>
    <x v="16"/>
    <s v="V103001"/>
    <x v="16"/>
    <n v="3"/>
    <n v="144"/>
    <n v="21.36"/>
    <n v="0"/>
    <n v="0"/>
    <n v="0"/>
    <n v="553.65"/>
    <n v="3075.84"/>
    <n v="3629"/>
    <n v="95"/>
    <s v="Benigno Paniagua (T)"/>
    <s v="SDO5"/>
    <n v="10"/>
    <n v="107"/>
    <s v="FAMILIA"/>
    <n v="6770651"/>
    <s v="CUIDADO FAMILIAR"/>
    <s v="Continental de Negocios"/>
    <s v="S2"/>
    <s v="Fernando Martinez (SDO)"/>
    <s v="P010"/>
    <s v="Santo Domingo Oeste"/>
    <s v="E310000013870"/>
    <n v="0"/>
    <n v="0"/>
    <s v="NULL"/>
    <s v="NULL"/>
    <n v="0"/>
    <n v="0"/>
    <s v="CONTADO                                           "/>
    <n v="13"/>
    <n v="6256763"/>
    <s v="Almacenes"/>
    <s v="General"/>
  </r>
  <r>
    <n v="125"/>
    <s v="A Grande"/>
    <n v="3"/>
    <n v="6257700"/>
    <s v="Juan Rosario"/>
    <s v="Logistica y Distribucion"/>
    <n v="10086610"/>
    <d v="2026-03-05T00:00:00"/>
    <d v="2026-03-05T00:00:00"/>
    <n v="2026"/>
    <n v="3"/>
    <s v="T1"/>
    <n v="1"/>
    <s v="General"/>
    <s v="Santo Domnigo"/>
    <s v="NULL"/>
    <s v="NULL"/>
    <n v="10"/>
    <n v="5"/>
    <n v="36908"/>
    <n v="3"/>
    <s v="c036908"/>
    <s v="Asociacion De Detallistas Unidos De Mendoza"/>
    <s v="SUPERMERCADO"/>
    <s v="Miércoles"/>
    <s v="Miércoles"/>
    <n v="11"/>
    <x v="9"/>
    <s v="V201001"/>
    <x v="9"/>
    <n v="125"/>
    <n v="125"/>
    <n v="208.37"/>
    <n v="0"/>
    <n v="0"/>
    <n v="0"/>
    <n v="4688.33"/>
    <n v="26046.25"/>
    <n v="30735"/>
    <n v="199"/>
    <s v="Giancarlo Tavarez"/>
    <s v="SDE2"/>
    <n v="10"/>
    <n v="113"/>
    <s v="REFISAL"/>
    <n v="82101"/>
    <s v="REFISAL PACA"/>
    <s v="Brinsa Dominicana"/>
    <s v="S1"/>
    <s v="Ramon E. Pimentel (SDE)"/>
    <s v="P206"/>
    <s v="Santo Domingo Este"/>
    <s v="E320000170290"/>
    <n v="0"/>
    <n v="0"/>
    <s v="NULL"/>
    <s v="NULL"/>
    <n v="0"/>
    <n v="0"/>
    <s v="CONTADO                                           "/>
    <n v="13"/>
    <n v="6257700"/>
    <s v="Almacenes"/>
    <s v="General"/>
  </r>
  <r>
    <n v="109"/>
    <s v="A Grande"/>
    <n v="3"/>
    <n v="6259866"/>
    <s v="Tony Vallejo"/>
    <s v="Logistica y Distribucion"/>
    <n v="10088776"/>
    <d v="2026-03-06T00:00:00"/>
    <d v="2026-03-06T00:00:00"/>
    <n v="2026"/>
    <n v="3"/>
    <s v="T1"/>
    <n v="1"/>
    <s v="General"/>
    <s v="Santo Domnigo"/>
    <s v="NULL"/>
    <s v="NULL"/>
    <n v="10"/>
    <n v="6"/>
    <n v="19291"/>
    <n v="3"/>
    <s v="C019291"/>
    <s v="Mini Market Isamal Comercial"/>
    <s v="MINI MARKET"/>
    <s v="Miércoles"/>
    <s v="Miércoles"/>
    <n v="8"/>
    <x v="13"/>
    <s v="v101038"/>
    <x v="13"/>
    <n v="1"/>
    <n v="10"/>
    <n v="363.99"/>
    <n v="0"/>
    <n v="0"/>
    <n v="0"/>
    <n v="655.17999999999995"/>
    <n v="3639.9"/>
    <n v="4295"/>
    <n v="4"/>
    <s v="Argelis Salvador (Bido)"/>
    <s v="DN2"/>
    <n v="10"/>
    <n v="105"/>
    <s v="NOSOTRAS"/>
    <n v="677001"/>
    <s v="CUIDADO FEMENINO"/>
    <s v="Continental de Negocios"/>
    <s v="S5"/>
    <s v="Fernando Martinez  (DN)"/>
    <s v="P003"/>
    <s v="Distrito Nacional"/>
    <s v="E320000172324"/>
    <n v="0"/>
    <n v="0"/>
    <s v="NULL"/>
    <s v="NULL"/>
    <n v="0"/>
    <n v="0"/>
    <s v="CONTADO                                           "/>
    <n v="13"/>
    <n v="6259866"/>
    <s v="Almacenes"/>
    <s v="General"/>
  </r>
  <r>
    <n v="223"/>
    <s v="A Grande"/>
    <n v="3"/>
    <n v="6262429"/>
    <s v="Martin Figueroa"/>
    <s v="Logistica y Distribucion"/>
    <n v="10091339"/>
    <d v="2026-03-07T00:00:00"/>
    <d v="2026-03-07T00:00:00"/>
    <n v="2026"/>
    <n v="3"/>
    <s v="T1"/>
    <n v="1"/>
    <s v="General"/>
    <s v="Santo Domnigo"/>
    <s v="NULL"/>
    <s v="NULL"/>
    <n v="10"/>
    <n v="7"/>
    <n v="1019"/>
    <n v="3"/>
    <s v="C001019"/>
    <s v="Mini Market Shairelys SRL"/>
    <s v="MINI MARKET"/>
    <s v="Viernes"/>
    <s v="Viernes"/>
    <n v="60"/>
    <x v="29"/>
    <s v="V101034"/>
    <x v="29"/>
    <n v="1"/>
    <n v="10"/>
    <n v="232"/>
    <n v="0"/>
    <n v="0"/>
    <n v="0"/>
    <n v="417.6"/>
    <n v="2320"/>
    <n v="2738"/>
    <n v="8"/>
    <s v="Daniel Gutierrez"/>
    <s v="DN3"/>
    <n v="10"/>
    <n v="136"/>
    <s v="NOSOTRAS DIARIOS"/>
    <n v="677001"/>
    <s v="CUIDADO FEMENINO"/>
    <s v="Continental de Negocios"/>
    <s v="S5"/>
    <s v="Fernando Martinez  (DN)"/>
    <s v="P016"/>
    <s v="Distrito Nacional"/>
    <s v="E310000014283"/>
    <n v="0"/>
    <n v="0"/>
    <s v="NULL"/>
    <s v="NULL"/>
    <n v="0"/>
    <n v="0"/>
    <s v="CONTADO                                           "/>
    <n v="13"/>
    <n v="6262429"/>
    <s v="Almacenes"/>
    <s v="General"/>
  </r>
  <r>
    <n v="223"/>
    <s v="A Grande"/>
    <n v="3"/>
    <n v="6262430"/>
    <s v="Martin Figueroa"/>
    <s v="Logistica y Distribucion"/>
    <n v="10091340"/>
    <d v="2026-03-07T00:00:00"/>
    <d v="2026-03-07T00:00:00"/>
    <n v="2026"/>
    <n v="3"/>
    <s v="T1"/>
    <n v="1"/>
    <s v="General"/>
    <s v="Santo Domnigo"/>
    <s v="NULL"/>
    <s v="NULL"/>
    <n v="10"/>
    <n v="7"/>
    <n v="29579"/>
    <n v="3"/>
    <s v="C029579"/>
    <s v="Mini Market  Shairelys"/>
    <s v="MINI MARKET"/>
    <s v="Viernes"/>
    <s v="Viernes"/>
    <n v="60"/>
    <x v="26"/>
    <s v="V101005"/>
    <x v="26"/>
    <n v="1"/>
    <n v="30"/>
    <n v="73.41"/>
    <n v="0"/>
    <n v="0"/>
    <n v="0"/>
    <n v="396.41"/>
    <n v="2202.3000000000002"/>
    <n v="2599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10000014284"/>
    <n v="0"/>
    <n v="0"/>
    <s v="NULL"/>
    <s v="NULL"/>
    <n v="0"/>
    <n v="0"/>
    <s v="CONTADO                                           "/>
    <n v="13"/>
    <n v="6262430"/>
    <s v="Almacenes"/>
    <s v="General"/>
  </r>
  <r>
    <n v="223"/>
    <s v="A Grande"/>
    <n v="3"/>
    <n v="6262445"/>
    <s v="Martin Figueroa"/>
    <s v="Logistica y Distribucion"/>
    <n v="10091355"/>
    <d v="2026-03-07T00:00:00"/>
    <d v="2026-03-07T00:00:00"/>
    <n v="2026"/>
    <n v="3"/>
    <s v="T1"/>
    <n v="1"/>
    <s v="General"/>
    <s v="Santo Domnigo"/>
    <s v="NULL"/>
    <s v="NULL"/>
    <n v="10"/>
    <n v="7"/>
    <n v="12191"/>
    <n v="3"/>
    <s v="C012191"/>
    <s v="Super Mercado La Ballena"/>
    <s v="SUPERMERCADO"/>
    <s v="Lunes"/>
    <s v="Lunes"/>
    <n v="91"/>
    <x v="20"/>
    <s v="V611055"/>
    <x v="20"/>
    <n v="0.25"/>
    <n v="1"/>
    <n v="78.319999999999993"/>
    <n v="0"/>
    <n v="0"/>
    <n v="0"/>
    <n v="14.1"/>
    <n v="78.319999999999993"/>
    <n v="92"/>
    <n v="91"/>
    <s v="Enrrique Morillo (DN)"/>
    <s v="DN6"/>
    <n v="10"/>
    <n v="114"/>
    <s v="BLANCOX"/>
    <n v="66102"/>
    <s v="BLANCOX BOTELLA"/>
    <s v="Brinsa Dominicana"/>
    <s v="S5"/>
    <s v="Fernando Martinez  (DN)"/>
    <s v="DN013"/>
    <s v="Distrito Nacional"/>
    <s v="E320000174788"/>
    <n v="0"/>
    <n v="0"/>
    <s v="NULL"/>
    <s v="NULL"/>
    <n v="0"/>
    <n v="0"/>
    <s v="CONTADO                                           "/>
    <n v="13"/>
    <n v="6262445"/>
    <s v="Almacenes"/>
    <s v="General"/>
  </r>
  <r>
    <n v="223"/>
    <s v="A Grande"/>
    <n v="3"/>
    <n v="6262445"/>
    <s v="Martin Figueroa"/>
    <s v="Logistica y Distribucion"/>
    <n v="10091355"/>
    <d v="2026-03-07T00:00:00"/>
    <d v="2026-03-07T00:00:00"/>
    <n v="2026"/>
    <n v="3"/>
    <s v="T1"/>
    <n v="1"/>
    <s v="General"/>
    <s v="Santo Domnigo"/>
    <s v="NULL"/>
    <s v="NULL"/>
    <n v="10"/>
    <n v="7"/>
    <n v="12191"/>
    <n v="3"/>
    <s v="C012191"/>
    <s v="Super Mercado La Ballena"/>
    <s v="SUPERMERCADO"/>
    <s v="Lunes"/>
    <s v="Lunes"/>
    <n v="91"/>
    <x v="0"/>
    <s v="V621008"/>
    <x v="0"/>
    <n v="8.3333333333329998E-2"/>
    <n v="1"/>
    <n v="186.87"/>
    <n v="0"/>
    <n v="0"/>
    <n v="0"/>
    <n v="33.64"/>
    <n v="186.87"/>
    <n v="221"/>
    <n v="91"/>
    <s v="Enrrique Morillo (DN)"/>
    <s v="DN6"/>
    <n v="10"/>
    <n v="138"/>
    <s v="INSECTICIDAS"/>
    <n v="73102"/>
    <s v="INSECTICIDA RAID"/>
    <s v="Comercial Fila"/>
    <s v="S5"/>
    <s v="Fernando Martinez  (DN)"/>
    <s v="DN013"/>
    <s v="Distrito Nacional"/>
    <s v="E320000174788"/>
    <n v="0"/>
    <n v="0"/>
    <s v="NULL"/>
    <s v="NULL"/>
    <n v="0"/>
    <n v="0"/>
    <s v="CONTADO                                           "/>
    <n v="13"/>
    <n v="6262445"/>
    <s v="Almacenes"/>
    <s v="General"/>
  </r>
  <r>
    <n v="223"/>
    <s v="A Grande"/>
    <n v="3"/>
    <n v="6262445"/>
    <s v="Martin Figueroa"/>
    <s v="Logistica y Distribucion"/>
    <n v="10091355"/>
    <d v="2026-03-07T00:00:00"/>
    <d v="2026-03-07T00:00:00"/>
    <n v="2026"/>
    <n v="3"/>
    <s v="T1"/>
    <n v="1"/>
    <s v="General"/>
    <s v="Santo Domnigo"/>
    <s v="NULL"/>
    <s v="NULL"/>
    <n v="10"/>
    <n v="7"/>
    <n v="12191"/>
    <n v="3"/>
    <s v="C012191"/>
    <s v="Super Mercado La Ballena"/>
    <s v="SUPERMERCADO"/>
    <s v="Lunes"/>
    <s v="Lunes"/>
    <n v="91"/>
    <x v="32"/>
    <s v="V621050"/>
    <x v="32"/>
    <n v="0.16666666666666"/>
    <n v="1"/>
    <n v="148.9"/>
    <n v="0"/>
    <n v="0"/>
    <n v="0"/>
    <n v="26.8"/>
    <n v="148.9"/>
    <n v="176"/>
    <n v="91"/>
    <s v="Enrrique Morillo (DN)"/>
    <s v="DN6"/>
    <n v="10"/>
    <n v="278"/>
    <s v="AMBIENTADORES"/>
    <n v="73103"/>
    <s v="GLADE"/>
    <s v="Comercial Fila"/>
    <s v="S5"/>
    <s v="Fernando Martinez  (DN)"/>
    <s v="DN013"/>
    <s v="Distrito Nacional"/>
    <s v="E320000174788"/>
    <n v="0"/>
    <n v="0"/>
    <s v="NULL"/>
    <s v="NULL"/>
    <n v="0"/>
    <n v="0"/>
    <s v="CONTADO                                           "/>
    <n v="13"/>
    <n v="6262445"/>
    <s v="Almacenes"/>
    <s v="General"/>
  </r>
  <r>
    <n v="223"/>
    <s v="A Grande"/>
    <n v="3"/>
    <n v="6262445"/>
    <s v="Martin Figueroa"/>
    <s v="Logistica y Distribucion"/>
    <n v="10091355"/>
    <d v="2026-03-07T00:00:00"/>
    <d v="2026-03-07T00:00:00"/>
    <n v="2026"/>
    <n v="3"/>
    <s v="T1"/>
    <n v="1"/>
    <s v="General"/>
    <s v="Santo Domnigo"/>
    <s v="NULL"/>
    <s v="NULL"/>
    <n v="10"/>
    <n v="7"/>
    <n v="12191"/>
    <n v="3"/>
    <s v="C012191"/>
    <s v="Super Mercado La Ballena"/>
    <s v="SUPERMERCADO"/>
    <s v="Lunes"/>
    <s v="Lunes"/>
    <n v="91"/>
    <x v="36"/>
    <s v="V621052"/>
    <x v="36"/>
    <n v="0.16666666666666"/>
    <n v="1"/>
    <n v="148.9"/>
    <n v="0"/>
    <n v="0"/>
    <n v="0"/>
    <n v="26.8"/>
    <n v="148.9"/>
    <n v="176"/>
    <n v="91"/>
    <s v="Enrrique Morillo (DN)"/>
    <s v="DN6"/>
    <n v="10"/>
    <n v="278"/>
    <s v="AMBIENTADORES"/>
    <n v="73103"/>
    <s v="GLADE"/>
    <s v="Comercial Fila"/>
    <s v="S5"/>
    <s v="Fernando Martinez  (DN)"/>
    <s v="DN013"/>
    <s v="Distrito Nacional"/>
    <s v="E320000174788"/>
    <n v="0"/>
    <n v="0"/>
    <s v="NULL"/>
    <s v="NULL"/>
    <n v="0"/>
    <n v="0"/>
    <s v="CONTADO                                           "/>
    <n v="13"/>
    <n v="6262445"/>
    <s v="Almacenes"/>
    <s v="General"/>
  </r>
  <r>
    <n v="223"/>
    <s v="A Grande"/>
    <n v="3"/>
    <n v="6262445"/>
    <s v="Martin Figueroa"/>
    <s v="Logistica y Distribucion"/>
    <n v="10091355"/>
    <d v="2026-03-07T00:00:00"/>
    <d v="2026-03-07T00:00:00"/>
    <n v="2026"/>
    <n v="3"/>
    <s v="T1"/>
    <n v="1"/>
    <s v="General"/>
    <s v="Santo Domnigo"/>
    <s v="NULL"/>
    <s v="NULL"/>
    <n v="10"/>
    <n v="7"/>
    <n v="12191"/>
    <n v="3"/>
    <s v="C012191"/>
    <s v="Super Mercado La Ballena"/>
    <s v="SUPERMERCADO"/>
    <s v="Lunes"/>
    <s v="Lunes"/>
    <n v="91"/>
    <x v="18"/>
    <s v="V101124"/>
    <x v="18"/>
    <n v="4.1666666666660003E-2"/>
    <n v="1"/>
    <n v="73.7"/>
    <n v="0"/>
    <n v="0"/>
    <n v="0"/>
    <n v="13.27"/>
    <n v="73.7"/>
    <n v="87"/>
    <n v="91"/>
    <s v="Enrrique Morillo (DN)"/>
    <s v="DN6"/>
    <n v="10"/>
    <n v="135"/>
    <s v="CUIDADO DE BEBE"/>
    <n v="6770651"/>
    <s v="CUIDADO FAMILIAR"/>
    <s v="Continental de Negocios"/>
    <s v="S5"/>
    <s v="Fernando Martinez  (DN)"/>
    <s v="DN013"/>
    <s v="Distrito Nacional"/>
    <s v="E320000174788"/>
    <n v="0"/>
    <n v="0"/>
    <s v="NULL"/>
    <s v="NULL"/>
    <n v="0"/>
    <n v="0"/>
    <s v="CONTADO                                           "/>
    <n v="13"/>
    <n v="6262445"/>
    <s v="Almacenes"/>
    <s v="General"/>
  </r>
  <r>
    <n v="223"/>
    <s v="A Grande"/>
    <n v="3"/>
    <n v="6262445"/>
    <s v="Martin Figueroa"/>
    <s v="Logistica y Distribucion"/>
    <n v="10091355"/>
    <d v="2026-03-07T00:00:00"/>
    <d v="2026-03-07T00:00:00"/>
    <n v="2026"/>
    <n v="3"/>
    <s v="T1"/>
    <n v="1"/>
    <s v="Alimentos - Espejo"/>
    <s v="Santo Domnigo"/>
    <s v="NULL"/>
    <s v="NULL"/>
    <n v="10"/>
    <n v="7"/>
    <n v="12191"/>
    <n v="3"/>
    <s v="C012191"/>
    <s v="Super Mercado La Ballena"/>
    <s v="SUPERMERCADO"/>
    <s v="Lunes"/>
    <s v="Lunes"/>
    <n v="91"/>
    <x v="56"/>
    <s v="V930145"/>
    <x v="56"/>
    <n v="0.13888888888888001"/>
    <n v="5"/>
    <n v="26.92"/>
    <n v="0"/>
    <n v="0"/>
    <n v="0"/>
    <n v="24.23"/>
    <n v="134.6"/>
    <n v="159"/>
    <n v="91"/>
    <s v="Enrrique Morillo (DN)"/>
    <s v="DN6"/>
    <n v="10"/>
    <n v="210"/>
    <s v="CONFITERIA GOMAS"/>
    <n v="0"/>
    <s v="NULL"/>
    <s v="COLOMBINA"/>
    <s v="S5"/>
    <s v="Fernando Martinez  (DN)"/>
    <s v="DN013"/>
    <s v="Distrito Nacional"/>
    <s v="E320000174788"/>
    <n v="0"/>
    <n v="0"/>
    <s v="NULL"/>
    <s v="NULL"/>
    <n v="0"/>
    <n v="0"/>
    <s v="CONTADO                                           "/>
    <n v="13"/>
    <n v="6262445"/>
    <s v="Almacenes"/>
    <s v="General"/>
  </r>
  <r>
    <n v="223"/>
    <s v="A Grande"/>
    <n v="3"/>
    <n v="6262445"/>
    <s v="Martin Figueroa"/>
    <s v="Logistica y Distribucion"/>
    <n v="10091355"/>
    <d v="2026-03-07T00:00:00"/>
    <d v="2026-03-07T00:00:00"/>
    <n v="2026"/>
    <n v="3"/>
    <s v="T1"/>
    <n v="1"/>
    <s v="Alimentos - Espejo"/>
    <s v="Santo Domnigo"/>
    <s v="NULL"/>
    <s v="NULL"/>
    <n v="10"/>
    <n v="7"/>
    <n v="12191"/>
    <n v="3"/>
    <s v="C012191"/>
    <s v="Super Mercado La Ballena"/>
    <s v="SUPERMERCADO"/>
    <s v="Lunes"/>
    <s v="Lunes"/>
    <n v="91"/>
    <x v="57"/>
    <s v="V930016"/>
    <x v="57"/>
    <n v="6.25E-2"/>
    <n v="1"/>
    <n v="108.02"/>
    <n v="0"/>
    <n v="0"/>
    <n v="0"/>
    <n v="19.440000000000001"/>
    <n v="108.02"/>
    <n v="127"/>
    <n v="91"/>
    <s v="Enrrique Morillo (DN)"/>
    <s v="DN6"/>
    <n v="10"/>
    <n v="208"/>
    <s v="CARAMELOS DUROS"/>
    <n v="0"/>
    <s v="NULL"/>
    <s v="COLOMBINA"/>
    <s v="S5"/>
    <s v="Fernando Martinez  (DN)"/>
    <s v="DN013"/>
    <s v="Distrito Nacional"/>
    <s v="E320000174788"/>
    <n v="0"/>
    <n v="0"/>
    <s v="NULL"/>
    <s v="NULL"/>
    <n v="0"/>
    <n v="0"/>
    <s v="CONTADO                                           "/>
    <n v="13"/>
    <n v="6262445"/>
    <s v="Almacenes"/>
    <s v="General"/>
  </r>
  <r>
    <n v="289"/>
    <s v="A Grande"/>
    <n v="3"/>
    <n v="6263882"/>
    <s v="AMAURI GIRON OSORIA"/>
    <s v="Logistica y Distribucion"/>
    <n v="10092792"/>
    <d v="2026-03-09T00:00:00"/>
    <d v="2026-03-09T00:00:00"/>
    <n v="2026"/>
    <n v="3"/>
    <s v="T1"/>
    <n v="1"/>
    <s v="General"/>
    <s v="Santo Domnigo"/>
    <s v="NULL"/>
    <s v="NULL"/>
    <n v="11"/>
    <n v="9"/>
    <n v="1161"/>
    <n v="3"/>
    <s v="C001161"/>
    <s v="Surtidor  el Brisal"/>
    <s v="MINI MARKET"/>
    <s v="SinAsignar"/>
    <s v="Sábado"/>
    <n v="94"/>
    <x v="44"/>
    <s v="V101026"/>
    <x v="44"/>
    <n v="2"/>
    <n v="72"/>
    <n v="33.06"/>
    <n v="0"/>
    <n v="0"/>
    <n v="0"/>
    <n v="428.46"/>
    <n v="2380.3200000000002"/>
    <n v="2809"/>
    <n v="94"/>
    <s v="Vicente Cruz"/>
    <s v="SDO6"/>
    <n v="10"/>
    <n v="136"/>
    <s v="NOSOTRAS DIARIOS"/>
    <n v="677001"/>
    <s v="CUIDADO FEMENINO"/>
    <s v="Continental de Negocios"/>
    <s v="S2"/>
    <s v="Fernando Martinez (SDO)"/>
    <s v="P009"/>
    <s v="Santo Domingo Oeste"/>
    <s v="E310000014407"/>
    <n v="0"/>
    <n v="0"/>
    <s v="NULL"/>
    <s v="NULL"/>
    <n v="0"/>
    <n v="0"/>
    <s v="CONTADO                                           "/>
    <n v="13"/>
    <n v="6263882"/>
    <s v="Almacenes"/>
    <s v="General"/>
  </r>
  <r>
    <n v="289"/>
    <s v="A Grande"/>
    <n v="3"/>
    <n v="6263882"/>
    <s v="AMAURI GIRON OSORIA"/>
    <s v="Logistica y Distribucion"/>
    <n v="10092792"/>
    <d v="2026-03-09T00:00:00"/>
    <d v="2026-03-09T00:00:00"/>
    <n v="2026"/>
    <n v="3"/>
    <s v="T1"/>
    <n v="1"/>
    <s v="General"/>
    <s v="Santo Domnigo"/>
    <s v="NULL"/>
    <s v="NULL"/>
    <n v="11"/>
    <n v="9"/>
    <n v="1161"/>
    <n v="3"/>
    <s v="C001161"/>
    <s v="Surtidor  el Brisal"/>
    <s v="MINI MARKET"/>
    <s v="SinAsignar"/>
    <s v="Sábado"/>
    <n v="94"/>
    <x v="28"/>
    <s v="V101028"/>
    <x v="28"/>
    <n v="2"/>
    <n v="36"/>
    <n v="98.4"/>
    <n v="0"/>
    <n v="0"/>
    <n v="0"/>
    <n v="637.63"/>
    <n v="3542.4"/>
    <n v="4180"/>
    <n v="94"/>
    <s v="Vicente Cruz"/>
    <s v="SDO6"/>
    <n v="10"/>
    <n v="105"/>
    <s v="NOSOTRAS"/>
    <n v="677001"/>
    <s v="CUIDADO FEMENINO"/>
    <s v="Continental de Negocios"/>
    <s v="S2"/>
    <s v="Fernando Martinez (SDO)"/>
    <s v="P009"/>
    <s v="Santo Domingo Oeste"/>
    <s v="E310000014407"/>
    <n v="0"/>
    <n v="0"/>
    <s v="NULL"/>
    <s v="NULL"/>
    <n v="0"/>
    <n v="0"/>
    <s v="CONTADO                                           "/>
    <n v="13"/>
    <n v="6263882"/>
    <s v="Almacenes"/>
    <s v="General"/>
  </r>
  <r>
    <n v="242"/>
    <s v="A Grande"/>
    <n v="3"/>
    <n v="6266446"/>
    <s v="Agustin Luna Valdez"/>
    <s v="Logistica y Distribucion"/>
    <n v="10095356"/>
    <d v="2026-03-10T00:00:00"/>
    <d v="2026-03-10T00:00:00"/>
    <n v="2026"/>
    <n v="3"/>
    <s v="T1"/>
    <n v="1"/>
    <s v="General"/>
    <s v="Santo Domnigo"/>
    <s v="NULL"/>
    <s v="NULL"/>
    <n v="11"/>
    <n v="10"/>
    <n v="14167"/>
    <n v="3"/>
    <s v="C014167"/>
    <s v="Mini Market Galvan"/>
    <s v="MINI MARKET"/>
    <s v="Lunes"/>
    <s v="Lunes"/>
    <n v="91"/>
    <x v="13"/>
    <s v="v101038"/>
    <x v="13"/>
    <n v="1"/>
    <n v="10"/>
    <n v="363.99"/>
    <n v="0"/>
    <n v="0"/>
    <n v="0"/>
    <n v="655.17999999999995"/>
    <n v="3639.9"/>
    <n v="4295"/>
    <n v="3"/>
    <s v="Enmanuel Bido (Argelis)"/>
    <s v="DN1"/>
    <n v="10"/>
    <n v="105"/>
    <s v="NOSOTRAS"/>
    <n v="677001"/>
    <s v="CUIDADO FEMENINO"/>
    <s v="Continental de Negocios"/>
    <s v="S5"/>
    <s v="Fernando Martinez  (DN)"/>
    <s v="P005"/>
    <s v="Distrito Nacional"/>
    <s v="E320000178599"/>
    <n v="0"/>
    <n v="0"/>
    <s v="NULL"/>
    <s v="NULL"/>
    <n v="0"/>
    <n v="0"/>
    <s v="CONTADO                                           "/>
    <n v="13"/>
    <n v="6266446"/>
    <s v="Almacenes"/>
    <s v="General"/>
  </r>
  <r>
    <n v="242"/>
    <s v="A Grande"/>
    <n v="3"/>
    <n v="6268091"/>
    <s v="Agustin Luna Valdez"/>
    <s v="Logistica y Distribucion"/>
    <n v="10097002"/>
    <d v="2026-03-11T00:00:00"/>
    <d v="2026-03-11T00:00:00"/>
    <n v="2026"/>
    <n v="3"/>
    <s v="T1"/>
    <n v="1"/>
    <s v="General"/>
    <s v="Santo Domnigo"/>
    <s v="NULL"/>
    <s v="NULL"/>
    <n v="11"/>
    <n v="11"/>
    <n v="19291"/>
    <n v="3"/>
    <s v="C019291"/>
    <s v="Mini Market Isamal Comercial"/>
    <s v="MINI MARKET"/>
    <s v="Miércoles"/>
    <s v="Miércoles"/>
    <n v="8"/>
    <x v="20"/>
    <s v="V611055"/>
    <x v="20"/>
    <n v="1"/>
    <n v="4"/>
    <n v="78.319999999999993"/>
    <n v="0"/>
    <n v="0"/>
    <n v="0"/>
    <n v="56.39"/>
    <n v="313.27999999999997"/>
    <n v="370"/>
    <n v="4"/>
    <s v="Argelis Salvador (Bido)"/>
    <s v="DN2"/>
    <n v="10"/>
    <n v="114"/>
    <s v="BLANCOX"/>
    <n v="66102"/>
    <s v="BLANCOX BOTELLA"/>
    <s v="Brinsa Dominicana"/>
    <s v="S5"/>
    <s v="Fernando Martinez  (DN)"/>
    <s v="P003"/>
    <s v="Distrito Nacional"/>
    <s v="E320000180243"/>
    <n v="0"/>
    <n v="0"/>
    <s v="NULL"/>
    <s v="NULL"/>
    <n v="0"/>
    <n v="0"/>
    <s v="CONTADO                                           "/>
    <n v="13"/>
    <n v="6268091"/>
    <s v="Almacenes"/>
    <s v="General"/>
  </r>
  <r>
    <n v="242"/>
    <s v="A Grande"/>
    <n v="3"/>
    <n v="6268091"/>
    <s v="Agustin Luna Valdez"/>
    <s v="Logistica y Distribucion"/>
    <n v="10097002"/>
    <d v="2026-03-11T00:00:00"/>
    <d v="2026-03-11T00:00:00"/>
    <n v="2026"/>
    <n v="3"/>
    <s v="T1"/>
    <n v="1"/>
    <s v="General"/>
    <s v="Santo Domnigo"/>
    <s v="NULL"/>
    <s v="NULL"/>
    <n v="11"/>
    <n v="11"/>
    <n v="19291"/>
    <n v="3"/>
    <s v="C019291"/>
    <s v="Mini Market Isamal Comercial"/>
    <s v="MINI MARKET"/>
    <s v="Miércoles"/>
    <s v="Miércoles"/>
    <n v="8"/>
    <x v="25"/>
    <s v="V501000"/>
    <x v="25"/>
    <n v="10"/>
    <n v="40"/>
    <n v="114.4"/>
    <n v="0"/>
    <n v="0"/>
    <n v="0"/>
    <n v="823.68"/>
    <n v="4576"/>
    <n v="5400"/>
    <n v="4"/>
    <s v="Argelis Salvador (Bido)"/>
    <s v="DN2"/>
    <n v="10"/>
    <n v="114"/>
    <s v="BLANCOX"/>
    <n v="66101"/>
    <s v="BLANCOX SACHET"/>
    <s v="Brinsa Dominicana"/>
    <s v="S5"/>
    <s v="Fernando Martinez  (DN)"/>
    <s v="P003"/>
    <s v="Distrito Nacional"/>
    <s v="E320000180243"/>
    <n v="0"/>
    <n v="0"/>
    <s v="NULL"/>
    <s v="NULL"/>
    <n v="0"/>
    <n v="0"/>
    <s v="CONTADO                                           "/>
    <n v="13"/>
    <n v="6268091"/>
    <s v="Almacenes"/>
    <s v="General"/>
  </r>
  <r>
    <n v="223"/>
    <s v="A Grande"/>
    <n v="3"/>
    <n v="6268248"/>
    <s v="Martin Figueroa"/>
    <s v="Logistica y Distribucion"/>
    <n v="10097159"/>
    <d v="2026-03-11T00:00:00"/>
    <d v="2026-03-11T00:00:00"/>
    <n v="2026"/>
    <n v="3"/>
    <s v="T1"/>
    <n v="1"/>
    <s v="General"/>
    <s v="Santo Domnigo"/>
    <s v="NULL"/>
    <s v="NULL"/>
    <n v="11"/>
    <n v="11"/>
    <n v="12191"/>
    <n v="3"/>
    <s v="C012191"/>
    <s v="Super Mercado La Ballena"/>
    <s v="SUPERMERCADO"/>
    <s v="Lunes"/>
    <s v="Lunes"/>
    <n v="91"/>
    <x v="51"/>
    <s v="V101072"/>
    <x v="51"/>
    <n v="1"/>
    <n v="24"/>
    <n v="43.55"/>
    <n v="0"/>
    <n v="0"/>
    <n v="0"/>
    <n v="188.14"/>
    <n v="1045.2"/>
    <n v="1233"/>
    <n v="91"/>
    <s v="Enrrique Morillo (DN)"/>
    <s v="DN6"/>
    <n v="10"/>
    <n v="135"/>
    <s v="CUIDADO DE BEBE"/>
    <n v="6766661"/>
    <s v="CUIDADO DE BEBE"/>
    <s v="Continental de Negocios"/>
    <s v="S5"/>
    <s v="Fernando Martinez  (DN)"/>
    <s v="DN013"/>
    <s v="Distrito Nacional"/>
    <s v="E320000180412"/>
    <n v="0"/>
    <n v="0"/>
    <s v="NULL"/>
    <s v="NULL"/>
    <n v="0"/>
    <n v="0"/>
    <s v="CONTADO                                           "/>
    <n v="13"/>
    <n v="6268248"/>
    <s v="Almacenes"/>
    <s v="General"/>
  </r>
  <r>
    <n v="223"/>
    <s v="A Grande"/>
    <n v="3"/>
    <n v="6268248"/>
    <s v="Martin Figueroa"/>
    <s v="Logistica y Distribucion"/>
    <n v="10097159"/>
    <d v="2026-03-11T00:00:00"/>
    <d v="2026-03-11T00:00:00"/>
    <n v="2026"/>
    <n v="3"/>
    <s v="T1"/>
    <n v="1"/>
    <s v="General"/>
    <s v="Santo Domnigo"/>
    <s v="NULL"/>
    <s v="NULL"/>
    <n v="11"/>
    <n v="11"/>
    <n v="12191"/>
    <n v="3"/>
    <s v="C012191"/>
    <s v="Super Mercado La Ballena"/>
    <s v="SUPERMERCADO"/>
    <s v="Lunes"/>
    <s v="Lunes"/>
    <n v="91"/>
    <x v="9"/>
    <s v="V201001"/>
    <x v="9"/>
    <n v="5"/>
    <n v="5"/>
    <n v="221.67"/>
    <n v="0"/>
    <n v="0"/>
    <n v="0"/>
    <n v="199.5"/>
    <n v="1108.3499999999999"/>
    <n v="1308"/>
    <n v="91"/>
    <s v="Enrrique Morillo (DN)"/>
    <s v="DN6"/>
    <n v="10"/>
    <n v="113"/>
    <s v="REFISAL"/>
    <n v="82101"/>
    <s v="REFISAL PACA"/>
    <s v="Brinsa Dominicana"/>
    <s v="S5"/>
    <s v="Fernando Martinez  (DN)"/>
    <s v="DN013"/>
    <s v="Distrito Nacional"/>
    <s v="E320000180412"/>
    <n v="0"/>
    <n v="0"/>
    <s v="NULL"/>
    <s v="NULL"/>
    <n v="0"/>
    <n v="0"/>
    <s v="CONTADO                                           "/>
    <n v="13"/>
    <n v="6268248"/>
    <s v="Almacenes"/>
    <s v="General"/>
  </r>
  <r>
    <n v="223"/>
    <s v="A Grande"/>
    <n v="3"/>
    <n v="6268248"/>
    <s v="Martin Figueroa"/>
    <s v="Logistica y Distribucion"/>
    <n v="10097159"/>
    <d v="2026-03-11T00:00:00"/>
    <d v="2026-03-11T00:00:00"/>
    <n v="2026"/>
    <n v="3"/>
    <s v="T1"/>
    <n v="1"/>
    <s v="General"/>
    <s v="Santo Domnigo"/>
    <s v="NULL"/>
    <s v="NULL"/>
    <n v="11"/>
    <n v="11"/>
    <n v="12191"/>
    <n v="3"/>
    <s v="C012191"/>
    <s v="Super Mercado La Ballena"/>
    <s v="SUPERMERCADO"/>
    <s v="Lunes"/>
    <s v="Lunes"/>
    <n v="91"/>
    <x v="29"/>
    <s v="V101034"/>
    <x v="29"/>
    <n v="0.2"/>
    <n v="2"/>
    <n v="232"/>
    <n v="0"/>
    <n v="0"/>
    <n v="0"/>
    <n v="83.52"/>
    <n v="464"/>
    <n v="548"/>
    <n v="91"/>
    <s v="Enrrique Morillo (DN)"/>
    <s v="DN6"/>
    <n v="10"/>
    <n v="136"/>
    <s v="NOSOTRAS DIARIOS"/>
    <n v="677001"/>
    <s v="CUIDADO FEMENINO"/>
    <s v="Continental de Negocios"/>
    <s v="S5"/>
    <s v="Fernando Martinez  (DN)"/>
    <s v="DN013"/>
    <s v="Distrito Nacional"/>
    <s v="E320000180412"/>
    <n v="0"/>
    <n v="0"/>
    <s v="NULL"/>
    <s v="NULL"/>
    <n v="0"/>
    <n v="0"/>
    <s v="CONTADO                                           "/>
    <n v="13"/>
    <n v="6268248"/>
    <s v="Almacenes"/>
    <s v="General"/>
  </r>
  <r>
    <n v="125"/>
    <s v="A Grande"/>
    <n v="3"/>
    <n v="6271051"/>
    <s v="Juan Rosario"/>
    <s v="Logistica y Distribucion"/>
    <n v="10099962"/>
    <d v="2026-03-12T00:00:00"/>
    <d v="2026-03-12T00:00:00"/>
    <n v="2026"/>
    <n v="3"/>
    <s v="T1"/>
    <n v="1"/>
    <s v="General"/>
    <s v="Santo Domnigo"/>
    <s v="NULL"/>
    <s v="NULL"/>
    <n v="11"/>
    <n v="12"/>
    <n v="36908"/>
    <n v="3"/>
    <s v="c036908"/>
    <s v="Asociacion De Detallistas Unidos De Mendoza"/>
    <s v="SUPERMERCADO"/>
    <s v="Miércoles"/>
    <s v="Miércoles"/>
    <n v="11"/>
    <x v="9"/>
    <s v="V201001"/>
    <x v="9"/>
    <n v="10"/>
    <n v="10"/>
    <n v="221.67"/>
    <n v="0"/>
    <n v="0"/>
    <n v="0"/>
    <n v="399.01"/>
    <n v="2216.6999999999998"/>
    <n v="2616"/>
    <n v="199"/>
    <s v="Giancarlo Tavarez"/>
    <s v="SDE2"/>
    <n v="10"/>
    <n v="113"/>
    <s v="REFISAL"/>
    <n v="82101"/>
    <s v="REFISAL PACA"/>
    <s v="Brinsa Dominicana"/>
    <s v="S1"/>
    <s v="Ramon E. Pimentel (SDE)"/>
    <s v="P206"/>
    <s v="Santo Domingo Este"/>
    <s v="E320000183094"/>
    <n v="0"/>
    <n v="0"/>
    <s v="NULL"/>
    <s v="NULL"/>
    <n v="0"/>
    <n v="0"/>
    <s v="CONTADO                                           "/>
    <n v="13"/>
    <n v="6271051"/>
    <s v="Almacenes"/>
    <s v="General"/>
  </r>
  <r>
    <n v="283"/>
    <s v="A Grande"/>
    <n v="3"/>
    <n v="6271394"/>
    <s v="Jelyn Martinez Figueroa"/>
    <s v="Logistica y Distribucion"/>
    <n v="10100305"/>
    <d v="2026-03-12T00:00:00"/>
    <d v="2026-03-12T00:00:00"/>
    <n v="2026"/>
    <n v="3"/>
    <s v="T1"/>
    <n v="1"/>
    <s v="General"/>
    <s v="Santo Domnigo"/>
    <s v="NULL"/>
    <s v="NULL"/>
    <n v="11"/>
    <n v="12"/>
    <n v="37594"/>
    <n v="3"/>
    <s v="C037594"/>
    <s v="Mini Market El patron 3."/>
    <s v="MINI MARKET"/>
    <s v="Miércoles"/>
    <s v="Miércoles"/>
    <n v="72"/>
    <x v="26"/>
    <s v="V101005"/>
    <x v="26"/>
    <n v="0.4"/>
    <n v="12"/>
    <n v="73.41"/>
    <n v="0"/>
    <n v="0"/>
    <n v="0"/>
    <n v="158.57"/>
    <n v="880.92"/>
    <n v="1039"/>
    <n v="95"/>
    <s v="Benigno Paniagua (T)"/>
    <s v="SDO5"/>
    <n v="10"/>
    <n v="105"/>
    <s v="NOSOTRAS"/>
    <n v="677001"/>
    <s v="CUIDADO FEMENINO"/>
    <s v="Continental de Negocios"/>
    <s v="S2"/>
    <s v="Fernando Martinez (SDO)"/>
    <s v="P010"/>
    <s v="Santo Domingo Oeste"/>
    <s v="E310000015037"/>
    <n v="0"/>
    <n v="0"/>
    <s v="NULL"/>
    <s v="NULL"/>
    <n v="0"/>
    <n v="0"/>
    <s v="CONTADO                                           "/>
    <n v="13"/>
    <n v="6271394"/>
    <s v="Almacenes"/>
    <s v="General"/>
  </r>
  <r>
    <n v="283"/>
    <s v="A Grande"/>
    <n v="3"/>
    <n v="6271394"/>
    <s v="Jelyn Martinez Figueroa"/>
    <s v="Logistica y Distribucion"/>
    <n v="10100305"/>
    <d v="2026-03-12T00:00:00"/>
    <d v="2026-03-12T00:00:00"/>
    <n v="2026"/>
    <n v="3"/>
    <s v="T1"/>
    <n v="1"/>
    <s v="General"/>
    <s v="Santo Domnigo"/>
    <s v="NULL"/>
    <s v="NULL"/>
    <n v="11"/>
    <n v="12"/>
    <n v="37594"/>
    <n v="3"/>
    <s v="C037594"/>
    <s v="Mini Market El patron 3."/>
    <s v="MINI MARKET"/>
    <s v="Miércoles"/>
    <s v="Miércoles"/>
    <n v="72"/>
    <x v="28"/>
    <s v="V101028"/>
    <x v="28"/>
    <n v="0.66666666666665997"/>
    <n v="12"/>
    <n v="98.4"/>
    <n v="0"/>
    <n v="0"/>
    <n v="0"/>
    <n v="212.54"/>
    <n v="1180.8"/>
    <n v="1393"/>
    <n v="95"/>
    <s v="Benigno Paniagua (T)"/>
    <s v="SDO5"/>
    <n v="10"/>
    <n v="105"/>
    <s v="NOSOTRAS"/>
    <n v="677001"/>
    <s v="CUIDADO FEMENINO"/>
    <s v="Continental de Negocios"/>
    <s v="S2"/>
    <s v="Fernando Martinez (SDO)"/>
    <s v="P010"/>
    <s v="Santo Domingo Oeste"/>
    <s v="E310000015037"/>
    <n v="0"/>
    <n v="0"/>
    <s v="NULL"/>
    <s v="NULL"/>
    <n v="0"/>
    <n v="0"/>
    <s v="CONTADO                                           "/>
    <n v="13"/>
    <n v="6271394"/>
    <s v="Almacenes"/>
    <s v="General"/>
  </r>
  <r>
    <n v="254"/>
    <s v="A Grande"/>
    <n v="3"/>
    <n v="6273020"/>
    <s v="Santo Muñoz de Paula"/>
    <s v="Logistica y Distribucion"/>
    <n v="10101931"/>
    <d v="2026-03-13T00:00:00"/>
    <d v="2026-03-13T00:00:00"/>
    <n v="2026"/>
    <n v="3"/>
    <s v="T1"/>
    <n v="1"/>
    <s v="General"/>
    <s v="Santo Domnigo"/>
    <s v="NULL"/>
    <s v="NULL"/>
    <n v="11"/>
    <n v="13"/>
    <n v="5474"/>
    <n v="3"/>
    <s v="C005474"/>
    <s v="Mini Market Gracia Divina"/>
    <s v="MINI MARKET"/>
    <s v="Jueves"/>
    <s v="SinAsignar"/>
    <n v="70"/>
    <x v="6"/>
    <s v="V511005"/>
    <x v="6"/>
    <n v="1"/>
    <n v="12"/>
    <n v="64.44"/>
    <n v="0"/>
    <n v="0"/>
    <n v="0"/>
    <n v="139.19"/>
    <n v="773.28"/>
    <n v="912"/>
    <n v="94"/>
    <s v="Vicente Cruz"/>
    <s v="SDO6"/>
    <n v="10"/>
    <n v="114"/>
    <s v="BLANCOX"/>
    <n v="66102"/>
    <s v="BLANCOX BOTELLA"/>
    <s v="Brinsa Dominicana"/>
    <s v="S2"/>
    <s v="Fernando Martinez (SDO)"/>
    <s v="P009"/>
    <s v="Santo Domingo Oeste"/>
    <s v="E310000015192"/>
    <n v="0"/>
    <n v="0"/>
    <s v="NULL"/>
    <s v="NULL"/>
    <n v="0"/>
    <n v="0"/>
    <s v="CONTADO                                           "/>
    <n v="13"/>
    <n v="6273020"/>
    <s v="Almacenes"/>
    <s v="General"/>
  </r>
  <r>
    <n v="254"/>
    <s v="A Grande"/>
    <n v="3"/>
    <n v="6273020"/>
    <s v="Santo Muñoz de Paula"/>
    <s v="Logistica y Distribucion"/>
    <n v="10101931"/>
    <d v="2026-03-13T00:00:00"/>
    <d v="2026-03-13T00:00:00"/>
    <n v="2026"/>
    <n v="3"/>
    <s v="T1"/>
    <n v="1"/>
    <s v="Alimentos - Espejo"/>
    <s v="Santo Domnigo"/>
    <s v="NULL"/>
    <s v="NULL"/>
    <n v="11"/>
    <n v="13"/>
    <n v="5474"/>
    <n v="3"/>
    <s v="C005474"/>
    <s v="Mini Market Gracia Divina"/>
    <s v="MINI MARKET"/>
    <s v="Jueves"/>
    <s v="SinAsignar"/>
    <n v="70"/>
    <x v="30"/>
    <s v="V930023"/>
    <x v="30"/>
    <n v="0.3"/>
    <n v="6"/>
    <n v="140.75"/>
    <n v="0"/>
    <n v="0"/>
    <n v="0"/>
    <n v="152.01"/>
    <n v="844.5"/>
    <n v="997"/>
    <n v="94"/>
    <s v="Vicente Cruz"/>
    <s v="SDO6"/>
    <n v="10"/>
    <n v="208"/>
    <s v="CARAMELOS DUROS"/>
    <n v="0"/>
    <s v="NULL"/>
    <s v="COLOMBINA"/>
    <s v="S2"/>
    <s v="Fernando Martinez (SDO)"/>
    <s v="P009"/>
    <s v="Santo Domingo Oeste"/>
    <s v="E310000015192"/>
    <n v="0"/>
    <n v="0"/>
    <s v="NULL"/>
    <s v="NULL"/>
    <n v="0"/>
    <n v="0"/>
    <s v="CONTADO                                           "/>
    <n v="13"/>
    <n v="6273020"/>
    <s v="Almacenes"/>
    <s v="General"/>
  </r>
  <r>
    <n v="254"/>
    <s v="A Grande"/>
    <n v="3"/>
    <n v="6273020"/>
    <s v="Santo Muñoz de Paula"/>
    <s v="Logistica y Distribucion"/>
    <n v="10101931"/>
    <d v="2026-03-13T00:00:00"/>
    <d v="2026-03-13T00:00:00"/>
    <n v="2026"/>
    <n v="3"/>
    <s v="T1"/>
    <n v="1"/>
    <s v="General"/>
    <s v="Santo Domnigo"/>
    <s v="NULL"/>
    <s v="NULL"/>
    <n v="11"/>
    <n v="13"/>
    <n v="5474"/>
    <n v="3"/>
    <s v="C005474"/>
    <s v="Mini Market Gracia Divina"/>
    <s v="MINI MARKET"/>
    <s v="Jueves"/>
    <s v="SinAsignar"/>
    <n v="70"/>
    <x v="20"/>
    <s v="V611055"/>
    <x v="20"/>
    <n v="6"/>
    <n v="24"/>
    <n v="78.319999999999993"/>
    <n v="0"/>
    <n v="0"/>
    <n v="0"/>
    <n v="338.34"/>
    <n v="1879.68"/>
    <n v="2218"/>
    <n v="94"/>
    <s v="Vicente Cruz"/>
    <s v="SDO6"/>
    <n v="10"/>
    <n v="114"/>
    <s v="BLANCOX"/>
    <n v="66102"/>
    <s v="BLANCOX BOTELLA"/>
    <s v="Brinsa Dominicana"/>
    <s v="S2"/>
    <s v="Fernando Martinez (SDO)"/>
    <s v="P009"/>
    <s v="Santo Domingo Oeste"/>
    <s v="E310000015192"/>
    <n v="0"/>
    <n v="0"/>
    <s v="NULL"/>
    <s v="NULL"/>
    <n v="0"/>
    <n v="0"/>
    <s v="CONTADO                                           "/>
    <n v="13"/>
    <n v="6273020"/>
    <s v="Almacenes"/>
    <s v="General"/>
  </r>
  <r>
    <n v="223"/>
    <s v="A Grande"/>
    <n v="3"/>
    <n v="6273098"/>
    <s v="Martin Figueroa"/>
    <s v="Logistica y Distribucion"/>
    <n v="10102009"/>
    <d v="2026-03-13T00:00:00"/>
    <d v="2026-03-13T00:00:00"/>
    <n v="2026"/>
    <n v="3"/>
    <s v="T1"/>
    <n v="1"/>
    <s v="General"/>
    <s v="Santo Domnigo"/>
    <s v="NULL"/>
    <s v="NULL"/>
    <n v="11"/>
    <n v="13"/>
    <n v="12191"/>
    <n v="3"/>
    <s v="C012191"/>
    <s v="Super Mercado La Ballena"/>
    <s v="SUPERMERCADO"/>
    <s v="Lunes"/>
    <s v="Lunes"/>
    <n v="91"/>
    <x v="28"/>
    <s v="V101028"/>
    <x v="28"/>
    <n v="1"/>
    <n v="18"/>
    <n v="98.4"/>
    <n v="0"/>
    <n v="0"/>
    <n v="0"/>
    <n v="318.82"/>
    <n v="1771.2"/>
    <n v="209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185021"/>
    <n v="0"/>
    <n v="0"/>
    <s v="NULL"/>
    <s v="NULL"/>
    <n v="0"/>
    <n v="0"/>
    <s v="CONTADO                                           "/>
    <n v="13"/>
    <n v="6273098"/>
    <s v="Almacenes"/>
    <s v="General"/>
  </r>
  <r>
    <n v="109"/>
    <s v="A Grande"/>
    <n v="3"/>
    <n v="6275021"/>
    <s v="Tony Vallejo"/>
    <s v="Logistica y Distribucion"/>
    <n v="10103934"/>
    <d v="2026-03-14T00:00:00"/>
    <d v="2026-03-14T00:00:00"/>
    <n v="2026"/>
    <n v="3"/>
    <s v="T1"/>
    <n v="1"/>
    <s v="General"/>
    <s v="Santo Domnigo"/>
    <s v="NULL"/>
    <s v="NULL"/>
    <n v="11"/>
    <n v="14"/>
    <n v="14167"/>
    <n v="3"/>
    <s v="C014167"/>
    <s v="Mini Market Galvan"/>
    <s v="MINI MARKET"/>
    <s v="Lunes"/>
    <s v="Lunes"/>
    <n v="91"/>
    <x v="9"/>
    <s v="V201001"/>
    <x v="9"/>
    <n v="25"/>
    <n v="25"/>
    <n v="212.8"/>
    <n v="0"/>
    <n v="0"/>
    <n v="0"/>
    <n v="957.6"/>
    <n v="5320"/>
    <n v="6278"/>
    <n v="3"/>
    <s v="Enmanuel Bido (Argelis)"/>
    <s v="DN1"/>
    <n v="10"/>
    <n v="113"/>
    <s v="REFISAL"/>
    <n v="82101"/>
    <s v="REFISAL PACA"/>
    <s v="Brinsa Dominicana"/>
    <s v="S5"/>
    <s v="Fernando Martinez  (DN)"/>
    <s v="P005"/>
    <s v="Distrito Nacional"/>
    <s v="E320000186885"/>
    <n v="0"/>
    <n v="0"/>
    <s v="NULL"/>
    <s v="NULL"/>
    <n v="0"/>
    <n v="0"/>
    <s v="CONTADO                                           "/>
    <n v="13"/>
    <n v="6275021"/>
    <s v="Almacenes"/>
    <s v="General"/>
  </r>
  <r>
    <n v="109"/>
    <s v="A Grande"/>
    <n v="3"/>
    <n v="6275021"/>
    <s v="Tony Vallejo"/>
    <s v="Logistica y Distribucion"/>
    <n v="10103934"/>
    <d v="2026-03-14T00:00:00"/>
    <d v="2026-03-14T00:00:00"/>
    <n v="2026"/>
    <n v="3"/>
    <s v="T1"/>
    <n v="1"/>
    <s v="General"/>
    <s v="Santo Domnigo"/>
    <s v="NULL"/>
    <s v="NULL"/>
    <n v="11"/>
    <n v="14"/>
    <n v="14167"/>
    <n v="3"/>
    <s v="C014167"/>
    <s v="Mini Market Galvan"/>
    <s v="MINI MARKET"/>
    <s v="Lunes"/>
    <s v="Lunes"/>
    <n v="91"/>
    <x v="16"/>
    <s v="V103001"/>
    <x v="16"/>
    <n v="3"/>
    <n v="144"/>
    <n v="21.36"/>
    <n v="0"/>
    <n v="0"/>
    <n v="0"/>
    <n v="553.65"/>
    <n v="3075.84"/>
    <n v="3629"/>
    <n v="3"/>
    <s v="Enmanuel Bido (Argelis)"/>
    <s v="DN1"/>
    <n v="10"/>
    <n v="107"/>
    <s v="FAMILIA"/>
    <n v="6770651"/>
    <s v="CUIDADO FAMILIAR"/>
    <s v="Continental de Negocios"/>
    <s v="S5"/>
    <s v="Fernando Martinez  (DN)"/>
    <s v="P005"/>
    <s v="Distrito Nacional"/>
    <s v="E320000186885"/>
    <n v="0"/>
    <n v="0"/>
    <s v="NULL"/>
    <s v="NULL"/>
    <n v="0"/>
    <n v="0"/>
    <s v="CONTADO                                           "/>
    <n v="13"/>
    <n v="6275021"/>
    <s v="Almacenes"/>
    <s v="General"/>
  </r>
  <r>
    <n v="109"/>
    <s v="A Grande"/>
    <n v="3"/>
    <n v="6275021"/>
    <s v="Tony Vallejo"/>
    <s v="Logistica y Distribucion"/>
    <n v="10103934"/>
    <d v="2026-03-14T00:00:00"/>
    <d v="2026-03-14T00:00:00"/>
    <n v="2026"/>
    <n v="3"/>
    <s v="T1"/>
    <n v="1"/>
    <s v="General"/>
    <s v="Santo Domnigo"/>
    <s v="NULL"/>
    <s v="NULL"/>
    <n v="11"/>
    <n v="14"/>
    <n v="14167"/>
    <n v="3"/>
    <s v="C014167"/>
    <s v="Mini Market Galvan"/>
    <s v="MINI MARKET"/>
    <s v="Lunes"/>
    <s v="Lunes"/>
    <n v="91"/>
    <x v="16"/>
    <s v="V103001"/>
    <x v="16"/>
    <n v="0.5"/>
    <n v="24"/>
    <n v="0"/>
    <n v="0"/>
    <n v="0"/>
    <n v="0"/>
    <n v="0"/>
    <n v="0"/>
    <n v="0"/>
    <n v="3"/>
    <s v="Enmanuel Bido (Argelis)"/>
    <s v="DN1"/>
    <n v="10"/>
    <n v="107"/>
    <s v="FAMILIA"/>
    <n v="6770651"/>
    <s v="CUIDADO FAMILIAR"/>
    <s v="Continental de Negocios"/>
    <s v="S5"/>
    <s v="Fernando Martinez  (DN)"/>
    <s v="P005"/>
    <s v="Distrito Nacional"/>
    <s v="E320000186885"/>
    <n v="0"/>
    <n v="1"/>
    <n v="3438"/>
    <s v="Papel Higienico Familia 24 UND +4UND  Papeles Familia de Ofertas"/>
    <n v="0"/>
    <n v="0"/>
    <s v="CONTADO                                           "/>
    <n v="13"/>
    <n v="6275021"/>
    <s v="Almacenes"/>
    <s v="General"/>
  </r>
  <r>
    <n v="223"/>
    <s v="A Grande"/>
    <n v="3"/>
    <n v="6281574"/>
    <s v="Martin Figueroa"/>
    <s v="Logistica y Distribucion"/>
    <n v="10110491"/>
    <d v="2026-03-18T00:00:00"/>
    <d v="2026-03-18T00:00:00"/>
    <n v="2026"/>
    <n v="3"/>
    <s v="T1"/>
    <n v="1"/>
    <s v="Alimentos - Espejo"/>
    <s v="Santo Domnigo"/>
    <s v="NULL"/>
    <s v="NULL"/>
    <n v="12"/>
    <n v="18"/>
    <n v="12191"/>
    <n v="3"/>
    <s v="C012191"/>
    <s v="Super Mercado La Ballena"/>
    <s v="SUPERMERCADO"/>
    <s v="Lunes"/>
    <s v="Lunes"/>
    <n v="91"/>
    <x v="12"/>
    <s v="V800791"/>
    <x v="12"/>
    <n v="0.24"/>
    <n v="6"/>
    <n v="153.11000000000001"/>
    <n v="0"/>
    <n v="0"/>
    <n v="0"/>
    <n v="165.36"/>
    <n v="918.66"/>
    <n v="1084"/>
    <n v="91"/>
    <s v="Enrrique Morillo (DN)"/>
    <s v="DN6"/>
    <n v="10"/>
    <n v="207"/>
    <s v="BOLONES"/>
    <n v="65103"/>
    <s v="ALIMENTOS DULCES"/>
    <s v="COLOMBINA"/>
    <s v="S5"/>
    <s v="Fernando Martinez  (DN)"/>
    <s v="DN013"/>
    <s v="Distrito Nacional"/>
    <s v="E320000193126"/>
    <n v="0"/>
    <n v="0"/>
    <s v="NULL"/>
    <s v="NULL"/>
    <n v="0"/>
    <n v="0"/>
    <s v="CONTADO                                           "/>
    <n v="13"/>
    <n v="6281574"/>
    <s v="Almacenes"/>
    <s v="General"/>
  </r>
  <r>
    <n v="264"/>
    <s v="A Grande"/>
    <n v="3"/>
    <n v="6283426"/>
    <s v="Brailin Peña"/>
    <s v="Logistica y Distribucion"/>
    <n v="10112343"/>
    <d v="2026-03-19T00:00:00"/>
    <d v="2026-03-19T00:00:00"/>
    <n v="2026"/>
    <n v="3"/>
    <s v="T1"/>
    <n v="1"/>
    <s v="General"/>
    <s v="Santo Domnigo"/>
    <s v="NULL"/>
    <s v="NULL"/>
    <n v="12"/>
    <n v="19"/>
    <n v="37594"/>
    <n v="3"/>
    <s v="C037594"/>
    <s v="Mini Market El patron 3."/>
    <s v="MINI MARKET"/>
    <s v="Miércoles"/>
    <s v="Miércoles"/>
    <n v="72"/>
    <x v="2"/>
    <s v="V621045"/>
    <x v="2"/>
    <n v="1"/>
    <n v="12"/>
    <n v="161.94999999999999"/>
    <n v="0"/>
    <n v="0"/>
    <n v="0"/>
    <n v="349.81"/>
    <n v="1943.4"/>
    <n v="2293"/>
    <n v="95"/>
    <s v="Benigno Paniagua (T)"/>
    <s v="SDO5"/>
    <n v="10"/>
    <n v="138"/>
    <s v="INSECTICIDAS"/>
    <n v="73101"/>
    <s v="INSECTICIDA BAIGON"/>
    <s v="Comercial Fila"/>
    <s v="S2"/>
    <s v="Fernando Martinez (SDO)"/>
    <s v="P010"/>
    <s v="Santo Domingo Oeste"/>
    <s v="E310000016080"/>
    <n v="0"/>
    <n v="0"/>
    <s v="NULL"/>
    <s v="NULL"/>
    <n v="0"/>
    <n v="0"/>
    <s v="CONTADO                                           "/>
    <n v="13"/>
    <n v="6283426"/>
    <s v="Almacenes"/>
    <s v="General"/>
  </r>
  <r>
    <n v="264"/>
    <s v="A Grande"/>
    <n v="3"/>
    <n v="6283426"/>
    <s v="Brailin Peña"/>
    <s v="Logistica y Distribucion"/>
    <n v="10112343"/>
    <d v="2026-03-19T00:00:00"/>
    <d v="2026-03-19T00:00:00"/>
    <n v="2026"/>
    <n v="3"/>
    <s v="T1"/>
    <n v="1"/>
    <s v="General"/>
    <s v="Santo Domnigo"/>
    <s v="NULL"/>
    <s v="NULL"/>
    <n v="12"/>
    <n v="19"/>
    <n v="37594"/>
    <n v="3"/>
    <s v="C037594"/>
    <s v="Mini Market El patron 3."/>
    <s v="MINI MARKET"/>
    <s v="Miércoles"/>
    <s v="Miércoles"/>
    <n v="72"/>
    <x v="27"/>
    <s v="V101027"/>
    <x v="27"/>
    <n v="1"/>
    <n v="24"/>
    <n v="73.41"/>
    <n v="0"/>
    <n v="0"/>
    <n v="0"/>
    <n v="317.13"/>
    <n v="1761.84"/>
    <n v="2079"/>
    <n v="95"/>
    <s v="Benigno Paniagua (T)"/>
    <s v="SDO5"/>
    <n v="10"/>
    <n v="105"/>
    <s v="NOSOTRAS"/>
    <n v="677001"/>
    <s v="CUIDADO FEMENINO"/>
    <s v="Continental de Negocios"/>
    <s v="S2"/>
    <s v="Fernando Martinez (SDO)"/>
    <s v="P010"/>
    <s v="Santo Domingo Oeste"/>
    <s v="E310000016080"/>
    <n v="0"/>
    <n v="0"/>
    <s v="NULL"/>
    <s v="NULL"/>
    <n v="0"/>
    <n v="0"/>
    <s v="CONTADO                                           "/>
    <n v="13"/>
    <n v="6283426"/>
    <s v="Almacenes"/>
    <s v="General"/>
  </r>
  <r>
    <n v="125"/>
    <s v="A Grande"/>
    <n v="3"/>
    <n v="6283974"/>
    <s v="Juan Rosario"/>
    <s v="Logistica y Distribucion"/>
    <n v="10112891"/>
    <d v="2026-03-19T00:00:00"/>
    <d v="2026-03-19T00:00:00"/>
    <n v="2026"/>
    <n v="3"/>
    <s v="T1"/>
    <n v="1"/>
    <s v="General"/>
    <s v="Santo Domnigo"/>
    <s v="NULL"/>
    <s v="NULL"/>
    <n v="12"/>
    <n v="19"/>
    <n v="36908"/>
    <n v="3"/>
    <s v="c036908"/>
    <s v="Asociacion De Detallistas Unidos De Mendoza"/>
    <s v="SUPERMERCADO"/>
    <s v="Miércoles"/>
    <s v="Miércoles"/>
    <n v="11"/>
    <x v="9"/>
    <s v="V201001"/>
    <x v="9"/>
    <n v="25"/>
    <n v="25"/>
    <n v="212.8"/>
    <n v="0"/>
    <n v="0"/>
    <n v="0"/>
    <n v="957.6"/>
    <n v="5320"/>
    <n v="6278"/>
    <n v="199"/>
    <s v="Giancarlo Tavarez"/>
    <s v="SDE2"/>
    <n v="10"/>
    <n v="113"/>
    <s v="REFISAL"/>
    <n v="82101"/>
    <s v="REFISAL PACA"/>
    <s v="Brinsa Dominicana"/>
    <s v="S1"/>
    <s v="Ramon E. Pimentel (SDE)"/>
    <s v="P206"/>
    <s v="Santo Domingo Este"/>
    <s v="E320000195402"/>
    <n v="0"/>
    <n v="0"/>
    <s v="NULL"/>
    <s v="NULL"/>
    <n v="0"/>
    <n v="0"/>
    <s v="CONTADO                                           "/>
    <n v="13"/>
    <n v="6283974"/>
    <s v="Almacenes"/>
    <s v="General"/>
  </r>
  <r>
    <n v="125"/>
    <s v="A Grande"/>
    <n v="3"/>
    <n v="6283974"/>
    <s v="Juan Rosario"/>
    <s v="Logistica y Distribucion"/>
    <n v="10112891"/>
    <d v="2026-03-19T00:00:00"/>
    <d v="2026-03-19T00:00:00"/>
    <n v="2026"/>
    <n v="3"/>
    <s v="T1"/>
    <n v="1"/>
    <s v="General"/>
    <s v="Santo Domnigo"/>
    <s v="NULL"/>
    <s v="NULL"/>
    <n v="12"/>
    <n v="19"/>
    <n v="36908"/>
    <n v="3"/>
    <s v="c036908"/>
    <s v="Asociacion De Detallistas Unidos De Mendoza"/>
    <s v="SUPERMERCADO"/>
    <s v="Miércoles"/>
    <s v="Miércoles"/>
    <n v="11"/>
    <x v="13"/>
    <s v="v101038"/>
    <x v="13"/>
    <n v="1"/>
    <n v="10"/>
    <n v="363.99"/>
    <n v="0"/>
    <n v="0"/>
    <n v="0"/>
    <n v="655.17999999999995"/>
    <n v="3639.9"/>
    <n v="4295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195402"/>
    <n v="0"/>
    <n v="0"/>
    <s v="NULL"/>
    <s v="NULL"/>
    <n v="0"/>
    <n v="0"/>
    <s v="CONTADO                                           "/>
    <n v="13"/>
    <n v="6283974"/>
    <s v="Almacenes"/>
    <s v="General"/>
  </r>
  <r>
    <n v="254"/>
    <s v="A Grande"/>
    <n v="3"/>
    <n v="6285851"/>
    <s v="Santo Muñoz de Paula"/>
    <s v="Logistica y Distribucion"/>
    <n v="10114768"/>
    <d v="2026-03-20T00:00:00"/>
    <d v="2026-03-20T00:00:00"/>
    <n v="2026"/>
    <n v="3"/>
    <s v="T1"/>
    <n v="1"/>
    <s v="General"/>
    <s v="Santo Domnigo"/>
    <s v="NULL"/>
    <s v="NULL"/>
    <n v="12"/>
    <n v="20"/>
    <n v="5474"/>
    <n v="3"/>
    <s v="C005474"/>
    <s v="Mini Market Gracia Divina"/>
    <s v="MINI MARKET"/>
    <s v="Jueves"/>
    <s v="SinAsignar"/>
    <n v="70"/>
    <x v="16"/>
    <s v="V103001"/>
    <x v="16"/>
    <n v="1"/>
    <n v="48"/>
    <n v="21.36"/>
    <n v="0"/>
    <n v="0"/>
    <n v="0"/>
    <n v="184.55"/>
    <n v="1025.28"/>
    <n v="1210"/>
    <n v="94"/>
    <s v="Vicente Cruz"/>
    <s v="SDO6"/>
    <n v="10"/>
    <n v="107"/>
    <s v="FAMILIA"/>
    <n v="6770651"/>
    <s v="CUIDADO FAMILIAR"/>
    <s v="Continental de Negocios"/>
    <s v="S2"/>
    <s v="Fernando Martinez (SDO)"/>
    <s v="P009"/>
    <s v="Santo Domingo Oeste"/>
    <s v="E310000016342"/>
    <n v="0"/>
    <n v="0"/>
    <s v="NULL"/>
    <s v="NULL"/>
    <n v="0"/>
    <n v="0"/>
    <s v="CONTADO                                           "/>
    <n v="13"/>
    <n v="6285851"/>
    <s v="Almacenes"/>
    <s v="General"/>
  </r>
  <r>
    <n v="254"/>
    <s v="A Grande"/>
    <n v="3"/>
    <n v="6285851"/>
    <s v="Santo Muñoz de Paula"/>
    <s v="Logistica y Distribucion"/>
    <n v="10114768"/>
    <d v="2026-03-20T00:00:00"/>
    <d v="2026-03-20T00:00:00"/>
    <n v="2026"/>
    <n v="3"/>
    <s v="T1"/>
    <n v="1"/>
    <s v="General"/>
    <s v="Santo Domnigo"/>
    <s v="NULL"/>
    <s v="NULL"/>
    <n v="12"/>
    <n v="20"/>
    <n v="5474"/>
    <n v="3"/>
    <s v="C005474"/>
    <s v="Mini Market Gracia Divina"/>
    <s v="MINI MARKET"/>
    <s v="Jueves"/>
    <s v="SinAsignar"/>
    <n v="70"/>
    <x v="16"/>
    <s v="V103001"/>
    <x v="16"/>
    <n v="0.16666666666666"/>
    <n v="8"/>
    <n v="0"/>
    <n v="0"/>
    <n v="0"/>
    <n v="0"/>
    <n v="0"/>
    <n v="0"/>
    <n v="0"/>
    <n v="94"/>
    <s v="Vicente Cruz"/>
    <s v="SDO6"/>
    <n v="10"/>
    <n v="107"/>
    <s v="FAMILIA"/>
    <n v="6770651"/>
    <s v="CUIDADO FAMILIAR"/>
    <s v="Continental de Negocios"/>
    <s v="S2"/>
    <s v="Fernando Martinez (SDO)"/>
    <s v="P009"/>
    <s v="Santo Domingo Oeste"/>
    <s v="E310000016342"/>
    <n v="0"/>
    <n v="1"/>
    <n v="3438"/>
    <s v="Papel Higienico Familia 24 UND +4UND  Papeles Familia de Ofertas"/>
    <n v="0"/>
    <n v="0"/>
    <s v="CONTADO                                           "/>
    <n v="13"/>
    <n v="6285851"/>
    <s v="Almacenes"/>
    <s v="General"/>
  </r>
  <r>
    <n v="223"/>
    <s v="A Grande"/>
    <n v="3"/>
    <n v="6287874"/>
    <s v="Martin Figueroa"/>
    <s v="Logistica y Distribucion"/>
    <n v="10116791"/>
    <d v="2026-03-21T00:00:00"/>
    <d v="2026-03-21T00:00:00"/>
    <n v="2026"/>
    <n v="3"/>
    <s v="T1"/>
    <n v="1"/>
    <s v="General"/>
    <s v="Santo Domnigo"/>
    <s v="NULL"/>
    <s v="NULL"/>
    <n v="12"/>
    <n v="21"/>
    <n v="1019"/>
    <n v="3"/>
    <s v="C001019"/>
    <s v="Mini Market Shairelys SRL"/>
    <s v="MINI MARKET"/>
    <s v="Viernes"/>
    <s v="Viernes"/>
    <n v="60"/>
    <x v="28"/>
    <s v="V101028"/>
    <x v="28"/>
    <n v="1"/>
    <n v="18"/>
    <n v="98.4"/>
    <n v="0"/>
    <n v="0"/>
    <n v="0"/>
    <n v="318.82"/>
    <n v="1771.2"/>
    <n v="2090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10000016503"/>
    <n v="0"/>
    <n v="0"/>
    <s v="NULL"/>
    <s v="NULL"/>
    <n v="0"/>
    <n v="0"/>
    <s v="CONTADO                                           "/>
    <n v="13"/>
    <n v="6287874"/>
    <s v="Almacenes"/>
    <s v="General"/>
  </r>
  <r>
    <n v="109"/>
    <s v="A Grande"/>
    <n v="3"/>
    <n v="6289858"/>
    <s v="Tony Vallejo"/>
    <s v="Logistica y Distribucion"/>
    <n v="10118775"/>
    <d v="2026-03-23T00:00:00"/>
    <d v="2026-03-23T00:00:00"/>
    <n v="2026"/>
    <n v="3"/>
    <s v="T1"/>
    <n v="1"/>
    <s v="General"/>
    <s v="Santo Domnigo"/>
    <s v="NULL"/>
    <s v="NULL"/>
    <n v="13"/>
    <n v="23"/>
    <n v="19291"/>
    <n v="3"/>
    <s v="C019291"/>
    <s v="Mini Market Isamal Comercial"/>
    <s v="MINI MARKET"/>
    <s v="Miércoles"/>
    <s v="Miércoles"/>
    <n v="8"/>
    <x v="13"/>
    <s v="v101038"/>
    <x v="13"/>
    <n v="2"/>
    <n v="20"/>
    <n v="363.99"/>
    <n v="0"/>
    <n v="0"/>
    <n v="0"/>
    <n v="1310.3599999999999"/>
    <n v="7279.8"/>
    <n v="8590"/>
    <n v="4"/>
    <s v="Argelis Salvador (Bido)"/>
    <s v="DN2"/>
    <n v="10"/>
    <n v="105"/>
    <s v="NOSOTRAS"/>
    <n v="677001"/>
    <s v="CUIDADO FEMENINO"/>
    <s v="Continental de Negocios"/>
    <s v="S5"/>
    <s v="Fernando Martinez  (DN)"/>
    <s v="P003"/>
    <s v="Distrito Nacional"/>
    <s v="E320000201209"/>
    <n v="0"/>
    <n v="0"/>
    <s v="NULL"/>
    <s v="NULL"/>
    <n v="0"/>
    <n v="0"/>
    <s v="CONTADO                                           "/>
    <n v="13"/>
    <n v="6289858"/>
    <s v="Almacenes"/>
    <s v="General"/>
  </r>
  <r>
    <n v="223"/>
    <s v="A Grande"/>
    <n v="3"/>
    <n v="6294255"/>
    <s v="Martin Figueroa"/>
    <s v="Logistica y Distribucion"/>
    <n v="10123172"/>
    <d v="2026-03-25T00:00:00"/>
    <d v="2026-03-25T00:00:00"/>
    <n v="2026"/>
    <n v="3"/>
    <s v="T1"/>
    <n v="1"/>
    <s v="Alimentos - Espejo"/>
    <s v="Santo Domnigo"/>
    <s v="NULL"/>
    <s v="NULL"/>
    <n v="13"/>
    <n v="25"/>
    <n v="12191"/>
    <n v="3"/>
    <s v="C012191"/>
    <s v="Super Mercado La Ballena"/>
    <s v="SUPERMERCADO"/>
    <s v="Lunes"/>
    <s v="Lunes"/>
    <n v="91"/>
    <x v="58"/>
    <s v="V925076"/>
    <x v="58"/>
    <n v="1"/>
    <n v="48"/>
    <n v="39.869999999999997"/>
    <n v="0"/>
    <n v="0"/>
    <n v="0"/>
    <n v="344.48"/>
    <n v="1913.76"/>
    <n v="2258"/>
    <n v="91"/>
    <s v="Enrrique Morillo (DN)"/>
    <s v="DN6"/>
    <n v="10"/>
    <n v="117"/>
    <s v="DIMAR"/>
    <n v="65104"/>
    <s v="ALIMENTOS SARDINAS"/>
    <s v="DIMAR DOMINICANA"/>
    <s v="S5"/>
    <s v="Fernando Martinez  (DN)"/>
    <s v="DN013"/>
    <s v="Distrito Nacional"/>
    <s v="E320000205410"/>
    <n v="0"/>
    <n v="0"/>
    <s v="NULL"/>
    <s v="NULL"/>
    <n v="0"/>
    <n v="0"/>
    <s v="CONTADO                                           "/>
    <n v="13"/>
    <n v="6294255"/>
    <s v="Almacenes"/>
    <s v="General"/>
  </r>
  <r>
    <n v="223"/>
    <s v="A Grande"/>
    <n v="3"/>
    <n v="6294255"/>
    <s v="Martin Figueroa"/>
    <s v="Logistica y Distribucion"/>
    <n v="10123172"/>
    <d v="2026-03-25T00:00:00"/>
    <d v="2026-03-25T00:00:00"/>
    <n v="2026"/>
    <n v="3"/>
    <s v="T1"/>
    <n v="1"/>
    <s v="Alimentos - Espejo"/>
    <s v="Santo Domnigo"/>
    <s v="NULL"/>
    <s v="NULL"/>
    <n v="13"/>
    <n v="25"/>
    <n v="12191"/>
    <n v="3"/>
    <s v="C012191"/>
    <s v="Super Mercado La Ballena"/>
    <s v="SUPERMERCADO"/>
    <s v="Lunes"/>
    <s v="Lunes"/>
    <n v="91"/>
    <x v="59"/>
    <s v="V925050"/>
    <x v="59"/>
    <n v="1"/>
    <n v="24"/>
    <n v="73.45"/>
    <n v="0"/>
    <n v="0"/>
    <n v="0"/>
    <n v="317.3"/>
    <n v="1762.8"/>
    <n v="2080"/>
    <n v="91"/>
    <s v="Enrrique Morillo (DN)"/>
    <s v="DN6"/>
    <n v="10"/>
    <n v="117"/>
    <s v="DIMAR"/>
    <n v="65104"/>
    <s v="ALIMENTOS SARDINAS"/>
    <s v="DIMAR DOMINICANA"/>
    <s v="S5"/>
    <s v="Fernando Martinez  (DN)"/>
    <s v="DN013"/>
    <s v="Distrito Nacional"/>
    <s v="E320000205410"/>
    <n v="0"/>
    <n v="0"/>
    <s v="NULL"/>
    <s v="NULL"/>
    <n v="0"/>
    <n v="0"/>
    <s v="CONTADO                                           "/>
    <n v="13"/>
    <n v="6294255"/>
    <s v="Almacenes"/>
    <s v="General"/>
  </r>
  <r>
    <n v="109"/>
    <s v="A Grande"/>
    <n v="3"/>
    <n v="6294524"/>
    <s v="Tony Vallejo"/>
    <s v="Logistica y Distribucion"/>
    <n v="10123441"/>
    <d v="2026-03-25T00:00:00"/>
    <d v="2026-03-25T00:00:00"/>
    <n v="2026"/>
    <n v="3"/>
    <s v="T1"/>
    <n v="1"/>
    <s v="General"/>
    <s v="Santo Domnigo"/>
    <s v="NULL"/>
    <s v="NULL"/>
    <n v="13"/>
    <n v="25"/>
    <n v="14167"/>
    <n v="3"/>
    <s v="C014167"/>
    <s v="Mini Market Galvan"/>
    <s v="MINI MARKET"/>
    <s v="Lunes"/>
    <s v="Lunes"/>
    <n v="91"/>
    <x v="16"/>
    <s v="V103001"/>
    <x v="16"/>
    <n v="6"/>
    <n v="288"/>
    <n v="21.36"/>
    <n v="0"/>
    <n v="0"/>
    <n v="0"/>
    <n v="1107.3"/>
    <n v="6151.68"/>
    <n v="7259"/>
    <n v="3"/>
    <s v="Enmanuel Bido (Argelis)"/>
    <s v="DN1"/>
    <n v="10"/>
    <n v="107"/>
    <s v="FAMILIA"/>
    <n v="6770651"/>
    <s v="CUIDADO FAMILIAR"/>
    <s v="Continental de Negocios"/>
    <s v="S5"/>
    <s v="Fernando Martinez  (DN)"/>
    <s v="P005"/>
    <s v="Distrito Nacional"/>
    <s v="E320000205661"/>
    <n v="0"/>
    <n v="0"/>
    <s v="NULL"/>
    <s v="NULL"/>
    <n v="0"/>
    <n v="0"/>
    <s v="CONTADO                                           "/>
    <n v="13"/>
    <n v="6294524"/>
    <s v="Almacenes"/>
    <s v="General"/>
  </r>
  <r>
    <n v="109"/>
    <s v="A Grande"/>
    <n v="3"/>
    <n v="6294524"/>
    <s v="Tony Vallejo"/>
    <s v="Logistica y Distribucion"/>
    <n v="10123441"/>
    <d v="2026-03-25T00:00:00"/>
    <d v="2026-03-25T00:00:00"/>
    <n v="2026"/>
    <n v="3"/>
    <s v="T1"/>
    <n v="1"/>
    <s v="General"/>
    <s v="Santo Domnigo"/>
    <s v="NULL"/>
    <s v="NULL"/>
    <n v="13"/>
    <n v="25"/>
    <n v="14167"/>
    <n v="3"/>
    <s v="C014167"/>
    <s v="Mini Market Galvan"/>
    <s v="MINI MARKET"/>
    <s v="Lunes"/>
    <s v="Lunes"/>
    <n v="91"/>
    <x v="16"/>
    <s v="V103001"/>
    <x v="16"/>
    <n v="1"/>
    <n v="48"/>
    <n v="0"/>
    <n v="0"/>
    <n v="0"/>
    <n v="0"/>
    <n v="0"/>
    <n v="0"/>
    <n v="0"/>
    <n v="3"/>
    <s v="Enmanuel Bido (Argelis)"/>
    <s v="DN1"/>
    <n v="10"/>
    <n v="107"/>
    <s v="FAMILIA"/>
    <n v="6770651"/>
    <s v="CUIDADO FAMILIAR"/>
    <s v="Continental de Negocios"/>
    <s v="S5"/>
    <s v="Fernando Martinez  (DN)"/>
    <s v="P005"/>
    <s v="Distrito Nacional"/>
    <s v="E320000205661"/>
    <n v="0"/>
    <n v="1"/>
    <n v="3438"/>
    <s v="Papel Higienico Familia 24 UND +4UND  Papeles Familia de Ofertas"/>
    <n v="0"/>
    <n v="0"/>
    <s v="CONTADO                                           "/>
    <n v="13"/>
    <n v="6294524"/>
    <s v="Almacenes"/>
    <s v="General"/>
  </r>
  <r>
    <n v="242"/>
    <s v="A Grande"/>
    <n v="3"/>
    <n v="6294546"/>
    <s v="Agustin Luna Valdez"/>
    <s v="Logistica y Distribucion"/>
    <n v="10123463"/>
    <d v="2026-03-25T00:00:00"/>
    <d v="2026-03-25T00:00:00"/>
    <n v="2026"/>
    <n v="3"/>
    <s v="T1"/>
    <n v="1"/>
    <s v="General"/>
    <s v="Santo Domnigo"/>
    <s v="NULL"/>
    <s v="NULL"/>
    <n v="13"/>
    <n v="25"/>
    <n v="19291"/>
    <n v="3"/>
    <s v="C019291"/>
    <s v="Mini Market Isamal Comercial"/>
    <s v="MINI MARKET"/>
    <s v="Miércoles"/>
    <s v="Miércoles"/>
    <n v="8"/>
    <x v="28"/>
    <s v="V101028"/>
    <x v="28"/>
    <n v="1"/>
    <n v="18"/>
    <n v="98.4"/>
    <n v="0"/>
    <n v="0"/>
    <n v="0"/>
    <n v="318.82"/>
    <n v="1771.2"/>
    <n v="2090"/>
    <n v="4"/>
    <s v="Argelis Salvador (Bido)"/>
    <s v="DN2"/>
    <n v="10"/>
    <n v="105"/>
    <s v="NOSOTRAS"/>
    <n v="677001"/>
    <s v="CUIDADO FEMENINO"/>
    <s v="Continental de Negocios"/>
    <s v="S5"/>
    <s v="Fernando Martinez  (DN)"/>
    <s v="P003"/>
    <s v="Distrito Nacional"/>
    <s v="E320000205685"/>
    <n v="0"/>
    <n v="0"/>
    <s v="NULL"/>
    <s v="NULL"/>
    <n v="0"/>
    <n v="0"/>
    <s v="CONTADO                                           "/>
    <n v="13"/>
    <n v="6294546"/>
    <s v="Almacenes"/>
    <s v="General"/>
  </r>
  <r>
    <n v="242"/>
    <s v="A Grande"/>
    <n v="3"/>
    <n v="6294546"/>
    <s v="Agustin Luna Valdez"/>
    <s v="Logistica y Distribucion"/>
    <n v="10123463"/>
    <d v="2026-03-25T00:00:00"/>
    <d v="2026-03-25T00:00:00"/>
    <n v="2026"/>
    <n v="3"/>
    <s v="T1"/>
    <n v="1"/>
    <s v="General"/>
    <s v="Santo Domnigo"/>
    <s v="NULL"/>
    <s v="NULL"/>
    <n v="13"/>
    <n v="25"/>
    <n v="19291"/>
    <n v="3"/>
    <s v="C019291"/>
    <s v="Mini Market Isamal Comercial"/>
    <s v="MINI MARKET"/>
    <s v="Miércoles"/>
    <s v="Miércoles"/>
    <n v="8"/>
    <x v="26"/>
    <s v="V101005"/>
    <x v="26"/>
    <n v="1"/>
    <n v="30"/>
    <n v="73.41"/>
    <n v="0"/>
    <n v="0"/>
    <n v="0"/>
    <n v="396.41"/>
    <n v="2202.3000000000002"/>
    <n v="2599"/>
    <n v="4"/>
    <s v="Argelis Salvador (Bido)"/>
    <s v="DN2"/>
    <n v="10"/>
    <n v="105"/>
    <s v="NOSOTRAS"/>
    <n v="677001"/>
    <s v="CUIDADO FEMENINO"/>
    <s v="Continental de Negocios"/>
    <s v="S5"/>
    <s v="Fernando Martinez  (DN)"/>
    <s v="P003"/>
    <s v="Distrito Nacional"/>
    <s v="E320000205685"/>
    <n v="0"/>
    <n v="0"/>
    <s v="NULL"/>
    <s v="NULL"/>
    <n v="0"/>
    <n v="0"/>
    <s v="CONTADO                                           "/>
    <n v="13"/>
    <n v="6294546"/>
    <s v="Almacenes"/>
    <s v="General"/>
  </r>
  <r>
    <n v="242"/>
    <s v="A Grande"/>
    <n v="3"/>
    <n v="6294546"/>
    <s v="Agustin Luna Valdez"/>
    <s v="Logistica y Distribucion"/>
    <n v="10123463"/>
    <d v="2026-03-25T00:00:00"/>
    <d v="2026-03-25T00:00:00"/>
    <n v="2026"/>
    <n v="3"/>
    <s v="T1"/>
    <n v="1"/>
    <s v="General"/>
    <s v="Santo Domnigo"/>
    <s v="NULL"/>
    <s v="NULL"/>
    <n v="13"/>
    <n v="25"/>
    <n v="19291"/>
    <n v="3"/>
    <s v="C019291"/>
    <s v="Mini Market Isamal Comercial"/>
    <s v="MINI MARKET"/>
    <s v="Miércoles"/>
    <s v="Miércoles"/>
    <n v="8"/>
    <x v="27"/>
    <s v="V101027"/>
    <x v="27"/>
    <n v="1"/>
    <n v="24"/>
    <n v="73.41"/>
    <n v="0"/>
    <n v="0"/>
    <n v="0"/>
    <n v="317.13"/>
    <n v="1761.84"/>
    <n v="2079"/>
    <n v="4"/>
    <s v="Argelis Salvador (Bido)"/>
    <s v="DN2"/>
    <n v="10"/>
    <n v="105"/>
    <s v="NOSOTRAS"/>
    <n v="677001"/>
    <s v="CUIDADO FEMENINO"/>
    <s v="Continental de Negocios"/>
    <s v="S5"/>
    <s v="Fernando Martinez  (DN)"/>
    <s v="P003"/>
    <s v="Distrito Nacional"/>
    <s v="E320000205685"/>
    <n v="0"/>
    <n v="0"/>
    <s v="NULL"/>
    <s v="NULL"/>
    <n v="0"/>
    <n v="0"/>
    <s v="CONTADO                                           "/>
    <n v="13"/>
    <n v="6294546"/>
    <s v="Almacenes"/>
    <s v="General"/>
  </r>
  <r>
    <n v="242"/>
    <s v="A Grande"/>
    <n v="3"/>
    <n v="6294568"/>
    <s v="Agustin Luna Valdez"/>
    <s v="Logistica y Distribucion"/>
    <n v="10123485"/>
    <d v="2026-03-25T00:00:00"/>
    <d v="2026-03-25T00:00:00"/>
    <n v="2026"/>
    <n v="3"/>
    <s v="T1"/>
    <n v="1"/>
    <s v="General"/>
    <s v="Santo Domnigo"/>
    <s v="NULL"/>
    <s v="NULL"/>
    <n v="13"/>
    <n v="25"/>
    <n v="2280"/>
    <n v="3"/>
    <s v="C002280"/>
    <s v="Mini Market Familiar"/>
    <s v="MINI MARKET"/>
    <s v="Miércoles"/>
    <s v="Miércoles"/>
    <n v="14"/>
    <x v="26"/>
    <s v="V101005"/>
    <x v="26"/>
    <n v="0.4"/>
    <n v="12"/>
    <n v="73.41"/>
    <n v="0"/>
    <n v="0"/>
    <n v="0"/>
    <n v="158.57"/>
    <n v="880.92"/>
    <n v="1039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205707"/>
    <n v="0"/>
    <n v="0"/>
    <s v="NULL"/>
    <s v="NULL"/>
    <n v="0"/>
    <n v="0"/>
    <s v="CONTADO                                           "/>
    <n v="13"/>
    <n v="6294568"/>
    <s v="Almacenes"/>
    <s v="General"/>
  </r>
  <r>
    <n v="242"/>
    <s v="A Grande"/>
    <n v="3"/>
    <n v="6294568"/>
    <s v="Agustin Luna Valdez"/>
    <s v="Logistica y Distribucion"/>
    <n v="10123485"/>
    <d v="2026-03-25T00:00:00"/>
    <d v="2026-03-25T00:00:00"/>
    <n v="2026"/>
    <n v="3"/>
    <s v="T1"/>
    <n v="1"/>
    <s v="General"/>
    <s v="Santo Domnigo"/>
    <s v="NULL"/>
    <s v="NULL"/>
    <n v="13"/>
    <n v="25"/>
    <n v="2280"/>
    <n v="3"/>
    <s v="C002280"/>
    <s v="Mini Market Familiar"/>
    <s v="MINI MARKET"/>
    <s v="Miércoles"/>
    <s v="Miércoles"/>
    <n v="14"/>
    <x v="27"/>
    <s v="V101027"/>
    <x v="27"/>
    <n v="0.25"/>
    <n v="6"/>
    <n v="73.41"/>
    <n v="0"/>
    <n v="0"/>
    <n v="0"/>
    <n v="79.28"/>
    <n v="440.46"/>
    <n v="520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205707"/>
    <n v="0"/>
    <n v="0"/>
    <s v="NULL"/>
    <s v="NULL"/>
    <n v="0"/>
    <n v="0"/>
    <s v="CONTADO                                           "/>
    <n v="13"/>
    <n v="6294568"/>
    <s v="Almacenes"/>
    <s v="General"/>
  </r>
  <r>
    <n v="242"/>
    <s v="A Grande"/>
    <n v="3"/>
    <n v="6294568"/>
    <s v="Agustin Luna Valdez"/>
    <s v="Logistica y Distribucion"/>
    <n v="10123485"/>
    <d v="2026-03-25T00:00:00"/>
    <d v="2026-03-25T00:00:00"/>
    <n v="2026"/>
    <n v="3"/>
    <s v="T1"/>
    <n v="1"/>
    <s v="General"/>
    <s v="Santo Domnigo"/>
    <s v="NULL"/>
    <s v="NULL"/>
    <n v="13"/>
    <n v="25"/>
    <n v="2280"/>
    <n v="3"/>
    <s v="C002280"/>
    <s v="Mini Market Familiar"/>
    <s v="MINI MARKET"/>
    <s v="Miércoles"/>
    <s v="Miércoles"/>
    <n v="14"/>
    <x v="28"/>
    <s v="V101028"/>
    <x v="28"/>
    <n v="0.66666666666665997"/>
    <n v="12"/>
    <n v="98.4"/>
    <n v="0"/>
    <n v="0"/>
    <n v="0"/>
    <n v="212.54"/>
    <n v="1180.8"/>
    <n v="1393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205707"/>
    <n v="0"/>
    <n v="0"/>
    <s v="NULL"/>
    <s v="NULL"/>
    <n v="0"/>
    <n v="0"/>
    <s v="CONTADO                                           "/>
    <n v="13"/>
    <n v="6294568"/>
    <s v="Almacenes"/>
    <s v="General"/>
  </r>
  <r>
    <n v="242"/>
    <s v="A Grande"/>
    <n v="3"/>
    <n v="6294576"/>
    <s v="Agustin Luna Valdez"/>
    <s v="Logistica y Distribucion"/>
    <n v="10123493"/>
    <d v="2026-03-25T00:00:00"/>
    <d v="2026-03-25T00:00:00"/>
    <n v="2026"/>
    <n v="3"/>
    <s v="T1"/>
    <n v="1"/>
    <s v="General"/>
    <s v="Santo Domnigo"/>
    <s v="NULL"/>
    <s v="NULL"/>
    <n v="13"/>
    <n v="25"/>
    <n v="2280"/>
    <n v="3"/>
    <s v="C002280"/>
    <s v="Mini Market Familiar"/>
    <s v="MINI MARKET"/>
    <s v="Miércoles"/>
    <s v="Miércoles"/>
    <n v="14"/>
    <x v="13"/>
    <s v="v101038"/>
    <x v="13"/>
    <n v="1"/>
    <n v="10"/>
    <n v="363.99"/>
    <n v="0"/>
    <n v="0"/>
    <n v="0"/>
    <n v="655.17999999999995"/>
    <n v="3639.9"/>
    <n v="4295"/>
    <n v="93"/>
    <s v="Junior M. Ramos (Isaac Maria)"/>
    <s v="DN7"/>
    <n v="10"/>
    <n v="105"/>
    <s v="NOSOTRAS"/>
    <n v="677001"/>
    <s v="CUIDADO FEMENINO"/>
    <s v="Continental de Negocios"/>
    <s v="S5"/>
    <s v="Fernando Martinez  (DN)"/>
    <s v="P007"/>
    <s v="Distrito Nacional"/>
    <s v="E320000205714"/>
    <n v="0"/>
    <n v="0"/>
    <s v="NULL"/>
    <s v="NULL"/>
    <n v="0"/>
    <n v="0"/>
    <s v="CONTADO                                           "/>
    <n v="13"/>
    <n v="6294576"/>
    <s v="Almacenes"/>
    <s v="General"/>
  </r>
  <r>
    <n v="264"/>
    <s v="A Grande"/>
    <n v="3"/>
    <n v="6296911"/>
    <s v="Brailin Peña"/>
    <s v="Logistica y Distribucion"/>
    <n v="10125828"/>
    <d v="2026-03-26T00:00:00"/>
    <d v="2026-03-26T00:00:00"/>
    <n v="2026"/>
    <n v="3"/>
    <s v="T1"/>
    <n v="1"/>
    <s v="Alimentos - Espejo"/>
    <s v="Santo Domnigo"/>
    <s v="NULL"/>
    <s v="NULL"/>
    <n v="13"/>
    <n v="26"/>
    <n v="37594"/>
    <n v="3"/>
    <s v="C037594"/>
    <s v="Mini Market El patron 3."/>
    <s v="MINI MARKET"/>
    <s v="Miércoles"/>
    <s v="Miércoles"/>
    <n v="72"/>
    <x v="15"/>
    <s v="V925064"/>
    <x v="15"/>
    <n v="1"/>
    <n v="50"/>
    <n v="32.86"/>
    <n v="0"/>
    <n v="0"/>
    <n v="0"/>
    <n v="295.74"/>
    <n v="1643"/>
    <n v="1939"/>
    <n v="95"/>
    <s v="Benigno Paniagua (T)"/>
    <s v="SDO5"/>
    <n v="10"/>
    <n v="117"/>
    <s v="DIMAR"/>
    <n v="65104"/>
    <s v="ALIMENTOS SARDINAS"/>
    <s v="DIMAR DOMINICANA"/>
    <s v="S2"/>
    <s v="Fernando Martinez (SDO)"/>
    <s v="P010"/>
    <s v="Santo Domingo Oeste"/>
    <s v="E310000017336"/>
    <n v="0"/>
    <n v="0"/>
    <s v="NULL"/>
    <s v="NULL"/>
    <n v="0"/>
    <n v="0"/>
    <s v="CONTADO                                           "/>
    <n v="13"/>
    <n v="6296911"/>
    <s v="Almacenes"/>
    <s v="General"/>
  </r>
  <r>
    <n v="254"/>
    <s v="A Grande"/>
    <n v="3"/>
    <n v="6298537"/>
    <s v="Santo Muñoz de Paula"/>
    <s v="Logistica y Distribucion"/>
    <n v="10127454"/>
    <d v="2026-03-27T00:00:00"/>
    <d v="2026-03-27T00:00:00"/>
    <n v="2026"/>
    <n v="3"/>
    <s v="T1"/>
    <n v="1"/>
    <s v="General"/>
    <s v="Santo Domnigo"/>
    <s v="NULL"/>
    <s v="NULL"/>
    <n v="13"/>
    <n v="27"/>
    <n v="5474"/>
    <n v="3"/>
    <s v="C005474"/>
    <s v="Mini Market Gracia Divina"/>
    <s v="MINI MARKET"/>
    <s v="Jueves"/>
    <s v="SinAsignar"/>
    <n v="70"/>
    <x v="9"/>
    <s v="V201001"/>
    <x v="9"/>
    <n v="26"/>
    <n v="26"/>
    <n v="212.8"/>
    <n v="0"/>
    <n v="0"/>
    <n v="0"/>
    <n v="995.9"/>
    <n v="5532.8"/>
    <n v="6529"/>
    <n v="94"/>
    <s v="Vicente Cruz"/>
    <s v="SDO6"/>
    <n v="10"/>
    <n v="113"/>
    <s v="REFISAL"/>
    <n v="82101"/>
    <s v="REFISAL PACA"/>
    <s v="Brinsa Dominicana"/>
    <s v="S2"/>
    <s v="Fernando Martinez (SDO)"/>
    <s v="P009"/>
    <s v="Santo Domingo Oeste"/>
    <s v="E310000017498"/>
    <n v="0"/>
    <n v="0"/>
    <s v="NULL"/>
    <s v="NULL"/>
    <n v="0"/>
    <n v="0"/>
    <s v="CONTADO                                           "/>
    <n v="13"/>
    <n v="6298537"/>
    <s v="Almacenes"/>
    <s v="General"/>
  </r>
  <r>
    <n v="254"/>
    <s v="A Grande"/>
    <n v="3"/>
    <n v="6298537"/>
    <s v="Santo Muñoz de Paula"/>
    <s v="Logistica y Distribucion"/>
    <n v="10127454"/>
    <d v="2026-03-27T00:00:00"/>
    <d v="2026-03-27T00:00:00"/>
    <n v="2026"/>
    <n v="3"/>
    <s v="T1"/>
    <n v="1"/>
    <s v="Alimentos - Espejo"/>
    <s v="Santo Domnigo"/>
    <s v="NULL"/>
    <s v="NULL"/>
    <n v="13"/>
    <n v="27"/>
    <n v="5474"/>
    <n v="3"/>
    <s v="C005474"/>
    <s v="Mini Market Gracia Divina"/>
    <s v="MINI MARKET"/>
    <s v="Jueves"/>
    <s v="SinAsignar"/>
    <n v="70"/>
    <x v="30"/>
    <s v="V930023"/>
    <x v="30"/>
    <n v="0.3"/>
    <n v="6"/>
    <n v="140.75"/>
    <n v="0"/>
    <n v="0"/>
    <n v="0"/>
    <n v="152.01"/>
    <n v="844.5"/>
    <n v="997"/>
    <n v="94"/>
    <s v="Vicente Cruz"/>
    <s v="SDO6"/>
    <n v="10"/>
    <n v="208"/>
    <s v="CARAMELOS DUROS"/>
    <n v="0"/>
    <s v="NULL"/>
    <s v="COLOMBINA"/>
    <s v="S2"/>
    <s v="Fernando Martinez (SDO)"/>
    <s v="P009"/>
    <s v="Santo Domingo Oeste"/>
    <s v="E310000017498"/>
    <n v="0"/>
    <n v="0"/>
    <s v="NULL"/>
    <s v="NULL"/>
    <n v="0"/>
    <n v="0"/>
    <s v="CONTADO                                           "/>
    <n v="13"/>
    <n v="6298537"/>
    <s v="Almacenes"/>
    <s v="General"/>
  </r>
  <r>
    <n v="254"/>
    <s v="A Grande"/>
    <n v="3"/>
    <n v="6298550"/>
    <s v="Santo Muñoz de Paula"/>
    <s v="Logistica y Distribucion"/>
    <n v="10127467"/>
    <d v="2026-03-27T00:00:00"/>
    <d v="2026-03-27T00:00:00"/>
    <n v="2026"/>
    <n v="3"/>
    <s v="T1"/>
    <n v="1"/>
    <s v="General"/>
    <s v="Santo Domnigo"/>
    <s v="NULL"/>
    <s v="NULL"/>
    <n v="13"/>
    <n v="27"/>
    <n v="5474"/>
    <n v="3"/>
    <s v="C005474"/>
    <s v="Mini Market Gracia Divina"/>
    <s v="MINI MARKET"/>
    <s v="Jueves"/>
    <s v="SinAsignar"/>
    <n v="70"/>
    <x v="9"/>
    <s v="V201001"/>
    <x v="9"/>
    <n v="26"/>
    <n v="26"/>
    <n v="212.8"/>
    <n v="0"/>
    <n v="0"/>
    <n v="0"/>
    <n v="995.9"/>
    <n v="5532.8"/>
    <n v="6529"/>
    <n v="94"/>
    <s v="Vicente Cruz"/>
    <s v="SDO6"/>
    <n v="10"/>
    <n v="113"/>
    <s v="REFISAL"/>
    <n v="82101"/>
    <s v="REFISAL PACA"/>
    <s v="Brinsa Dominicana"/>
    <s v="S2"/>
    <s v="Fernando Martinez (SDO)"/>
    <s v="P009"/>
    <s v="Santo Domingo Oeste"/>
    <s v="E310000017500"/>
    <n v="0"/>
    <n v="0"/>
    <s v="NULL"/>
    <s v="NULL"/>
    <n v="0"/>
    <n v="0"/>
    <s v="CONTADO                                           "/>
    <n v="13"/>
    <n v="6298550"/>
    <s v="Almacenes"/>
    <s v="General"/>
  </r>
  <r>
    <n v="109"/>
    <s v="A Grande"/>
    <n v="3"/>
    <n v="6298799"/>
    <s v="Tony Vallejo"/>
    <s v="Logistica y Distribucion"/>
    <n v="10127716"/>
    <d v="2026-03-27T00:00:00"/>
    <d v="2026-03-27T00:00:00"/>
    <n v="2026"/>
    <n v="3"/>
    <s v="T1"/>
    <n v="1"/>
    <s v="General"/>
    <s v="Santo Domnigo"/>
    <s v="NULL"/>
    <s v="NULL"/>
    <n v="13"/>
    <n v="27"/>
    <n v="19291"/>
    <n v="3"/>
    <s v="C019291"/>
    <s v="Mini Market Isamal Comercial"/>
    <s v="MINI MARKET"/>
    <s v="Miércoles"/>
    <s v="Miércoles"/>
    <n v="8"/>
    <x v="14"/>
    <s v="V800088"/>
    <x v="14"/>
    <n v="1"/>
    <n v="8"/>
    <n v="364.41"/>
    <n v="0"/>
    <n v="0"/>
    <n v="0"/>
    <n v="524.75"/>
    <n v="2915.28"/>
    <n v="3440"/>
    <n v="4"/>
    <s v="Argelis Salvador (Bido)"/>
    <s v="DN2"/>
    <n v="10"/>
    <n v="105"/>
    <s v="NOSOTRAS"/>
    <n v="677001"/>
    <s v="CUIDADO FEMENINO"/>
    <s v="Continental de Negocios"/>
    <s v="S5"/>
    <s v="Fernando Martinez  (DN)"/>
    <s v="P003"/>
    <s v="Distrito Nacional"/>
    <s v="E320000209935"/>
    <n v="0"/>
    <n v="0"/>
    <s v="NULL"/>
    <s v="NULL"/>
    <n v="0"/>
    <n v="0"/>
    <s v="CONTADO                                           "/>
    <n v="13"/>
    <n v="6298799"/>
    <s v="Almacenes"/>
    <s v="General"/>
  </r>
  <r>
    <n v="119"/>
    <s v="A Grande"/>
    <n v="3"/>
    <n v="6299139"/>
    <s v="Mario Jose Martinez"/>
    <s v="Logistica y Distribucion"/>
    <n v="10128056"/>
    <d v="2026-03-27T00:00:00"/>
    <d v="2026-03-27T00:00:00"/>
    <n v="2026"/>
    <n v="3"/>
    <s v="T1"/>
    <n v="1"/>
    <s v="General"/>
    <s v="Santo Domnigo"/>
    <s v="NULL"/>
    <s v="NULL"/>
    <n v="13"/>
    <n v="27"/>
    <n v="36908"/>
    <n v="3"/>
    <s v="c036908"/>
    <s v="Asociacion De Detallistas Unidos De Mendoza"/>
    <s v="SUPERMERCADO"/>
    <s v="Miércoles"/>
    <s v="Miércoles"/>
    <n v="11"/>
    <x v="5"/>
    <s v="V611053"/>
    <x v="5"/>
    <n v="1"/>
    <n v="24"/>
    <n v="20"/>
    <n v="0"/>
    <n v="0"/>
    <n v="0"/>
    <n v="86.4"/>
    <n v="480"/>
    <n v="566"/>
    <n v="199"/>
    <s v="Giancarlo Tavarez"/>
    <s v="SDE2"/>
    <n v="10"/>
    <n v="114"/>
    <s v="BLANCOX"/>
    <n v="66102"/>
    <s v="BLANCOX BOTELLA"/>
    <s v="Brinsa Dominicana"/>
    <s v="S1"/>
    <s v="Ramon E. Pimentel (SDE)"/>
    <s v="P206"/>
    <s v="Santo Domingo Este"/>
    <s v="E320000210309"/>
    <n v="0"/>
    <n v="0"/>
    <s v="NULL"/>
    <s v="NULL"/>
    <n v="0"/>
    <n v="0"/>
    <s v="CONTADO                                           "/>
    <n v="13"/>
    <n v="6299139"/>
    <s v="Almacenes"/>
    <s v="General"/>
  </r>
  <r>
    <n v="119"/>
    <s v="A Grande"/>
    <n v="3"/>
    <n v="6299139"/>
    <s v="Mario Jose Martinez"/>
    <s v="Logistica y Distribucion"/>
    <n v="10128056"/>
    <d v="2026-03-27T00:00:00"/>
    <d v="2026-03-27T00:00:00"/>
    <n v="2026"/>
    <n v="3"/>
    <s v="T1"/>
    <n v="1"/>
    <s v="General"/>
    <s v="Santo Domnigo"/>
    <s v="NULL"/>
    <s v="NULL"/>
    <n v="13"/>
    <n v="27"/>
    <n v="36908"/>
    <n v="3"/>
    <s v="c036908"/>
    <s v="Asociacion De Detallistas Unidos De Mendoza"/>
    <s v="SUPERMERCADO"/>
    <s v="Miércoles"/>
    <s v="Miércoles"/>
    <n v="11"/>
    <x v="20"/>
    <s v="V611055"/>
    <x v="20"/>
    <n v="2"/>
    <n v="8"/>
    <n v="78.319999999999993"/>
    <n v="0"/>
    <n v="0"/>
    <n v="0"/>
    <n v="112.78"/>
    <n v="626.55999999999995"/>
    <n v="739"/>
    <n v="199"/>
    <s v="Giancarlo Tavarez"/>
    <s v="SDE2"/>
    <n v="10"/>
    <n v="114"/>
    <s v="BLANCOX"/>
    <n v="66102"/>
    <s v="BLANCOX BOTELLA"/>
    <s v="Brinsa Dominicana"/>
    <s v="S1"/>
    <s v="Ramon E. Pimentel (SDE)"/>
    <s v="P206"/>
    <s v="Santo Domingo Este"/>
    <s v="E320000210309"/>
    <n v="0"/>
    <n v="0"/>
    <s v="NULL"/>
    <s v="NULL"/>
    <n v="0"/>
    <n v="0"/>
    <s v="CONTADO                                           "/>
    <n v="13"/>
    <n v="6299139"/>
    <s v="Almacenes"/>
    <s v="General"/>
  </r>
  <r>
    <n v="119"/>
    <s v="A Grande"/>
    <n v="3"/>
    <n v="6299139"/>
    <s v="Mario Jose Martinez"/>
    <s v="Logistica y Distribucion"/>
    <n v="10128056"/>
    <d v="2026-03-27T00:00:00"/>
    <d v="2026-03-27T00:00:00"/>
    <n v="2026"/>
    <n v="3"/>
    <s v="T1"/>
    <n v="1"/>
    <s v="General"/>
    <s v="Santo Domnigo"/>
    <s v="NULL"/>
    <s v="NULL"/>
    <n v="13"/>
    <n v="27"/>
    <n v="36908"/>
    <n v="3"/>
    <s v="c036908"/>
    <s v="Asociacion De Detallistas Unidos De Mendoza"/>
    <s v="SUPERMERCADO"/>
    <s v="Miércoles"/>
    <s v="Miércoles"/>
    <n v="11"/>
    <x v="19"/>
    <s v="V800089"/>
    <x v="19"/>
    <n v="1"/>
    <n v="8"/>
    <n v="364.41"/>
    <n v="0"/>
    <n v="0"/>
    <n v="0"/>
    <n v="524.75"/>
    <n v="2915.28"/>
    <n v="344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10309"/>
    <n v="0"/>
    <n v="0"/>
    <s v="NULL"/>
    <s v="NULL"/>
    <n v="0"/>
    <n v="0"/>
    <s v="CONTADO                                           "/>
    <n v="13"/>
    <n v="6299139"/>
    <s v="Almacenes"/>
    <s v="General"/>
  </r>
  <r>
    <n v="119"/>
    <s v="A Grande"/>
    <n v="3"/>
    <n v="6299139"/>
    <s v="Mario Jose Martinez"/>
    <s v="Logistica y Distribucion"/>
    <n v="10128056"/>
    <d v="2026-03-27T00:00:00"/>
    <d v="2026-03-27T00:00:00"/>
    <n v="2026"/>
    <n v="3"/>
    <s v="T1"/>
    <n v="1"/>
    <s v="General"/>
    <s v="Santo Domnigo"/>
    <s v="NULL"/>
    <s v="NULL"/>
    <n v="13"/>
    <n v="27"/>
    <n v="36908"/>
    <n v="3"/>
    <s v="c036908"/>
    <s v="Asociacion De Detallistas Unidos De Mendoza"/>
    <s v="SUPERMERCADO"/>
    <s v="Miércoles"/>
    <s v="Miércoles"/>
    <n v="11"/>
    <x v="13"/>
    <s v="v101038"/>
    <x v="13"/>
    <n v="1"/>
    <n v="10"/>
    <n v="364.41"/>
    <n v="0"/>
    <n v="0"/>
    <n v="0"/>
    <n v="655.94"/>
    <n v="3644.1"/>
    <n v="430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10309"/>
    <n v="0"/>
    <n v="0"/>
    <s v="NULL"/>
    <s v="NULL"/>
    <n v="0"/>
    <n v="0"/>
    <s v="CONTADO                                           "/>
    <n v="13"/>
    <n v="6299139"/>
    <s v="Almacenes"/>
    <s v="General"/>
  </r>
  <r>
    <n v="242"/>
    <s v="A Grande"/>
    <n v="3"/>
    <n v="6301011"/>
    <s v="Agustin Luna Valdez"/>
    <s v="Logistica y Distribucion"/>
    <n v="10129928"/>
    <d v="2026-03-28T00:00:00"/>
    <d v="2026-03-28T00:00:00"/>
    <n v="2026"/>
    <n v="3"/>
    <s v="T1"/>
    <n v="1"/>
    <s v="General"/>
    <s v="Santo Domnigo"/>
    <s v="NULL"/>
    <s v="NULL"/>
    <n v="13"/>
    <n v="28"/>
    <n v="14167"/>
    <n v="3"/>
    <s v="C014167"/>
    <s v="Mini Market Galvan"/>
    <s v="MINI MARKET"/>
    <s v="Lunes"/>
    <s v="Lunes"/>
    <n v="91"/>
    <x v="14"/>
    <s v="V800088"/>
    <x v="14"/>
    <n v="0.625"/>
    <n v="5"/>
    <n v="364.41"/>
    <n v="0"/>
    <n v="0"/>
    <n v="0"/>
    <n v="327.97"/>
    <n v="1822.05"/>
    <n v="2150"/>
    <n v="3"/>
    <s v="Enmanuel Bido (Argelis)"/>
    <s v="DN1"/>
    <n v="10"/>
    <n v="105"/>
    <s v="NOSOTRAS"/>
    <n v="677001"/>
    <s v="CUIDADO FEMENINO"/>
    <s v="Continental de Negocios"/>
    <s v="S5"/>
    <s v="Fernando Martinez  (DN)"/>
    <s v="P005"/>
    <s v="Distrito Nacional"/>
    <s v="E320000212169"/>
    <n v="0"/>
    <n v="0"/>
    <s v="NULL"/>
    <s v="NULL"/>
    <n v="0"/>
    <n v="0"/>
    <s v="CONTADO                                           "/>
    <n v="13"/>
    <n v="6301011"/>
    <s v="Almacenes"/>
    <s v="General"/>
  </r>
  <r>
    <n v="242"/>
    <s v="A Grande"/>
    <n v="3"/>
    <n v="6301011"/>
    <s v="Agustin Luna Valdez"/>
    <s v="Logistica y Distribucion"/>
    <n v="10129928"/>
    <d v="2026-03-28T00:00:00"/>
    <d v="2026-03-28T00:00:00"/>
    <n v="2026"/>
    <n v="3"/>
    <s v="T1"/>
    <n v="1"/>
    <s v="General"/>
    <s v="Santo Domnigo"/>
    <s v="NULL"/>
    <s v="NULL"/>
    <n v="13"/>
    <n v="28"/>
    <n v="14167"/>
    <n v="3"/>
    <s v="C014167"/>
    <s v="Mini Market Galvan"/>
    <s v="MINI MARKET"/>
    <s v="Lunes"/>
    <s v="Lunes"/>
    <n v="91"/>
    <x v="13"/>
    <s v="v101038"/>
    <x v="13"/>
    <n v="0.5"/>
    <n v="5"/>
    <n v="364.41"/>
    <n v="0"/>
    <n v="0"/>
    <n v="0"/>
    <n v="327.97"/>
    <n v="1822.05"/>
    <n v="2150"/>
    <n v="3"/>
    <s v="Enmanuel Bido (Argelis)"/>
    <s v="DN1"/>
    <n v="10"/>
    <n v="105"/>
    <s v="NOSOTRAS"/>
    <n v="677001"/>
    <s v="CUIDADO FEMENINO"/>
    <s v="Continental de Negocios"/>
    <s v="S5"/>
    <s v="Fernando Martinez  (DN)"/>
    <s v="P005"/>
    <s v="Distrito Nacional"/>
    <s v="E320000212169"/>
    <n v="0"/>
    <n v="0"/>
    <s v="NULL"/>
    <s v="NULL"/>
    <n v="0"/>
    <n v="0"/>
    <s v="CONTADO                                           "/>
    <n v="13"/>
    <n v="6301011"/>
    <s v="Almacenes"/>
    <s v="General"/>
  </r>
  <r>
    <n v="223"/>
    <s v="A Grande"/>
    <n v="3"/>
    <n v="6303298"/>
    <s v="Martin Figueroa"/>
    <s v="Logistica y Distribucion"/>
    <n v="10132215"/>
    <d v="2026-03-29T00:00:00"/>
    <d v="2026-03-29T00:00:00"/>
    <n v="2026"/>
    <n v="3"/>
    <s v="T1"/>
    <n v="1"/>
    <s v="General"/>
    <s v="Santo Domnigo"/>
    <s v="NULL"/>
    <s v="NULL"/>
    <n v="14"/>
    <n v="29"/>
    <n v="12191"/>
    <n v="3"/>
    <s v="C012191"/>
    <s v="Super Mercado La Ballena"/>
    <s v="SUPERMERCADO"/>
    <s v="Lunes"/>
    <s v="Lunes"/>
    <n v="91"/>
    <x v="9"/>
    <s v="V201001"/>
    <x v="9"/>
    <n v="30"/>
    <n v="30"/>
    <n v="212.8"/>
    <n v="0"/>
    <n v="0"/>
    <n v="0"/>
    <n v="1149.1199999999999"/>
    <n v="6384"/>
    <n v="7533"/>
    <n v="91"/>
    <s v="Enrrique Morillo (DN)"/>
    <s v="DN6"/>
    <n v="10"/>
    <n v="113"/>
    <s v="REFISAL"/>
    <n v="82101"/>
    <s v="REFISAL PACA"/>
    <s v="Brinsa Dominicana"/>
    <s v="S5"/>
    <s v="Fernando Martinez  (DN)"/>
    <s v="DN013"/>
    <s v="Distrito Nacional"/>
    <s v="E320000214338"/>
    <n v="0"/>
    <n v="0"/>
    <s v="NULL"/>
    <s v="NULL"/>
    <n v="0"/>
    <n v="0"/>
    <s v="CONTADO                                           "/>
    <n v="13"/>
    <n v="6303298"/>
    <s v="Almacenes"/>
    <s v="General"/>
  </r>
  <r>
    <n v="109"/>
    <s v="A Grande"/>
    <n v="3"/>
    <n v="6304592"/>
    <s v="Tony Vallejo"/>
    <s v="Logistica y Distribucion"/>
    <n v="10133509"/>
    <d v="2026-03-30T00:00:00"/>
    <d v="2026-03-30T00:00:00"/>
    <n v="2026"/>
    <n v="3"/>
    <s v="T1"/>
    <n v="1"/>
    <s v="General"/>
    <s v="Santo Domnigo"/>
    <s v="NULL"/>
    <s v="NULL"/>
    <n v="14"/>
    <n v="30"/>
    <n v="19291"/>
    <n v="3"/>
    <s v="C019291"/>
    <s v="Mini Market Isamal Comercial"/>
    <s v="MINI MARKET"/>
    <s v="Miércoles"/>
    <s v="Miércoles"/>
    <n v="8"/>
    <x v="9"/>
    <s v="V201001"/>
    <x v="9"/>
    <n v="25"/>
    <n v="25"/>
    <n v="212.8"/>
    <n v="0"/>
    <n v="0"/>
    <n v="0"/>
    <n v="957.6"/>
    <n v="5320"/>
    <n v="6278"/>
    <n v="4"/>
    <s v="Argelis Salvador (Bido)"/>
    <s v="DN2"/>
    <n v="10"/>
    <n v="113"/>
    <s v="REFISAL"/>
    <n v="82101"/>
    <s v="REFISAL PACA"/>
    <s v="Brinsa Dominicana"/>
    <s v="S5"/>
    <s v="Fernando Martinez  (DN)"/>
    <s v="P003"/>
    <s v="Distrito Nacional"/>
    <s v="E320000215587"/>
    <n v="0"/>
    <n v="0"/>
    <s v="NULL"/>
    <s v="NULL"/>
    <n v="0"/>
    <n v="0"/>
    <s v="CONTADO                                           "/>
    <n v="13"/>
    <n v="6304592"/>
    <s v="Almacenes"/>
    <s v="General"/>
  </r>
  <r>
    <n v="242"/>
    <s v="A Grande"/>
    <n v="3"/>
    <n v="6304936"/>
    <s v="Agustin Luna Valdez"/>
    <s v="Logistica y Distribucion"/>
    <n v="10133853"/>
    <d v="2026-03-30T00:00:00"/>
    <d v="2026-03-30T00:00:00"/>
    <n v="2026"/>
    <n v="3"/>
    <s v="T1"/>
    <n v="1"/>
    <s v="General"/>
    <s v="Santo Domnigo"/>
    <s v="NULL"/>
    <s v="NULL"/>
    <n v="14"/>
    <n v="30"/>
    <n v="14167"/>
    <n v="3"/>
    <s v="C014167"/>
    <s v="Mini Market Galvan"/>
    <s v="MINI MARKET"/>
    <s v="Lunes"/>
    <s v="Lunes"/>
    <n v="91"/>
    <x v="13"/>
    <s v="v101038"/>
    <x v="13"/>
    <n v="4"/>
    <n v="40"/>
    <n v="360.77"/>
    <n v="0"/>
    <n v="0"/>
    <n v="0"/>
    <n v="2597.54"/>
    <n v="14430.8"/>
    <n v="17028"/>
    <n v="3"/>
    <s v="Enmanuel Bido (Argelis)"/>
    <s v="DN1"/>
    <n v="10"/>
    <n v="105"/>
    <s v="NOSOTRAS"/>
    <n v="677001"/>
    <s v="CUIDADO FEMENINO"/>
    <s v="Continental de Negocios"/>
    <s v="S5"/>
    <s v="Fernando Martinez  (DN)"/>
    <s v="P005"/>
    <s v="Distrito Nacional"/>
    <s v="E320000215920"/>
    <n v="0"/>
    <n v="0"/>
    <s v="NULL"/>
    <s v="NULL"/>
    <n v="0"/>
    <n v="0"/>
    <s v="CONTADO                                           "/>
    <n v="13"/>
    <n v="6304936"/>
    <s v="Almacenes"/>
    <s v="General"/>
  </r>
  <r>
    <n v="242"/>
    <s v="A Grande"/>
    <n v="3"/>
    <n v="6307904"/>
    <s v="Agustin Luna Valdez"/>
    <s v="Logistica y Distribucion"/>
    <n v="10136821"/>
    <d v="2026-03-31T00:00:00"/>
    <d v="2026-03-31T00:00:00"/>
    <n v="2026"/>
    <n v="3"/>
    <s v="T1"/>
    <n v="1"/>
    <s v="General"/>
    <s v="Santo Domnigo"/>
    <s v="NULL"/>
    <s v="NULL"/>
    <n v="14"/>
    <n v="31"/>
    <n v="2280"/>
    <n v="3"/>
    <s v="C002280"/>
    <s v="Mini Market Familiar"/>
    <s v="MINI MARKET"/>
    <s v="Miércoles"/>
    <s v="Miércoles"/>
    <n v="14"/>
    <x v="29"/>
    <s v="V101034"/>
    <x v="29"/>
    <n v="0.1"/>
    <n v="1"/>
    <n v="233.05"/>
    <n v="0"/>
    <n v="0"/>
    <n v="0"/>
    <n v="41.95"/>
    <n v="233.05"/>
    <n v="275"/>
    <n v="93"/>
    <s v="Junior M. Ramos (Isaac Maria)"/>
    <s v="DN7"/>
    <n v="10"/>
    <n v="136"/>
    <s v="NOSOTRAS DIARIOS"/>
    <n v="677001"/>
    <s v="CUIDADO FEMENINO"/>
    <s v="Continental de Negocios"/>
    <s v="S5"/>
    <s v="Fernando Martinez  (DN)"/>
    <s v="P007"/>
    <s v="Distrito Nacional"/>
    <s v="E320000218905"/>
    <n v="0"/>
    <n v="0"/>
    <s v="NULL"/>
    <s v="NULL"/>
    <n v="0"/>
    <n v="0"/>
    <s v="CONTADO                                           "/>
    <n v="13"/>
    <n v="6307904"/>
    <s v="Almacenes"/>
    <s v="General"/>
  </r>
  <r>
    <n v="242"/>
    <s v="A Grande"/>
    <n v="3"/>
    <n v="6307904"/>
    <s v="Agustin Luna Valdez"/>
    <s v="Logistica y Distribucion"/>
    <n v="10136821"/>
    <d v="2026-03-31T00:00:00"/>
    <d v="2026-03-31T00:00:00"/>
    <n v="2026"/>
    <n v="3"/>
    <s v="T1"/>
    <n v="1"/>
    <s v="General"/>
    <s v="Santo Domnigo"/>
    <s v="NULL"/>
    <s v="NULL"/>
    <n v="14"/>
    <n v="31"/>
    <n v="2280"/>
    <n v="3"/>
    <s v="C002280"/>
    <s v="Mini Market Familiar"/>
    <s v="MINI MARKET"/>
    <s v="Miércoles"/>
    <s v="Miércoles"/>
    <n v="14"/>
    <x v="9"/>
    <s v="V201001"/>
    <x v="9"/>
    <n v="3"/>
    <n v="3"/>
    <n v="221.67"/>
    <n v="0"/>
    <n v="0"/>
    <n v="0"/>
    <n v="119.7"/>
    <n v="665.01"/>
    <n v="785"/>
    <n v="93"/>
    <s v="Junior M. Ramos (Isaac Maria)"/>
    <s v="DN7"/>
    <n v="10"/>
    <n v="113"/>
    <s v="REFISAL"/>
    <n v="82101"/>
    <s v="REFISAL PACA"/>
    <s v="Brinsa Dominicana"/>
    <s v="S5"/>
    <s v="Fernando Martinez  (DN)"/>
    <s v="P007"/>
    <s v="Distrito Nacional"/>
    <s v="E320000218905"/>
    <n v="0"/>
    <n v="0"/>
    <s v="NULL"/>
    <s v="NULL"/>
    <n v="0"/>
    <n v="0"/>
    <s v="CONTADO                                           "/>
    <n v="13"/>
    <n v="6307904"/>
    <s v="Almacenes"/>
    <s v="General"/>
  </r>
  <r>
    <n v="242"/>
    <s v="A Grande"/>
    <n v="3"/>
    <n v="6307934"/>
    <s v="Agustin Luna Valdez"/>
    <s v="Logistica y Distribucion"/>
    <n v="10136851"/>
    <d v="2026-03-31T00:00:00"/>
    <d v="2026-03-31T00:00:00"/>
    <n v="2026"/>
    <n v="3"/>
    <s v="T1"/>
    <n v="1"/>
    <s v="General"/>
    <s v="Santo Domnigo"/>
    <s v="NULL"/>
    <s v="NULL"/>
    <n v="14"/>
    <n v="31"/>
    <n v="19291"/>
    <n v="3"/>
    <s v="C019291"/>
    <s v="Mini Market Isamal Comercial"/>
    <s v="MINI MARKET"/>
    <s v="Miércoles"/>
    <s v="Miércoles"/>
    <n v="8"/>
    <x v="5"/>
    <s v="V611053"/>
    <x v="5"/>
    <n v="1"/>
    <n v="24"/>
    <n v="20"/>
    <n v="0"/>
    <n v="0"/>
    <n v="0"/>
    <n v="86.4"/>
    <n v="480"/>
    <n v="566"/>
    <n v="4"/>
    <s v="Argelis Salvador (Bido)"/>
    <s v="DN2"/>
    <n v="10"/>
    <n v="114"/>
    <s v="BLANCOX"/>
    <n v="66102"/>
    <s v="BLANCOX BOTELLA"/>
    <s v="Brinsa Dominicana"/>
    <s v="S5"/>
    <s v="Fernando Martinez  (DN)"/>
    <s v="P003"/>
    <s v="Distrito Nacional"/>
    <s v="E320000218935"/>
    <n v="0"/>
    <n v="0"/>
    <s v="NULL"/>
    <s v="NULL"/>
    <n v="0"/>
    <n v="0"/>
    <s v="CONTADO                                           "/>
    <n v="13"/>
    <n v="6307934"/>
    <s v="Almacenes"/>
    <s v="General"/>
  </r>
  <r>
    <n v="242"/>
    <s v="A Grande"/>
    <n v="3"/>
    <n v="6307934"/>
    <s v="Agustin Luna Valdez"/>
    <s v="Logistica y Distribucion"/>
    <n v="10136851"/>
    <d v="2026-03-31T00:00:00"/>
    <d v="2026-03-31T00:00:00"/>
    <n v="2026"/>
    <n v="3"/>
    <s v="T1"/>
    <n v="1"/>
    <s v="General"/>
    <s v="Santo Domnigo"/>
    <s v="NULL"/>
    <s v="NULL"/>
    <n v="14"/>
    <n v="31"/>
    <n v="19291"/>
    <n v="3"/>
    <s v="C019291"/>
    <s v="Mini Market Isamal Comercial"/>
    <s v="MINI MARKET"/>
    <s v="Miércoles"/>
    <s v="Miércoles"/>
    <n v="8"/>
    <x v="20"/>
    <s v="V611055"/>
    <x v="20"/>
    <n v="3"/>
    <n v="12"/>
    <n v="78.319999999999993"/>
    <n v="0"/>
    <n v="0"/>
    <n v="0"/>
    <n v="169.17"/>
    <n v="939.84"/>
    <n v="1109"/>
    <n v="4"/>
    <s v="Argelis Salvador (Bido)"/>
    <s v="DN2"/>
    <n v="10"/>
    <n v="114"/>
    <s v="BLANCOX"/>
    <n v="66102"/>
    <s v="BLANCOX BOTELLA"/>
    <s v="Brinsa Dominicana"/>
    <s v="S5"/>
    <s v="Fernando Martinez  (DN)"/>
    <s v="P003"/>
    <s v="Distrito Nacional"/>
    <s v="E320000218935"/>
    <n v="0"/>
    <n v="0"/>
    <s v="NULL"/>
    <s v="NULL"/>
    <n v="0"/>
    <n v="0"/>
    <s v="CONTADO                                           "/>
    <n v="13"/>
    <n v="6307934"/>
    <s v="Almacenes"/>
    <s v="General"/>
  </r>
  <r>
    <n v="264"/>
    <s v="A Grande"/>
    <n v="3"/>
    <n v="6308273"/>
    <s v="Brailin Peña"/>
    <s v="Logistica y Distribucion"/>
    <n v="10137190"/>
    <d v="2026-03-31T00:00:00"/>
    <d v="2026-03-31T00:00:00"/>
    <n v="2026"/>
    <n v="3"/>
    <s v="T1"/>
    <n v="1"/>
    <s v="General"/>
    <s v="Santo Domnigo"/>
    <s v="NULL"/>
    <s v="NULL"/>
    <n v="14"/>
    <n v="31"/>
    <n v="37594"/>
    <n v="3"/>
    <s v="C037594"/>
    <s v="Mini Market El patron 3."/>
    <s v="MINI MARKET"/>
    <s v="Miércoles"/>
    <s v="Miércoles"/>
    <n v="72"/>
    <x v="7"/>
    <s v="V621004"/>
    <x v="7"/>
    <n v="1"/>
    <n v="12"/>
    <n v="265.58999999999997"/>
    <n v="0"/>
    <n v="0"/>
    <n v="0"/>
    <n v="573.66999999999996"/>
    <n v="3187.08"/>
    <n v="3761"/>
    <n v="95"/>
    <s v="Benigno Paniagua (T)"/>
    <s v="SDO5"/>
    <n v="10"/>
    <n v="138"/>
    <s v="INSECTICIDAS"/>
    <n v="73101"/>
    <s v="INSECTICIDA BAIGON"/>
    <s v="Comercial Fila"/>
    <s v="S2"/>
    <s v="Fernando Martinez (SDO)"/>
    <s v="P010"/>
    <s v="Santo Domingo Oeste"/>
    <s v="E310000018347"/>
    <n v="0"/>
    <n v="0"/>
    <s v="NULL"/>
    <s v="NULL"/>
    <n v="0"/>
    <n v="0"/>
    <s v="CONTADO                                           "/>
    <n v="13"/>
    <n v="6308273"/>
    <s v="Almacenes"/>
    <s v="General"/>
  </r>
  <r>
    <n v="264"/>
    <s v="A Grande"/>
    <n v="3"/>
    <n v="6308273"/>
    <s v="Brailin Peña"/>
    <s v="Logistica y Distribucion"/>
    <n v="10137190"/>
    <d v="2026-03-31T00:00:00"/>
    <d v="2026-03-31T00:00:00"/>
    <n v="2026"/>
    <n v="3"/>
    <s v="T1"/>
    <n v="1"/>
    <s v="General"/>
    <s v="Santo Domnigo"/>
    <s v="NULL"/>
    <s v="NULL"/>
    <n v="14"/>
    <n v="31"/>
    <n v="37594"/>
    <n v="3"/>
    <s v="C037594"/>
    <s v="Mini Market El patron 3."/>
    <s v="MINI MARKET"/>
    <s v="Miércoles"/>
    <s v="Miércoles"/>
    <n v="72"/>
    <x v="16"/>
    <s v="V103001"/>
    <x v="16"/>
    <n v="1"/>
    <n v="48"/>
    <n v="21.36"/>
    <n v="0"/>
    <n v="0"/>
    <n v="0"/>
    <n v="184.55"/>
    <n v="1025.28"/>
    <n v="1210"/>
    <n v="95"/>
    <s v="Benigno Paniagua (T)"/>
    <s v="SDO5"/>
    <n v="10"/>
    <n v="107"/>
    <s v="FAMILIA"/>
    <n v="6770651"/>
    <s v="CUIDADO FAMILIAR"/>
    <s v="Continental de Negocios"/>
    <s v="S2"/>
    <s v="Fernando Martinez (SDO)"/>
    <s v="P010"/>
    <s v="Santo Domingo Oeste"/>
    <s v="E310000018347"/>
    <n v="0"/>
    <n v="0"/>
    <s v="NULL"/>
    <s v="NULL"/>
    <n v="0"/>
    <n v="0"/>
    <s v="CONTADO                                           "/>
    <n v="13"/>
    <n v="6308273"/>
    <s v="Almacenes"/>
    <s v="General"/>
  </r>
  <r>
    <n v="264"/>
    <s v="A Grande"/>
    <n v="3"/>
    <n v="6308273"/>
    <s v="Brailin Peña"/>
    <s v="Logistica y Distribucion"/>
    <n v="10137190"/>
    <d v="2026-03-31T00:00:00"/>
    <d v="2026-03-31T00:00:00"/>
    <n v="2026"/>
    <n v="3"/>
    <s v="T1"/>
    <n v="1"/>
    <s v="General"/>
    <s v="Santo Domnigo"/>
    <s v="NULL"/>
    <s v="NULL"/>
    <n v="14"/>
    <n v="31"/>
    <n v="37594"/>
    <n v="3"/>
    <s v="C037594"/>
    <s v="Mini Market El patron 3."/>
    <s v="MINI MARKET"/>
    <s v="Miércoles"/>
    <s v="Miércoles"/>
    <n v="72"/>
    <x v="16"/>
    <s v="V103001"/>
    <x v="16"/>
    <n v="0.16666666666666"/>
    <n v="8"/>
    <n v="0"/>
    <n v="0"/>
    <n v="0"/>
    <n v="0"/>
    <n v="0"/>
    <n v="0"/>
    <n v="0"/>
    <n v="95"/>
    <s v="Benigno Paniagua (T)"/>
    <s v="SDO5"/>
    <n v="10"/>
    <n v="107"/>
    <s v="FAMILIA"/>
    <n v="6770651"/>
    <s v="CUIDADO FAMILIAR"/>
    <s v="Continental de Negocios"/>
    <s v="S2"/>
    <s v="Fernando Martinez (SDO)"/>
    <s v="P010"/>
    <s v="Santo Domingo Oeste"/>
    <s v="E310000018347"/>
    <n v="0"/>
    <n v="1"/>
    <n v="3438"/>
    <s v="Papel Higienico Familia 24 UND +4UND  Papeles Familia de Ofertas"/>
    <n v="0"/>
    <n v="0"/>
    <s v="CONTADO                                           "/>
    <n v="13"/>
    <n v="6308273"/>
    <s v="Almacenes"/>
    <s v="General"/>
  </r>
  <r>
    <n v="254"/>
    <s v="A Grande"/>
    <n v="3"/>
    <n v="6308335"/>
    <s v="Santo Muñoz de Paula"/>
    <s v="Logistica y Distribucion"/>
    <n v="10137252"/>
    <d v="2026-03-31T00:00:00"/>
    <d v="2026-03-31T00:00:00"/>
    <n v="2026"/>
    <n v="3"/>
    <s v="T1"/>
    <n v="1"/>
    <s v="Alimentos - Espejo"/>
    <s v="Santo Domnigo"/>
    <s v="NULL"/>
    <s v="NULL"/>
    <n v="14"/>
    <n v="31"/>
    <n v="5474"/>
    <n v="3"/>
    <s v="C005474"/>
    <s v="Mini Market Gracia Divina"/>
    <s v="MINI MARKET"/>
    <s v="Jueves"/>
    <s v="SinAsignar"/>
    <n v="70"/>
    <x v="59"/>
    <s v="V925050"/>
    <x v="59"/>
    <n v="1"/>
    <n v="24"/>
    <n v="73.45"/>
    <n v="0"/>
    <n v="0"/>
    <n v="0"/>
    <n v="317.3"/>
    <n v="1762.8"/>
    <n v="2080"/>
    <n v="94"/>
    <s v="Vicente Cruz"/>
    <s v="SDO6"/>
    <n v="10"/>
    <n v="117"/>
    <s v="DIMAR"/>
    <n v="65104"/>
    <s v="ALIMENTOS SARDINAS"/>
    <s v="DIMAR DOMINICANA"/>
    <s v="S2"/>
    <s v="Fernando Martinez (SDO)"/>
    <s v="P009"/>
    <s v="Santo Domingo Oeste"/>
    <s v="E310000018361"/>
    <n v="0"/>
    <n v="0"/>
    <s v="NULL"/>
    <s v="NULL"/>
    <n v="0"/>
    <n v="0"/>
    <s v="CONTADO                                           "/>
    <n v="13"/>
    <n v="6308335"/>
    <s v="Almacenes"/>
    <s v="General"/>
  </r>
  <r>
    <n v="254"/>
    <s v="A Grande"/>
    <n v="3"/>
    <n v="6308335"/>
    <s v="Santo Muñoz de Paula"/>
    <s v="Logistica y Distribucion"/>
    <n v="10137252"/>
    <d v="2026-03-31T00:00:00"/>
    <d v="2026-03-31T00:00:00"/>
    <n v="2026"/>
    <n v="3"/>
    <s v="T1"/>
    <n v="1"/>
    <s v="Alimentos - Espejo"/>
    <s v="Santo Domnigo"/>
    <s v="NULL"/>
    <s v="NULL"/>
    <n v="14"/>
    <n v="31"/>
    <n v="5474"/>
    <n v="3"/>
    <s v="C005474"/>
    <s v="Mini Market Gracia Divina"/>
    <s v="MINI MARKET"/>
    <s v="Jueves"/>
    <s v="SinAsignar"/>
    <n v="70"/>
    <x v="30"/>
    <s v="V930023"/>
    <x v="30"/>
    <n v="0.3"/>
    <n v="6"/>
    <n v="140.75"/>
    <n v="0"/>
    <n v="0"/>
    <n v="0"/>
    <n v="152.01"/>
    <n v="844.5"/>
    <n v="997"/>
    <n v="94"/>
    <s v="Vicente Cruz"/>
    <s v="SDO6"/>
    <n v="10"/>
    <n v="208"/>
    <s v="CARAMELOS DUROS"/>
    <n v="0"/>
    <s v="NULL"/>
    <s v="COLOMBINA"/>
    <s v="S2"/>
    <s v="Fernando Martinez (SDO)"/>
    <s v="P009"/>
    <s v="Santo Domingo Oeste"/>
    <s v="E310000018361"/>
    <n v="0"/>
    <n v="0"/>
    <s v="NULL"/>
    <s v="NULL"/>
    <n v="0"/>
    <n v="0"/>
    <s v="CONTADO                                           "/>
    <n v="13"/>
    <n v="6308335"/>
    <s v="Almacenes"/>
    <s v="General"/>
  </r>
  <r>
    <n v="119"/>
    <s v="A Grande"/>
    <n v="3"/>
    <n v="6308462"/>
    <s v="Mario Jose Martinez"/>
    <s v="Logistica y Distribucion"/>
    <n v="10137379"/>
    <d v="2026-03-31T00:00:00"/>
    <d v="2026-03-31T00:00:00"/>
    <n v="2026"/>
    <n v="3"/>
    <s v="T1"/>
    <n v="1"/>
    <s v="General"/>
    <s v="Santo Domnigo"/>
    <s v="NULL"/>
    <s v="NULL"/>
    <n v="14"/>
    <n v="31"/>
    <n v="36908"/>
    <n v="3"/>
    <s v="c036908"/>
    <s v="Asociacion De Detallistas Unidos De Mendoza"/>
    <s v="SUPERMERCADO"/>
    <s v="Miércoles"/>
    <s v="Miércoles"/>
    <n v="11"/>
    <x v="14"/>
    <s v="V800088"/>
    <x v="14"/>
    <n v="1"/>
    <n v="8"/>
    <n v="360.77"/>
    <n v="0"/>
    <n v="0"/>
    <n v="0"/>
    <n v="519.51"/>
    <n v="2886.16"/>
    <n v="3406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19453"/>
    <n v="0"/>
    <n v="0"/>
    <s v="NULL"/>
    <s v="NULL"/>
    <n v="0"/>
    <n v="0"/>
    <s v="CONTADO                                           "/>
    <n v="13"/>
    <n v="6308462"/>
    <s v="Almacenes"/>
    <s v="General"/>
  </r>
  <r>
    <n v="119"/>
    <s v="A Grande"/>
    <n v="3"/>
    <n v="6308462"/>
    <s v="Mario Jose Martinez"/>
    <s v="Logistica y Distribucion"/>
    <n v="10137379"/>
    <d v="2026-03-31T00:00:00"/>
    <d v="2026-03-31T00:00:00"/>
    <n v="2026"/>
    <n v="3"/>
    <s v="T1"/>
    <n v="1"/>
    <s v="Alimentos - Espejo"/>
    <s v="Santo Domnigo"/>
    <s v="NULL"/>
    <s v="NULL"/>
    <n v="14"/>
    <n v="31"/>
    <n v="36908"/>
    <n v="3"/>
    <s v="c036908"/>
    <s v="Asociacion De Detallistas Unidos De Mendoza"/>
    <s v="SUPERMERCADO"/>
    <s v="Miércoles"/>
    <s v="Miércoles"/>
    <n v="11"/>
    <x v="24"/>
    <s v="V930012"/>
    <x v="24"/>
    <n v="1.25"/>
    <n v="20"/>
    <n v="90.18"/>
    <n v="0"/>
    <n v="0"/>
    <n v="0"/>
    <n v="324.64999999999998"/>
    <n v="1803.6"/>
    <n v="2128"/>
    <n v="199"/>
    <s v="Giancarlo Tavarez"/>
    <s v="SDE2"/>
    <n v="10"/>
    <n v="208"/>
    <s v="CARAMELOS DUROS"/>
    <n v="0"/>
    <s v="NULL"/>
    <s v="COLOMBINA"/>
    <s v="S1"/>
    <s v="Ramon E. Pimentel (SDE)"/>
    <s v="P206"/>
    <s v="Santo Domingo Este"/>
    <s v="E320000219453"/>
    <n v="0"/>
    <n v="0"/>
    <s v="NULL"/>
    <s v="NULL"/>
    <n v="0"/>
    <n v="0"/>
    <s v="CONTADO                                           "/>
    <n v="13"/>
    <n v="6308462"/>
    <s v="Almacenes"/>
    <s v="General"/>
  </r>
  <r>
    <n v="119"/>
    <s v="A Grande"/>
    <n v="3"/>
    <n v="6308462"/>
    <s v="Mario Jose Martinez"/>
    <s v="Logistica y Distribucion"/>
    <n v="10137379"/>
    <d v="2026-03-31T00:00:00"/>
    <d v="2026-03-31T00:00:00"/>
    <n v="2026"/>
    <n v="3"/>
    <s v="T1"/>
    <n v="1"/>
    <s v="General"/>
    <s v="Santo Domnigo"/>
    <s v="NULL"/>
    <s v="NULL"/>
    <n v="14"/>
    <n v="31"/>
    <n v="36908"/>
    <n v="3"/>
    <s v="c036908"/>
    <s v="Asociacion De Detallistas Unidos De Mendoza"/>
    <s v="SUPERMERCADO"/>
    <s v="Miércoles"/>
    <s v="Miércoles"/>
    <n v="11"/>
    <x v="13"/>
    <s v="v101038"/>
    <x v="13"/>
    <n v="1"/>
    <n v="10"/>
    <n v="360.77"/>
    <n v="0"/>
    <n v="0"/>
    <n v="0"/>
    <n v="649.39"/>
    <n v="3607.7"/>
    <n v="4257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19453"/>
    <n v="0"/>
    <n v="0"/>
    <s v="NULL"/>
    <s v="NULL"/>
    <n v="0"/>
    <n v="0"/>
    <s v="CONTADO                                           "/>
    <n v="13"/>
    <n v="6308462"/>
    <s v="Almacenes"/>
    <s v="General"/>
  </r>
  <r>
    <n v="119"/>
    <s v="A Grande"/>
    <n v="3"/>
    <n v="6308462"/>
    <s v="Mario Jose Martinez"/>
    <s v="Logistica y Distribucion"/>
    <n v="10137379"/>
    <d v="2026-03-31T00:00:00"/>
    <d v="2026-03-31T00:00:00"/>
    <n v="2026"/>
    <n v="3"/>
    <s v="T1"/>
    <n v="1"/>
    <s v="General"/>
    <s v="Santo Domnigo"/>
    <s v="NULL"/>
    <s v="NULL"/>
    <n v="14"/>
    <n v="31"/>
    <n v="36908"/>
    <n v="3"/>
    <s v="c036908"/>
    <s v="Asociacion De Detallistas Unidos De Mendoza"/>
    <s v="SUPERMERCADO"/>
    <s v="Miércoles"/>
    <s v="Miércoles"/>
    <n v="11"/>
    <x v="19"/>
    <s v="V800089"/>
    <x v="19"/>
    <n v="1"/>
    <n v="8"/>
    <n v="360.77"/>
    <n v="0"/>
    <n v="0"/>
    <n v="0"/>
    <n v="519.51"/>
    <n v="2886.16"/>
    <n v="3406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19453"/>
    <n v="0"/>
    <n v="0"/>
    <s v="NULL"/>
    <s v="NULL"/>
    <n v="0"/>
    <n v="0"/>
    <s v="CONTADO                                           "/>
    <n v="13"/>
    <n v="6308462"/>
    <s v="Almacenes"/>
    <s v="General"/>
  </r>
  <r>
    <n v="119"/>
    <s v="A Grande"/>
    <n v="3"/>
    <n v="6308462"/>
    <s v="Mario Jose Martinez"/>
    <s v="Logistica y Distribucion"/>
    <n v="10137379"/>
    <d v="2026-03-31T00:00:00"/>
    <d v="2026-03-31T00:00:00"/>
    <n v="2026"/>
    <n v="3"/>
    <s v="T1"/>
    <n v="1"/>
    <s v="General"/>
    <s v="Santo Domnigo"/>
    <s v="NULL"/>
    <s v="NULL"/>
    <n v="14"/>
    <n v="31"/>
    <n v="36908"/>
    <n v="3"/>
    <s v="c036908"/>
    <s v="Asociacion De Detallistas Unidos De Mendoza"/>
    <s v="SUPERMERCADO"/>
    <s v="Miércoles"/>
    <s v="Miércoles"/>
    <n v="11"/>
    <x v="29"/>
    <s v="V101034"/>
    <x v="29"/>
    <n v="1"/>
    <n v="10"/>
    <n v="230.72"/>
    <n v="0"/>
    <n v="0"/>
    <n v="0"/>
    <n v="415.3"/>
    <n v="2307.1999999999998"/>
    <n v="2722"/>
    <n v="199"/>
    <s v="Giancarlo Tavarez"/>
    <s v="SDE2"/>
    <n v="10"/>
    <n v="136"/>
    <s v="NOSOTRAS DIARIOS"/>
    <n v="677001"/>
    <s v="CUIDADO FEMENINO"/>
    <s v="Continental de Negocios"/>
    <s v="S1"/>
    <s v="Ramon E. Pimentel (SDE)"/>
    <s v="P206"/>
    <s v="Santo Domingo Este"/>
    <s v="E320000219453"/>
    <n v="0"/>
    <n v="0"/>
    <s v="NULL"/>
    <s v="NULL"/>
    <n v="0"/>
    <n v="0"/>
    <s v="CONTADO                                           "/>
    <n v="13"/>
    <n v="6308462"/>
    <s v="Almacenes"/>
    <s v="General"/>
  </r>
  <r>
    <n v="119"/>
    <s v="A Grande"/>
    <n v="3"/>
    <n v="6308462"/>
    <s v="Mario Jose Martinez"/>
    <s v="Logistica y Distribucion"/>
    <n v="10137379"/>
    <d v="2026-03-31T00:00:00"/>
    <d v="2026-03-31T00:00:00"/>
    <n v="2026"/>
    <n v="3"/>
    <s v="T1"/>
    <n v="1"/>
    <s v="Alimentos - Espejo"/>
    <s v="Santo Domnigo"/>
    <s v="NULL"/>
    <s v="NULL"/>
    <n v="14"/>
    <n v="31"/>
    <n v="36908"/>
    <n v="3"/>
    <s v="c036908"/>
    <s v="Asociacion De Detallistas Unidos De Mendoza"/>
    <s v="SUPERMERCADO"/>
    <s v="Miércoles"/>
    <s v="Miércoles"/>
    <n v="11"/>
    <x v="60"/>
    <s v="V930154"/>
    <x v="60"/>
    <n v="0.22222222222221999"/>
    <n v="4"/>
    <n v="0"/>
    <n v="0"/>
    <n v="0"/>
    <n v="0"/>
    <n v="0"/>
    <n v="0"/>
    <n v="0"/>
    <n v="199"/>
    <s v="Giancarlo Tavarez"/>
    <s v="SDE2"/>
    <n v="10"/>
    <n v="208"/>
    <s v="CARAMELOS DUROS"/>
    <n v="65103"/>
    <s v="ALIMENTOS DULCES"/>
    <s v="COLOMBINA"/>
    <s v="S1"/>
    <s v="Ramon E. Pimentel (SDE)"/>
    <s v="P206"/>
    <s v="Santo Domingo Este"/>
    <s v="E320000219453"/>
    <n v="0"/>
    <n v="1"/>
    <n v="3490"/>
    <s v="5 Mentas Coffee/Mango/Sandia/Choco Mani/Xtime +1 Xtime Menta de Oferta"/>
    <n v="0"/>
    <n v="0"/>
    <s v="CONTADO                                           "/>
    <n v="13"/>
    <n v="6308462"/>
    <s v="Almacenes"/>
    <s v="General"/>
  </r>
  <r>
    <n v="125"/>
    <s v="A Grande"/>
    <n v="3"/>
    <n v="6315060"/>
    <s v="Juan Rosario"/>
    <s v="Logistica y Distribucion"/>
    <n v="10143977"/>
    <d v="2026-04-07T00:00:00"/>
    <d v="2026-04-07T00:00:00"/>
    <n v="2026"/>
    <n v="4"/>
    <s v="T2"/>
    <n v="1"/>
    <s v="General"/>
    <s v="Santo Domnigo"/>
    <s v="NULL"/>
    <s v="NULL"/>
    <n v="15"/>
    <n v="7"/>
    <n v="36908"/>
    <n v="3"/>
    <s v="c036908"/>
    <s v="Asociacion De Detallistas Unidos De Mendoza"/>
    <s v="SUPERMERCADO"/>
    <s v="Miércoles"/>
    <s v="Miércoles"/>
    <n v="11"/>
    <x v="5"/>
    <s v="V611053"/>
    <x v="5"/>
    <n v="1"/>
    <n v="24"/>
    <n v="20"/>
    <n v="0"/>
    <n v="0"/>
    <n v="0"/>
    <n v="86.4"/>
    <n v="480"/>
    <n v="566"/>
    <n v="199"/>
    <s v="Giancarlo Tavarez"/>
    <s v="SDE2"/>
    <n v="10"/>
    <n v="114"/>
    <s v="BLANCOX"/>
    <n v="66102"/>
    <s v="BLANCOX BOTELLA"/>
    <s v="Brinsa Dominicana"/>
    <s v="S1"/>
    <s v="Ramon E. Pimentel (SDE)"/>
    <s v="P206"/>
    <s v="Santo Domingo Este"/>
    <s v="E320000226045"/>
    <n v="0"/>
    <n v="0"/>
    <s v="NULL"/>
    <s v="NULL"/>
    <n v="0"/>
    <n v="0"/>
    <s v="CONTADO                                           "/>
    <n v="13"/>
    <n v="6315060"/>
    <s v="Almacenes"/>
    <s v="General"/>
  </r>
  <r>
    <n v="125"/>
    <s v="A Grande"/>
    <n v="3"/>
    <n v="6315060"/>
    <s v="Juan Rosario"/>
    <s v="Logistica y Distribucion"/>
    <n v="10143977"/>
    <d v="2026-04-07T00:00:00"/>
    <d v="2026-04-07T00:00:00"/>
    <n v="2026"/>
    <n v="4"/>
    <s v="T2"/>
    <n v="1"/>
    <s v="General"/>
    <s v="Santo Domnigo"/>
    <s v="NULL"/>
    <s v="NULL"/>
    <n v="15"/>
    <n v="7"/>
    <n v="36908"/>
    <n v="3"/>
    <s v="c036908"/>
    <s v="Asociacion De Detallistas Unidos De Mendoza"/>
    <s v="SUPERMERCADO"/>
    <s v="Miércoles"/>
    <s v="Miércoles"/>
    <n v="11"/>
    <x v="9"/>
    <s v="V201001"/>
    <x v="9"/>
    <n v="2"/>
    <n v="2"/>
    <n v="221.67"/>
    <n v="0"/>
    <n v="0"/>
    <n v="0"/>
    <n v="79.8"/>
    <n v="443.34"/>
    <n v="523"/>
    <n v="199"/>
    <s v="Giancarlo Tavarez"/>
    <s v="SDE2"/>
    <n v="10"/>
    <n v="113"/>
    <s v="REFISAL"/>
    <n v="82101"/>
    <s v="REFISAL PACA"/>
    <s v="Brinsa Dominicana"/>
    <s v="S1"/>
    <s v="Ramon E. Pimentel (SDE)"/>
    <s v="P206"/>
    <s v="Santo Domingo Este"/>
    <s v="E320000226045"/>
    <n v="0"/>
    <n v="0"/>
    <s v="NULL"/>
    <s v="NULL"/>
    <n v="0"/>
    <n v="0"/>
    <s v="CONTADO                                           "/>
    <n v="13"/>
    <n v="6315060"/>
    <s v="Almacenes"/>
    <s v="General"/>
  </r>
  <r>
    <n v="125"/>
    <s v="A Grande"/>
    <n v="3"/>
    <n v="6315060"/>
    <s v="Juan Rosario"/>
    <s v="Logistica y Distribucion"/>
    <n v="10143977"/>
    <d v="2026-04-07T00:00:00"/>
    <d v="2026-04-07T00:00:00"/>
    <n v="2026"/>
    <n v="4"/>
    <s v="T2"/>
    <n v="1"/>
    <s v="General"/>
    <s v="Santo Domnigo"/>
    <s v="NULL"/>
    <s v="NULL"/>
    <n v="15"/>
    <n v="7"/>
    <n v="36908"/>
    <n v="3"/>
    <s v="c036908"/>
    <s v="Asociacion De Detallistas Unidos De Mendoza"/>
    <s v="SUPERMERCADO"/>
    <s v="Miércoles"/>
    <s v="Miércoles"/>
    <n v="11"/>
    <x v="13"/>
    <s v="v101038"/>
    <x v="13"/>
    <n v="1"/>
    <n v="10"/>
    <n v="364.41"/>
    <n v="0"/>
    <n v="0"/>
    <n v="0"/>
    <n v="655.94"/>
    <n v="3644.1"/>
    <n v="430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26045"/>
    <n v="0"/>
    <n v="0"/>
    <s v="NULL"/>
    <s v="NULL"/>
    <n v="0"/>
    <n v="0"/>
    <s v="CONTADO                                           "/>
    <n v="13"/>
    <n v="6315060"/>
    <s v="Almacenes"/>
    <s v="General"/>
  </r>
  <r>
    <n v="125"/>
    <s v="A Grande"/>
    <n v="3"/>
    <n v="6315060"/>
    <s v="Juan Rosario"/>
    <s v="Logistica y Distribucion"/>
    <n v="10143977"/>
    <d v="2026-04-07T00:00:00"/>
    <d v="2026-04-07T00:00:00"/>
    <n v="2026"/>
    <n v="4"/>
    <s v="T2"/>
    <n v="1"/>
    <s v="General"/>
    <s v="Santo Domnigo"/>
    <s v="NULL"/>
    <s v="NULL"/>
    <n v="15"/>
    <n v="7"/>
    <n v="36908"/>
    <n v="3"/>
    <s v="c036908"/>
    <s v="Asociacion De Detallistas Unidos De Mendoza"/>
    <s v="SUPERMERCADO"/>
    <s v="Miércoles"/>
    <s v="Miércoles"/>
    <n v="11"/>
    <x v="19"/>
    <s v="V800089"/>
    <x v="19"/>
    <n v="0.5"/>
    <n v="4"/>
    <n v="364.41"/>
    <n v="0"/>
    <n v="0"/>
    <n v="0"/>
    <n v="262.38"/>
    <n v="1457.64"/>
    <n v="172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26045"/>
    <n v="0"/>
    <n v="0"/>
    <s v="NULL"/>
    <s v="NULL"/>
    <n v="0"/>
    <n v="0"/>
    <s v="CONTADO                                           "/>
    <n v="13"/>
    <n v="6315060"/>
    <s v="Almacenes"/>
    <s v="General"/>
  </r>
  <r>
    <n v="223"/>
    <s v="A Grande"/>
    <n v="3"/>
    <n v="6315140"/>
    <s v="Martin Figueroa"/>
    <s v="Logistica y Distribucion"/>
    <n v="10144057"/>
    <d v="2026-04-07T00:00:00"/>
    <d v="2026-04-07T00:00:00"/>
    <n v="2026"/>
    <n v="4"/>
    <s v="T2"/>
    <n v="1"/>
    <s v="General"/>
    <s v="Santo Domnigo"/>
    <s v="NULL"/>
    <s v="NULL"/>
    <n v="15"/>
    <n v="7"/>
    <n v="14167"/>
    <n v="3"/>
    <s v="C014167"/>
    <s v="Mini Market Galvan"/>
    <s v="MINI MARKET"/>
    <s v="Lunes"/>
    <s v="Lunes"/>
    <n v="91"/>
    <x v="2"/>
    <s v="V621045"/>
    <x v="2"/>
    <n v="0.5"/>
    <n v="6"/>
    <n v="161.94999999999999"/>
    <n v="0"/>
    <n v="0"/>
    <n v="0"/>
    <n v="174.91"/>
    <n v="971.7"/>
    <n v="1147"/>
    <n v="91"/>
    <s v="Enrrique Morillo (DN)"/>
    <s v="DN6"/>
    <n v="10"/>
    <n v="138"/>
    <s v="INSECTICIDAS"/>
    <n v="73101"/>
    <s v="INSECTICIDA BAIGON"/>
    <s v="Comercial Fila"/>
    <s v="S5"/>
    <s v="Fernando Martinez  (DN)"/>
    <s v="DN013"/>
    <s v="Distrito Nacional"/>
    <s v="E320000226125"/>
    <n v="0"/>
    <n v="0"/>
    <s v="NULL"/>
    <s v="NULL"/>
    <n v="0"/>
    <n v="0"/>
    <s v="CONTADO                                           "/>
    <n v="13"/>
    <n v="6315140"/>
    <s v="Almacenes"/>
    <s v="General"/>
  </r>
  <r>
    <n v="223"/>
    <s v="A Grande"/>
    <n v="3"/>
    <n v="6315140"/>
    <s v="Martin Figueroa"/>
    <s v="Logistica y Distribucion"/>
    <n v="10144057"/>
    <d v="2026-04-07T00:00:00"/>
    <d v="2026-04-07T00:00:00"/>
    <n v="2026"/>
    <n v="4"/>
    <s v="T2"/>
    <n v="1"/>
    <s v="General"/>
    <s v="Santo Domnigo"/>
    <s v="NULL"/>
    <s v="NULL"/>
    <n v="15"/>
    <n v="7"/>
    <n v="14167"/>
    <n v="3"/>
    <s v="C014167"/>
    <s v="Mini Market Galvan"/>
    <s v="MINI MARKET"/>
    <s v="Lunes"/>
    <s v="Lunes"/>
    <n v="91"/>
    <x v="0"/>
    <s v="V621008"/>
    <x v="0"/>
    <n v="0.5"/>
    <n v="6"/>
    <n v="186.87"/>
    <n v="0"/>
    <n v="0"/>
    <n v="0"/>
    <n v="201.82"/>
    <n v="1121.22"/>
    <n v="1323"/>
    <n v="91"/>
    <s v="Enrrique Morillo (DN)"/>
    <s v="DN6"/>
    <n v="10"/>
    <n v="138"/>
    <s v="INSECTICIDAS"/>
    <n v="73102"/>
    <s v="INSECTICIDA RAID"/>
    <s v="Comercial Fila"/>
    <s v="S5"/>
    <s v="Fernando Martinez  (DN)"/>
    <s v="DN013"/>
    <s v="Distrito Nacional"/>
    <s v="E320000226125"/>
    <n v="0"/>
    <n v="0"/>
    <s v="NULL"/>
    <s v="NULL"/>
    <n v="0"/>
    <n v="0"/>
    <s v="CONTADO                                           "/>
    <n v="13"/>
    <n v="6315140"/>
    <s v="Almacenes"/>
    <s v="General"/>
  </r>
  <r>
    <n v="223"/>
    <s v="A Grande"/>
    <n v="3"/>
    <n v="6315140"/>
    <s v="Martin Figueroa"/>
    <s v="Logistica y Distribucion"/>
    <n v="10144057"/>
    <d v="2026-04-07T00:00:00"/>
    <d v="2026-04-07T00:00:00"/>
    <n v="2026"/>
    <n v="4"/>
    <s v="T2"/>
    <n v="1"/>
    <s v="General"/>
    <s v="Santo Domnigo"/>
    <s v="NULL"/>
    <s v="NULL"/>
    <n v="15"/>
    <n v="7"/>
    <n v="14167"/>
    <n v="3"/>
    <s v="C014167"/>
    <s v="Mini Market Galvan"/>
    <s v="MINI MARKET"/>
    <s v="Lunes"/>
    <s v="Lunes"/>
    <n v="91"/>
    <x v="19"/>
    <s v="V800089"/>
    <x v="19"/>
    <n v="0.5"/>
    <n v="4"/>
    <n v="364.41"/>
    <n v="0"/>
    <n v="0"/>
    <n v="0"/>
    <n v="262.38"/>
    <n v="1457.64"/>
    <n v="172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226125"/>
    <n v="0"/>
    <n v="0"/>
    <s v="NULL"/>
    <s v="NULL"/>
    <n v="0"/>
    <n v="0"/>
    <s v="CONTADO                                           "/>
    <n v="13"/>
    <n v="6315140"/>
    <s v="Almacenes"/>
    <s v="General"/>
  </r>
  <r>
    <n v="223"/>
    <s v="A Grande"/>
    <n v="3"/>
    <n v="6315140"/>
    <s v="Martin Figueroa"/>
    <s v="Logistica y Distribucion"/>
    <n v="10144057"/>
    <d v="2026-04-07T00:00:00"/>
    <d v="2026-04-07T00:00:00"/>
    <n v="2026"/>
    <n v="4"/>
    <s v="T2"/>
    <n v="1"/>
    <s v="General"/>
    <s v="Santo Domnigo"/>
    <s v="NULL"/>
    <s v="NULL"/>
    <n v="15"/>
    <n v="7"/>
    <n v="14167"/>
    <n v="3"/>
    <s v="C014167"/>
    <s v="Mini Market Galvan"/>
    <s v="MINI MARKET"/>
    <s v="Lunes"/>
    <s v="Lunes"/>
    <n v="91"/>
    <x v="13"/>
    <s v="v101038"/>
    <x v="13"/>
    <n v="0.4"/>
    <n v="4"/>
    <n v="364.41"/>
    <n v="0"/>
    <n v="0"/>
    <n v="0"/>
    <n v="262.38"/>
    <n v="1457.64"/>
    <n v="172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226125"/>
    <n v="0"/>
    <n v="0"/>
    <s v="NULL"/>
    <s v="NULL"/>
    <n v="0"/>
    <n v="0"/>
    <s v="CONTADO                                           "/>
    <n v="13"/>
    <n v="6315140"/>
    <s v="Almacenes"/>
    <s v="General"/>
  </r>
  <r>
    <n v="223"/>
    <s v="A Grande"/>
    <n v="3"/>
    <n v="6315140"/>
    <s v="Martin Figueroa"/>
    <s v="Logistica y Distribucion"/>
    <n v="10144057"/>
    <d v="2026-04-07T00:00:00"/>
    <d v="2026-04-07T00:00:00"/>
    <n v="2026"/>
    <n v="4"/>
    <s v="T2"/>
    <n v="1"/>
    <s v="Alimentos - Espejo"/>
    <s v="Santo Domnigo"/>
    <s v="NULL"/>
    <s v="NULL"/>
    <n v="15"/>
    <n v="7"/>
    <n v="14167"/>
    <n v="3"/>
    <s v="C014167"/>
    <s v="Mini Market Galvan"/>
    <s v="MINI MARKET"/>
    <s v="Lunes"/>
    <s v="Lunes"/>
    <n v="91"/>
    <x v="24"/>
    <s v="V930012"/>
    <x v="24"/>
    <n v="0.3125"/>
    <n v="5"/>
    <n v="91.09"/>
    <n v="0"/>
    <n v="0"/>
    <n v="0"/>
    <n v="81.98"/>
    <n v="455.45"/>
    <n v="537"/>
    <n v="91"/>
    <s v="Enrrique Morillo (DN)"/>
    <s v="DN6"/>
    <n v="10"/>
    <n v="208"/>
    <s v="CARAMELOS DUROS"/>
    <n v="0"/>
    <s v="NULL"/>
    <s v="COLOMBINA"/>
    <s v="S5"/>
    <s v="Fernando Martinez  (DN)"/>
    <s v="DN013"/>
    <s v="Distrito Nacional"/>
    <s v="E320000226125"/>
    <n v="0"/>
    <n v="0"/>
    <s v="NULL"/>
    <s v="NULL"/>
    <n v="0"/>
    <n v="0"/>
    <s v="CONTADO                                           "/>
    <n v="13"/>
    <n v="6315140"/>
    <s v="Almacenes"/>
    <s v="General"/>
  </r>
  <r>
    <n v="223"/>
    <s v="A Grande"/>
    <n v="3"/>
    <n v="6315164"/>
    <s v="Martin Figueroa"/>
    <s v="Logistica y Distribucion"/>
    <n v="10144081"/>
    <d v="2026-04-07T00:00:00"/>
    <d v="2026-04-07T00:00:00"/>
    <n v="2026"/>
    <n v="4"/>
    <s v="T2"/>
    <n v="1"/>
    <s v="General"/>
    <s v="Santo Domnigo"/>
    <s v="NULL"/>
    <s v="NULL"/>
    <n v="15"/>
    <n v="7"/>
    <n v="12191"/>
    <n v="3"/>
    <s v="C012191"/>
    <s v="Super Mercado La Ballena"/>
    <s v="SUPERMERCADO"/>
    <s v="Lunes"/>
    <s v="Lunes"/>
    <n v="91"/>
    <x v="13"/>
    <s v="v101038"/>
    <x v="13"/>
    <n v="0.5"/>
    <n v="5"/>
    <n v="364.41"/>
    <n v="0"/>
    <n v="0"/>
    <n v="0"/>
    <n v="327.97"/>
    <n v="1822.05"/>
    <n v="215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226148"/>
    <n v="0"/>
    <n v="0"/>
    <s v="NULL"/>
    <s v="NULL"/>
    <n v="0"/>
    <n v="0"/>
    <s v="CONTADO                                           "/>
    <n v="13"/>
    <n v="6315164"/>
    <s v="Almacenes"/>
    <s v="General"/>
  </r>
  <r>
    <n v="223"/>
    <s v="A Grande"/>
    <n v="3"/>
    <n v="6315164"/>
    <s v="Martin Figueroa"/>
    <s v="Logistica y Distribucion"/>
    <n v="10144081"/>
    <d v="2026-04-07T00:00:00"/>
    <d v="2026-04-07T00:00:00"/>
    <n v="2026"/>
    <n v="4"/>
    <s v="T2"/>
    <n v="1"/>
    <s v="General"/>
    <s v="Santo Domnigo"/>
    <s v="NULL"/>
    <s v="NULL"/>
    <n v="15"/>
    <n v="7"/>
    <n v="12191"/>
    <n v="3"/>
    <s v="C012191"/>
    <s v="Super Mercado La Ballena"/>
    <s v="SUPERMERCADO"/>
    <s v="Lunes"/>
    <s v="Lunes"/>
    <n v="91"/>
    <x v="9"/>
    <s v="V201001"/>
    <x v="9"/>
    <n v="5"/>
    <n v="5"/>
    <n v="221.67"/>
    <n v="0"/>
    <n v="0"/>
    <n v="0"/>
    <n v="199.5"/>
    <n v="1108.3499999999999"/>
    <n v="1308"/>
    <n v="91"/>
    <s v="Enrrique Morillo (DN)"/>
    <s v="DN6"/>
    <n v="10"/>
    <n v="113"/>
    <s v="REFISAL"/>
    <n v="82101"/>
    <s v="REFISAL PACA"/>
    <s v="Brinsa Dominicana"/>
    <s v="S5"/>
    <s v="Fernando Martinez  (DN)"/>
    <s v="DN013"/>
    <s v="Distrito Nacional"/>
    <s v="E320000226148"/>
    <n v="0"/>
    <n v="0"/>
    <s v="NULL"/>
    <s v="NULL"/>
    <n v="0"/>
    <n v="0"/>
    <s v="CONTADO                                           "/>
    <n v="13"/>
    <n v="6315164"/>
    <s v="Almacenes"/>
    <s v="General"/>
  </r>
  <r>
    <n v="242"/>
    <s v="A Grande"/>
    <n v="3"/>
    <n v="6319084"/>
    <s v="Agustin Luna Valdez"/>
    <s v="Logistica y Distribucion"/>
    <n v="10148001"/>
    <d v="2026-04-09T00:00:00"/>
    <d v="2026-04-09T00:00:00"/>
    <n v="2026"/>
    <n v="4"/>
    <s v="T2"/>
    <n v="1"/>
    <s v="General"/>
    <s v="Santo Domnigo"/>
    <s v="NULL"/>
    <s v="NULL"/>
    <n v="15"/>
    <n v="9"/>
    <n v="2280"/>
    <n v="3"/>
    <s v="C002280"/>
    <s v="Mini Market Familiar"/>
    <s v="MINI MARKET"/>
    <s v="Miércoles"/>
    <s v="Miércoles"/>
    <n v="14"/>
    <x v="9"/>
    <s v="V201001"/>
    <x v="9"/>
    <n v="1"/>
    <n v="1"/>
    <n v="221.67"/>
    <n v="0"/>
    <n v="0"/>
    <n v="0"/>
    <n v="39.9"/>
    <n v="221.67"/>
    <n v="262"/>
    <n v="14"/>
    <s v="Bernabet Reyes"/>
    <s v="DN4"/>
    <n v="10"/>
    <n v="113"/>
    <s v="REFISAL"/>
    <n v="82101"/>
    <s v="REFISAL PACA"/>
    <s v="Brinsa Dominicana"/>
    <s v="S5"/>
    <s v="Fernando Martinez  (DN)"/>
    <s v="P030"/>
    <s v="Distrito Nacional"/>
    <s v="E320000229874"/>
    <n v="0"/>
    <n v="0"/>
    <s v="NULL"/>
    <s v="NULL"/>
    <n v="0"/>
    <n v="0"/>
    <s v="CONTADO                                           "/>
    <n v="13"/>
    <n v="6319084"/>
    <s v="Almacenes"/>
    <s v="General"/>
  </r>
  <r>
    <n v="242"/>
    <s v="A Grande"/>
    <n v="3"/>
    <n v="6319084"/>
    <s v="Agustin Luna Valdez"/>
    <s v="Logistica y Distribucion"/>
    <n v="10148001"/>
    <d v="2026-04-09T00:00:00"/>
    <d v="2026-04-09T00:00:00"/>
    <n v="2026"/>
    <n v="4"/>
    <s v="T2"/>
    <n v="1"/>
    <s v="General"/>
    <s v="Santo Domnigo"/>
    <s v="NULL"/>
    <s v="NULL"/>
    <n v="15"/>
    <n v="9"/>
    <n v="2280"/>
    <n v="3"/>
    <s v="C002280"/>
    <s v="Mini Market Familiar"/>
    <s v="MINI MARKET"/>
    <s v="Miércoles"/>
    <s v="Miércoles"/>
    <n v="14"/>
    <x v="54"/>
    <s v="V611049"/>
    <x v="54"/>
    <n v="1"/>
    <n v="24"/>
    <n v="27.76"/>
    <n v="0"/>
    <n v="0"/>
    <n v="0"/>
    <n v="119.92"/>
    <n v="666.24"/>
    <n v="786"/>
    <n v="14"/>
    <s v="Bernabet Reyes"/>
    <s v="DN4"/>
    <n v="10"/>
    <n v="113"/>
    <s v="REFISAL"/>
    <n v="82102"/>
    <s v="REFISAL POTE"/>
    <s v="Brinsa Dominicana"/>
    <s v="S5"/>
    <s v="Fernando Martinez  (DN)"/>
    <s v="P030"/>
    <s v="Distrito Nacional"/>
    <s v="E320000229874"/>
    <n v="0"/>
    <n v="0"/>
    <s v="NULL"/>
    <s v="NULL"/>
    <n v="0"/>
    <n v="0"/>
    <s v="CONTADO                                           "/>
    <n v="13"/>
    <n v="6319084"/>
    <s v="Almacenes"/>
    <s v="General"/>
  </r>
  <r>
    <n v="242"/>
    <s v="A Grande"/>
    <n v="3"/>
    <n v="6319084"/>
    <s v="Agustin Luna Valdez"/>
    <s v="Logistica y Distribucion"/>
    <n v="10148001"/>
    <d v="2026-04-09T00:00:00"/>
    <d v="2026-04-09T00:00:00"/>
    <n v="2026"/>
    <n v="4"/>
    <s v="T2"/>
    <n v="1"/>
    <s v="General"/>
    <s v="Santo Domnigo"/>
    <s v="NULL"/>
    <s v="NULL"/>
    <n v="15"/>
    <n v="9"/>
    <n v="2280"/>
    <n v="3"/>
    <s v="C002280"/>
    <s v="Mini Market Familiar"/>
    <s v="MINI MARKET"/>
    <s v="Miércoles"/>
    <s v="Miércoles"/>
    <n v="14"/>
    <x v="16"/>
    <s v="V103001"/>
    <x v="16"/>
    <n v="1"/>
    <n v="48"/>
    <n v="21.36"/>
    <n v="0"/>
    <n v="0"/>
    <n v="0"/>
    <n v="184.55"/>
    <n v="1025.28"/>
    <n v="1210"/>
    <n v="14"/>
    <s v="Bernabet Reyes"/>
    <s v="DN4"/>
    <n v="10"/>
    <n v="107"/>
    <s v="FAMILIA"/>
    <n v="6770651"/>
    <s v="CUIDADO FAMILIAR"/>
    <s v="Continental de Negocios"/>
    <s v="S5"/>
    <s v="Fernando Martinez  (DN)"/>
    <s v="P030"/>
    <s v="Distrito Nacional"/>
    <s v="E320000229874"/>
    <n v="0"/>
    <n v="0"/>
    <s v="NULL"/>
    <s v="NULL"/>
    <n v="0"/>
    <n v="0"/>
    <s v="CONTADO                                           "/>
    <n v="13"/>
    <n v="6319084"/>
    <s v="Almacenes"/>
    <s v="General"/>
  </r>
  <r>
    <n v="242"/>
    <s v="A Grande"/>
    <n v="3"/>
    <n v="6319084"/>
    <s v="Agustin Luna Valdez"/>
    <s v="Logistica y Distribucion"/>
    <n v="10148001"/>
    <d v="2026-04-09T00:00:00"/>
    <d v="2026-04-09T00:00:00"/>
    <n v="2026"/>
    <n v="4"/>
    <s v="T2"/>
    <n v="1"/>
    <s v="General"/>
    <s v="Santo Domnigo"/>
    <s v="NULL"/>
    <s v="NULL"/>
    <n v="15"/>
    <n v="9"/>
    <n v="2280"/>
    <n v="3"/>
    <s v="C002280"/>
    <s v="Mini Market Familiar"/>
    <s v="MINI MARKET"/>
    <s v="Miércoles"/>
    <s v="Miércoles"/>
    <n v="14"/>
    <x v="16"/>
    <s v="V103001"/>
    <x v="16"/>
    <n v="0.10416666666666"/>
    <n v="5"/>
    <n v="0"/>
    <n v="0"/>
    <n v="0"/>
    <n v="0"/>
    <n v="0"/>
    <n v="0"/>
    <n v="0"/>
    <n v="14"/>
    <s v="Bernabet Reyes"/>
    <s v="DN4"/>
    <n v="10"/>
    <n v="107"/>
    <s v="FAMILIA"/>
    <n v="6770651"/>
    <s v="CUIDADO FAMILIAR"/>
    <s v="Continental de Negocios"/>
    <s v="S5"/>
    <s v="Fernando Martinez  (DN)"/>
    <s v="P030"/>
    <s v="Distrito Nacional"/>
    <s v="E320000229874"/>
    <n v="0"/>
    <n v="1"/>
    <n v="3524"/>
    <s v="48 Familia + 5 Rollo /4 Bn de Oferta"/>
    <n v="0"/>
    <n v="0"/>
    <s v="CONTADO                                           "/>
    <n v="13"/>
    <n v="6319084"/>
    <s v="Almacenes"/>
    <s v="General"/>
  </r>
  <r>
    <n v="242"/>
    <s v="A Grande"/>
    <n v="3"/>
    <n v="6319084"/>
    <s v="Agustin Luna Valdez"/>
    <s v="Logistica y Distribucion"/>
    <n v="10148001"/>
    <d v="2026-04-09T00:00:00"/>
    <d v="2026-04-09T00:00:00"/>
    <n v="2026"/>
    <n v="4"/>
    <s v="T2"/>
    <n v="1"/>
    <s v="General"/>
    <s v="Santo Domnigo"/>
    <s v="NULL"/>
    <s v="NULL"/>
    <n v="15"/>
    <n v="9"/>
    <n v="2280"/>
    <n v="3"/>
    <s v="C002280"/>
    <s v="Mini Market Familiar"/>
    <s v="MINI MARKET"/>
    <s v="Miércoles"/>
    <s v="Miércoles"/>
    <n v="14"/>
    <x v="61"/>
    <s v="V101130"/>
    <x v="61"/>
    <n v="2.2222222222219999E-2"/>
    <n v="4"/>
    <n v="0"/>
    <n v="0"/>
    <n v="0"/>
    <n v="0"/>
    <n v="0"/>
    <n v="0"/>
    <n v="0"/>
    <n v="14"/>
    <s v="Bernabet Reyes"/>
    <s v="DN4"/>
    <n v="10"/>
    <n v="111"/>
    <s v="Ofertas de Temporada"/>
    <n v="677001"/>
    <s v="CUIDADO FEMENINO"/>
    <s v="Continental de Negocios"/>
    <s v="S5"/>
    <s v="Fernando Martinez  (DN)"/>
    <s v="P030"/>
    <s v="Distrito Nacional"/>
    <s v="E320000229874"/>
    <n v="0"/>
    <n v="1"/>
    <n v="3524"/>
    <s v="48 Familia + 5 Rollo /4 Bn de Oferta"/>
    <n v="0"/>
    <n v="0"/>
    <s v="CONTADO                                           "/>
    <n v="13"/>
    <n v="6319084"/>
    <s v="Almacenes"/>
    <s v="General"/>
  </r>
  <r>
    <n v="125"/>
    <s v="A Grande"/>
    <n v="3"/>
    <n v="6319365"/>
    <s v="Juan Rosario"/>
    <s v="Logistica y Distribucion"/>
    <n v="10148282"/>
    <d v="2026-04-09T00:00:00"/>
    <d v="2026-04-09T00:00:00"/>
    <n v="2026"/>
    <n v="4"/>
    <s v="T2"/>
    <n v="1"/>
    <s v="General"/>
    <s v="Santo Domnigo"/>
    <s v="NULL"/>
    <s v="NULL"/>
    <n v="15"/>
    <n v="9"/>
    <n v="36908"/>
    <n v="3"/>
    <s v="c036908"/>
    <s v="Asociacion De Detallistas Unidos De Mendoza"/>
    <s v="SUPERMERCADO"/>
    <s v="Miércoles"/>
    <s v="Miércoles"/>
    <n v="11"/>
    <x v="19"/>
    <s v="V800089"/>
    <x v="19"/>
    <n v="1"/>
    <n v="8"/>
    <n v="360.77"/>
    <n v="0"/>
    <n v="0"/>
    <n v="0"/>
    <n v="519.51"/>
    <n v="2886.16"/>
    <n v="3406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30138"/>
    <n v="0"/>
    <n v="0"/>
    <s v="NULL"/>
    <s v="NULL"/>
    <n v="0"/>
    <n v="0"/>
    <s v="CONTADO                                           "/>
    <n v="13"/>
    <n v="6319365"/>
    <s v="Almacenes"/>
    <s v="General"/>
  </r>
  <r>
    <n v="125"/>
    <s v="A Grande"/>
    <n v="3"/>
    <n v="6319365"/>
    <s v="Juan Rosario"/>
    <s v="Logistica y Distribucion"/>
    <n v="10148282"/>
    <d v="2026-04-09T00:00:00"/>
    <d v="2026-04-09T00:00:00"/>
    <n v="2026"/>
    <n v="4"/>
    <s v="T2"/>
    <n v="1"/>
    <s v="General"/>
    <s v="Santo Domnigo"/>
    <s v="NULL"/>
    <s v="NULL"/>
    <n v="15"/>
    <n v="9"/>
    <n v="36908"/>
    <n v="3"/>
    <s v="c036908"/>
    <s v="Asociacion De Detallistas Unidos De Mendoza"/>
    <s v="SUPERMERCADO"/>
    <s v="Miércoles"/>
    <s v="Miércoles"/>
    <n v="11"/>
    <x v="13"/>
    <s v="v101038"/>
    <x v="13"/>
    <n v="1"/>
    <n v="10"/>
    <n v="360.77"/>
    <n v="0"/>
    <n v="0"/>
    <n v="0"/>
    <n v="649.39"/>
    <n v="3607.7"/>
    <n v="4257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30138"/>
    <n v="0"/>
    <n v="0"/>
    <s v="NULL"/>
    <s v="NULL"/>
    <n v="0"/>
    <n v="0"/>
    <s v="CONTADO                                           "/>
    <n v="13"/>
    <n v="6319365"/>
    <s v="Almacenes"/>
    <s v="General"/>
  </r>
  <r>
    <n v="125"/>
    <s v="A Grande"/>
    <n v="3"/>
    <n v="6319365"/>
    <s v="Juan Rosario"/>
    <s v="Logistica y Distribucion"/>
    <n v="10148282"/>
    <d v="2026-04-09T00:00:00"/>
    <d v="2026-04-09T00:00:00"/>
    <n v="2026"/>
    <n v="4"/>
    <s v="T2"/>
    <n v="1"/>
    <s v="General"/>
    <s v="Santo Domnigo"/>
    <s v="NULL"/>
    <s v="NULL"/>
    <n v="15"/>
    <n v="9"/>
    <n v="36908"/>
    <n v="3"/>
    <s v="c036908"/>
    <s v="Asociacion De Detallistas Unidos De Mendoza"/>
    <s v="SUPERMERCADO"/>
    <s v="Miércoles"/>
    <s v="Miércoles"/>
    <n v="11"/>
    <x v="9"/>
    <s v="V201001"/>
    <x v="9"/>
    <n v="25"/>
    <n v="25"/>
    <n v="210.59"/>
    <n v="0"/>
    <n v="0"/>
    <n v="0"/>
    <n v="947.66"/>
    <n v="5264.75"/>
    <n v="6212"/>
    <n v="199"/>
    <s v="Giancarlo Tavarez"/>
    <s v="SDE2"/>
    <n v="10"/>
    <n v="113"/>
    <s v="REFISAL"/>
    <n v="82101"/>
    <s v="REFISAL PACA"/>
    <s v="Brinsa Dominicana"/>
    <s v="S1"/>
    <s v="Ramon E. Pimentel (SDE)"/>
    <s v="P206"/>
    <s v="Santo Domingo Este"/>
    <s v="E320000230138"/>
    <n v="0"/>
    <n v="0"/>
    <s v="NULL"/>
    <s v="NULL"/>
    <n v="0"/>
    <n v="0"/>
    <s v="CONTADO                                           "/>
    <n v="13"/>
    <n v="6319365"/>
    <s v="Almacenes"/>
    <s v="General"/>
  </r>
  <r>
    <n v="125"/>
    <s v="A Grande"/>
    <n v="3"/>
    <n v="6319365"/>
    <s v="Juan Rosario"/>
    <s v="Logistica y Distribucion"/>
    <n v="10148282"/>
    <d v="2026-04-09T00:00:00"/>
    <d v="2026-04-09T00:00:00"/>
    <n v="2026"/>
    <n v="4"/>
    <s v="T2"/>
    <n v="1"/>
    <s v="General"/>
    <s v="Santo Domnigo"/>
    <s v="NULL"/>
    <s v="NULL"/>
    <n v="15"/>
    <n v="9"/>
    <n v="36908"/>
    <n v="3"/>
    <s v="c036908"/>
    <s v="Asociacion De Detallistas Unidos De Mendoza"/>
    <s v="SUPERMERCADO"/>
    <s v="Miércoles"/>
    <s v="Miércoles"/>
    <n v="11"/>
    <x v="25"/>
    <s v="V501000"/>
    <x v="25"/>
    <n v="1"/>
    <n v="4"/>
    <n v="113.26"/>
    <n v="0"/>
    <n v="0"/>
    <n v="0"/>
    <n v="81.55"/>
    <n v="453.04"/>
    <n v="535"/>
    <n v="199"/>
    <s v="Giancarlo Tavarez"/>
    <s v="SDE2"/>
    <n v="10"/>
    <n v="114"/>
    <s v="BLANCOX"/>
    <n v="66101"/>
    <s v="BLANCOX SACHET"/>
    <s v="Brinsa Dominicana"/>
    <s v="S1"/>
    <s v="Ramon E. Pimentel (SDE)"/>
    <s v="P206"/>
    <s v="Santo Domingo Este"/>
    <s v="E320000230138"/>
    <n v="0"/>
    <n v="0"/>
    <s v="NULL"/>
    <s v="NULL"/>
    <n v="0"/>
    <n v="0"/>
    <s v="CONTADO                                           "/>
    <n v="13"/>
    <n v="6319365"/>
    <s v="Almacenes"/>
    <s v="General"/>
  </r>
  <r>
    <n v="125"/>
    <s v="A Grande"/>
    <n v="3"/>
    <n v="6319365"/>
    <s v="Juan Rosario"/>
    <s v="Logistica y Distribucion"/>
    <n v="10148282"/>
    <d v="2026-04-09T00:00:00"/>
    <d v="2026-04-09T00:00:00"/>
    <n v="2026"/>
    <n v="4"/>
    <s v="T2"/>
    <n v="1"/>
    <s v="Alimentos - Espejo"/>
    <s v="Santo Domnigo"/>
    <s v="NULL"/>
    <s v="NULL"/>
    <n v="15"/>
    <n v="9"/>
    <n v="36908"/>
    <n v="3"/>
    <s v="c036908"/>
    <s v="Asociacion De Detallistas Unidos De Mendoza"/>
    <s v="SUPERMERCADO"/>
    <s v="Miércoles"/>
    <s v="Miércoles"/>
    <n v="11"/>
    <x v="15"/>
    <s v="V925064"/>
    <x v="15"/>
    <n v="1"/>
    <n v="50"/>
    <n v="32.53"/>
    <n v="0"/>
    <n v="0"/>
    <n v="0"/>
    <n v="292.77"/>
    <n v="1626.5"/>
    <n v="1919"/>
    <n v="199"/>
    <s v="Giancarlo Tavarez"/>
    <s v="SDE2"/>
    <n v="10"/>
    <n v="117"/>
    <s v="DIMAR"/>
    <n v="65104"/>
    <s v="ALIMENTOS SARDINAS"/>
    <s v="DIMAR DOMINICANA"/>
    <s v="S1"/>
    <s v="Ramon E. Pimentel (SDE)"/>
    <s v="P206"/>
    <s v="Santo Domingo Este"/>
    <s v="E320000230138"/>
    <n v="0"/>
    <n v="0"/>
    <s v="NULL"/>
    <s v="NULL"/>
    <n v="0"/>
    <n v="0"/>
    <s v="CONTADO                                           "/>
    <n v="13"/>
    <n v="6319365"/>
    <s v="Almacenes"/>
    <s v="General"/>
  </r>
  <r>
    <n v="289"/>
    <s v="A Grande"/>
    <n v="3"/>
    <n v="6319448"/>
    <s v="AMAURI GIRON OSORIA"/>
    <s v="Logistica y Distribucion"/>
    <n v="10148365"/>
    <d v="2026-04-09T00:00:00"/>
    <d v="2026-04-09T00:00:00"/>
    <n v="2026"/>
    <n v="4"/>
    <s v="T2"/>
    <n v="1"/>
    <s v="General"/>
    <s v="Santo Domnigo"/>
    <s v="NULL"/>
    <s v="NULL"/>
    <n v="15"/>
    <n v="9"/>
    <n v="37594"/>
    <n v="3"/>
    <s v="C037594"/>
    <s v="Mini Market El patron 3."/>
    <s v="MINI MARKET"/>
    <s v="Miércoles"/>
    <s v="Miércoles"/>
    <n v="72"/>
    <x v="28"/>
    <s v="V101028"/>
    <x v="28"/>
    <n v="1"/>
    <n v="18"/>
    <n v="98.4"/>
    <n v="0"/>
    <n v="0"/>
    <n v="0"/>
    <n v="318.82"/>
    <n v="1771.2"/>
    <n v="2090"/>
    <n v="72"/>
    <s v="Carla Valdez (WC)"/>
    <s v="SDO7"/>
    <n v="10"/>
    <n v="105"/>
    <s v="NOSOTRAS"/>
    <n v="677001"/>
    <s v="CUIDADO FEMENINO"/>
    <s v="Continental de Negocios"/>
    <s v="S2"/>
    <s v="Fernando Martinez (SDO)"/>
    <s v="P011"/>
    <s v="Santo Domingo Oeste"/>
    <s v="E310000019378"/>
    <n v="0"/>
    <n v="0"/>
    <s v="NULL"/>
    <s v="NULL"/>
    <n v="0"/>
    <n v="0"/>
    <s v="CONTADO                                           "/>
    <n v="13"/>
    <n v="6319448"/>
    <s v="Almacenes"/>
    <s v="General"/>
  </r>
  <r>
    <n v="223"/>
    <s v="A Grande"/>
    <n v="3"/>
    <n v="6323369"/>
    <s v="Martin Figueroa"/>
    <s v="Logistica y Distribucion"/>
    <n v="10152286"/>
    <d v="2026-04-11T00:00:00"/>
    <d v="2026-04-11T00:00:00"/>
    <n v="2026"/>
    <n v="4"/>
    <s v="T2"/>
    <n v="1"/>
    <s v="Alimentos - Espejo"/>
    <s v="Santo Domnigo"/>
    <s v="NULL"/>
    <s v="NULL"/>
    <n v="15"/>
    <n v="11"/>
    <n v="29579"/>
    <n v="3"/>
    <s v="C029579"/>
    <s v="Mini Market  Shairelys"/>
    <s v="MINI MARKET"/>
    <s v="Viernes"/>
    <s v="Viernes"/>
    <n v="60"/>
    <x v="21"/>
    <s v="V800792"/>
    <x v="21"/>
    <n v="0.4"/>
    <n v="10"/>
    <n v="153.11000000000001"/>
    <n v="0"/>
    <n v="0"/>
    <n v="0"/>
    <n v="275.60000000000002"/>
    <n v="1531.1"/>
    <n v="1807"/>
    <n v="60"/>
    <s v="Martina Ramirez"/>
    <s v="DN5"/>
    <n v="10"/>
    <n v="207"/>
    <s v="BOLONES"/>
    <n v="65103"/>
    <s v="ALIMENTOS DULCES"/>
    <s v="COLOMBINA"/>
    <s v="S5"/>
    <s v="Fernando Martinez  (DN)"/>
    <s v="P002"/>
    <s v="Distrito Nacional"/>
    <s v="E310000019744"/>
    <n v="0"/>
    <n v="0"/>
    <s v="NULL"/>
    <s v="NULL"/>
    <n v="0"/>
    <n v="0"/>
    <s v="CONTADO                                           "/>
    <n v="13"/>
    <n v="6323369"/>
    <s v="Almacenes"/>
    <s v="General"/>
  </r>
  <r>
    <n v="223"/>
    <s v="A Grande"/>
    <n v="3"/>
    <n v="6323369"/>
    <s v="Martin Figueroa"/>
    <s v="Logistica y Distribucion"/>
    <n v="10152286"/>
    <d v="2026-04-11T00:00:00"/>
    <d v="2026-04-11T00:00:00"/>
    <n v="2026"/>
    <n v="4"/>
    <s v="T2"/>
    <n v="1"/>
    <s v="Alimentos - Espejo"/>
    <s v="Santo Domnigo"/>
    <s v="NULL"/>
    <s v="NULL"/>
    <n v="15"/>
    <n v="11"/>
    <n v="29579"/>
    <n v="3"/>
    <s v="C029579"/>
    <s v="Mini Market  Shairelys"/>
    <s v="MINI MARKET"/>
    <s v="Viernes"/>
    <s v="Viernes"/>
    <n v="60"/>
    <x v="24"/>
    <s v="V930012"/>
    <x v="24"/>
    <n v="0.625"/>
    <n v="10"/>
    <n v="91.09"/>
    <n v="0"/>
    <n v="0"/>
    <n v="0"/>
    <n v="163.96"/>
    <n v="910.9"/>
    <n v="1075"/>
    <n v="60"/>
    <s v="Martina Ramirez"/>
    <s v="DN5"/>
    <n v="10"/>
    <n v="208"/>
    <s v="CARAMELOS DUROS"/>
    <n v="0"/>
    <s v="NULL"/>
    <s v="COLOMBINA"/>
    <s v="S5"/>
    <s v="Fernando Martinez  (DN)"/>
    <s v="P002"/>
    <s v="Distrito Nacional"/>
    <s v="E310000019744"/>
    <n v="0"/>
    <n v="0"/>
    <s v="NULL"/>
    <s v="NULL"/>
    <n v="0"/>
    <n v="0"/>
    <s v="CONTADO                                           "/>
    <n v="13"/>
    <n v="6323369"/>
    <s v="Almacenes"/>
    <s v="General"/>
  </r>
  <r>
    <n v="289"/>
    <s v="A Grande"/>
    <n v="3"/>
    <n v="6329775"/>
    <s v="AMAURI GIRON OSORIA"/>
    <s v="Logistica y Distribucion"/>
    <n v="10158692"/>
    <d v="2026-04-16T00:00:00"/>
    <d v="2026-04-16T00:00:00"/>
    <n v="2026"/>
    <n v="4"/>
    <s v="T2"/>
    <n v="1"/>
    <s v="General"/>
    <s v="Santo Domnigo"/>
    <s v="NULL"/>
    <s v="NULL"/>
    <n v="16"/>
    <n v="16"/>
    <n v="37594"/>
    <n v="3"/>
    <s v="C037594"/>
    <s v="Mini Market El patron 3."/>
    <s v="MINI MARKET"/>
    <s v="Miércoles"/>
    <s v="Miércoles"/>
    <n v="72"/>
    <x v="26"/>
    <s v="V101005"/>
    <x v="26"/>
    <n v="0.5"/>
    <n v="15"/>
    <n v="73.41"/>
    <n v="0"/>
    <n v="0"/>
    <n v="0"/>
    <n v="198.21"/>
    <n v="1101.1500000000001"/>
    <n v="1299"/>
    <n v="72"/>
    <s v="Carla Valdez (WC)"/>
    <s v="SDO7"/>
    <n v="10"/>
    <n v="105"/>
    <s v="NOSOTRAS"/>
    <n v="677001"/>
    <s v="CUIDADO FEMENINO"/>
    <s v="Continental de Negocios"/>
    <s v="S2"/>
    <s v="Fernando Martinez (SDO)"/>
    <s v="P011"/>
    <s v="Santo Domingo Oeste"/>
    <s v="E310000020365"/>
    <n v="0"/>
    <n v="0"/>
    <s v="NULL"/>
    <s v="NULL"/>
    <n v="0"/>
    <n v="0"/>
    <s v="CONTADO                                           "/>
    <n v="13"/>
    <n v="6329775"/>
    <s v="Almacenes"/>
    <s v="General"/>
  </r>
  <r>
    <n v="289"/>
    <s v="A Grande"/>
    <n v="3"/>
    <n v="6329775"/>
    <s v="AMAURI GIRON OSORIA"/>
    <s v="Logistica y Distribucion"/>
    <n v="10158692"/>
    <d v="2026-04-16T00:00:00"/>
    <d v="2026-04-16T00:00:00"/>
    <n v="2026"/>
    <n v="4"/>
    <s v="T2"/>
    <n v="1"/>
    <s v="General"/>
    <s v="Santo Domnigo"/>
    <s v="NULL"/>
    <s v="NULL"/>
    <n v="16"/>
    <n v="16"/>
    <n v="37594"/>
    <n v="3"/>
    <s v="C037594"/>
    <s v="Mini Market El patron 3."/>
    <s v="MINI MARKET"/>
    <s v="Miércoles"/>
    <s v="Miércoles"/>
    <n v="72"/>
    <x v="19"/>
    <s v="V800089"/>
    <x v="19"/>
    <n v="0.125"/>
    <n v="1"/>
    <n v="364.41"/>
    <n v="0"/>
    <n v="0"/>
    <n v="0"/>
    <n v="65.59"/>
    <n v="364.41"/>
    <n v="430"/>
    <n v="72"/>
    <s v="Carla Valdez (WC)"/>
    <s v="SDO7"/>
    <n v="10"/>
    <n v="105"/>
    <s v="NOSOTRAS"/>
    <n v="677001"/>
    <s v="CUIDADO FEMENINO"/>
    <s v="Continental de Negocios"/>
    <s v="S2"/>
    <s v="Fernando Martinez (SDO)"/>
    <s v="P011"/>
    <s v="Santo Domingo Oeste"/>
    <s v="E310000020365"/>
    <n v="0"/>
    <n v="0"/>
    <s v="NULL"/>
    <s v="NULL"/>
    <n v="0"/>
    <n v="0"/>
    <s v="CONTADO                                           "/>
    <n v="13"/>
    <n v="6329775"/>
    <s v="Almacenes"/>
    <s v="General"/>
  </r>
  <r>
    <n v="289"/>
    <s v="A Grande"/>
    <n v="3"/>
    <n v="6329775"/>
    <s v="AMAURI GIRON OSORIA"/>
    <s v="Logistica y Distribucion"/>
    <n v="10158692"/>
    <d v="2026-04-16T00:00:00"/>
    <d v="2026-04-16T00:00:00"/>
    <n v="2026"/>
    <n v="4"/>
    <s v="T2"/>
    <n v="1"/>
    <s v="General"/>
    <s v="Santo Domnigo"/>
    <s v="NULL"/>
    <s v="NULL"/>
    <n v="16"/>
    <n v="16"/>
    <n v="37594"/>
    <n v="3"/>
    <s v="C037594"/>
    <s v="Mini Market El patron 3."/>
    <s v="MINI MARKET"/>
    <s v="Miércoles"/>
    <s v="Miércoles"/>
    <n v="72"/>
    <x v="14"/>
    <s v="V800088"/>
    <x v="14"/>
    <n v="0.125"/>
    <n v="1"/>
    <n v="364.41"/>
    <n v="0"/>
    <n v="0"/>
    <n v="0"/>
    <n v="65.59"/>
    <n v="364.41"/>
    <n v="430"/>
    <n v="72"/>
    <s v="Carla Valdez (WC)"/>
    <s v="SDO7"/>
    <n v="10"/>
    <n v="105"/>
    <s v="NOSOTRAS"/>
    <n v="677001"/>
    <s v="CUIDADO FEMENINO"/>
    <s v="Continental de Negocios"/>
    <s v="S2"/>
    <s v="Fernando Martinez (SDO)"/>
    <s v="P011"/>
    <s v="Santo Domingo Oeste"/>
    <s v="E310000020365"/>
    <n v="0"/>
    <n v="0"/>
    <s v="NULL"/>
    <s v="NULL"/>
    <n v="0"/>
    <n v="0"/>
    <s v="CONTADO                                           "/>
    <n v="13"/>
    <n v="6329775"/>
    <s v="Almacenes"/>
    <s v="General"/>
  </r>
  <r>
    <n v="223"/>
    <s v="A Grande"/>
    <n v="3"/>
    <n v="6332952"/>
    <s v="Martin Figueroa"/>
    <s v="Logistica y Distribucion"/>
    <n v="10161869"/>
    <d v="2026-04-18T00:00:00"/>
    <d v="2026-04-18T00:00:00"/>
    <n v="2026"/>
    <n v="4"/>
    <s v="T2"/>
    <n v="1"/>
    <s v="General"/>
    <s v="Santo Domnigo"/>
    <s v="NULL"/>
    <s v="NULL"/>
    <n v="16"/>
    <n v="18"/>
    <n v="29579"/>
    <n v="3"/>
    <s v="C029579"/>
    <s v="Mini Market  Shairelys"/>
    <s v="MINI MARKET"/>
    <s v="Viernes"/>
    <s v="Viernes"/>
    <n v="60"/>
    <x v="4"/>
    <s v="V611052"/>
    <x v="4"/>
    <n v="0.5"/>
    <n v="12"/>
    <n v="20"/>
    <n v="0"/>
    <n v="0"/>
    <n v="0"/>
    <n v="43.2"/>
    <n v="240"/>
    <n v="283"/>
    <n v="60"/>
    <s v="Martina Ramirez"/>
    <s v="DN5"/>
    <n v="10"/>
    <n v="114"/>
    <s v="BLANCOX"/>
    <n v="66102"/>
    <s v="BLANCOX BOTELLA"/>
    <s v="Brinsa Dominicana"/>
    <s v="S5"/>
    <s v="Fernando Martinez  (DN)"/>
    <s v="P002"/>
    <s v="Distrito Nacional"/>
    <s v="E310000020686"/>
    <n v="0"/>
    <n v="0"/>
    <s v="NULL"/>
    <s v="NULL"/>
    <n v="0"/>
    <n v="0"/>
    <s v="CONTADO                                           "/>
    <n v="18"/>
    <n v="6332952"/>
    <s v="Almacenes"/>
    <s v="General"/>
  </r>
  <r>
    <n v="223"/>
    <s v="A Grande"/>
    <n v="3"/>
    <n v="6332952"/>
    <s v="Martin Figueroa"/>
    <s v="Logistica y Distribucion"/>
    <n v="10161869"/>
    <d v="2026-04-18T00:00:00"/>
    <d v="2026-04-18T00:00:00"/>
    <n v="2026"/>
    <n v="4"/>
    <s v="T2"/>
    <n v="1"/>
    <s v="General"/>
    <s v="Santo Domnigo"/>
    <s v="NULL"/>
    <s v="NULL"/>
    <n v="16"/>
    <n v="18"/>
    <n v="29579"/>
    <n v="3"/>
    <s v="C029579"/>
    <s v="Mini Market  Shairelys"/>
    <s v="MINI MARKET"/>
    <s v="Viernes"/>
    <s v="Viernes"/>
    <n v="60"/>
    <x v="5"/>
    <s v="V611053"/>
    <x v="5"/>
    <n v="0.5"/>
    <n v="12"/>
    <n v="20"/>
    <n v="0"/>
    <n v="0"/>
    <n v="0"/>
    <n v="43.2"/>
    <n v="240"/>
    <n v="283"/>
    <n v="60"/>
    <s v="Martina Ramirez"/>
    <s v="DN5"/>
    <n v="10"/>
    <n v="114"/>
    <s v="BLANCOX"/>
    <n v="66102"/>
    <s v="BLANCOX BOTELLA"/>
    <s v="Brinsa Dominicana"/>
    <s v="S5"/>
    <s v="Fernando Martinez  (DN)"/>
    <s v="P002"/>
    <s v="Distrito Nacional"/>
    <s v="E310000020686"/>
    <n v="0"/>
    <n v="0"/>
    <s v="NULL"/>
    <s v="NULL"/>
    <n v="0"/>
    <n v="0"/>
    <s v="CONTADO                                           "/>
    <n v="18"/>
    <n v="6332952"/>
    <s v="Almacenes"/>
    <s v="General"/>
  </r>
  <r>
    <n v="223"/>
    <s v="A Grande"/>
    <n v="3"/>
    <n v="6332952"/>
    <s v="Martin Figueroa"/>
    <s v="Logistica y Distribucion"/>
    <n v="10161869"/>
    <d v="2026-04-18T00:00:00"/>
    <d v="2026-04-18T00:00:00"/>
    <n v="2026"/>
    <n v="4"/>
    <s v="T2"/>
    <n v="1"/>
    <s v="General"/>
    <s v="Santo Domnigo"/>
    <s v="NULL"/>
    <s v="NULL"/>
    <n v="16"/>
    <n v="18"/>
    <n v="29579"/>
    <n v="3"/>
    <s v="C029579"/>
    <s v="Mini Market  Shairelys"/>
    <s v="MINI MARKET"/>
    <s v="Viernes"/>
    <s v="Viernes"/>
    <n v="60"/>
    <x v="6"/>
    <s v="V511005"/>
    <x v="6"/>
    <n v="1"/>
    <n v="12"/>
    <n v="64.44"/>
    <n v="0"/>
    <n v="0"/>
    <n v="0"/>
    <n v="139.19"/>
    <n v="773.28"/>
    <n v="912"/>
    <n v="60"/>
    <s v="Martina Ramirez"/>
    <s v="DN5"/>
    <n v="10"/>
    <n v="114"/>
    <s v="BLANCOX"/>
    <n v="66102"/>
    <s v="BLANCOX BOTELLA"/>
    <s v="Brinsa Dominicana"/>
    <s v="S5"/>
    <s v="Fernando Martinez  (DN)"/>
    <s v="P002"/>
    <s v="Distrito Nacional"/>
    <s v="E310000020686"/>
    <n v="0"/>
    <n v="0"/>
    <s v="NULL"/>
    <s v="NULL"/>
    <n v="0"/>
    <n v="0"/>
    <s v="CONTADO                                           "/>
    <n v="18"/>
    <n v="6332952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59"/>
    <s v="V925050"/>
    <x v="59"/>
    <n v="2"/>
    <n v="48"/>
    <n v="72.72"/>
    <n v="0"/>
    <n v="0"/>
    <n v="0"/>
    <n v="628.29999999999995"/>
    <n v="3490.56"/>
    <n v="4119"/>
    <n v="199"/>
    <s v="Giancarlo Tavarez"/>
    <s v="SDE2"/>
    <n v="10"/>
    <n v="117"/>
    <s v="DIMAR"/>
    <n v="65104"/>
    <s v="ALIMENTOS SARDINAS"/>
    <s v="DIMAR DOMINICA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62"/>
    <s v="V910123"/>
    <x v="62"/>
    <n v="1"/>
    <n v="24"/>
    <n v="28.23"/>
    <n v="0"/>
    <n v="0"/>
    <n v="0"/>
    <n v="121.95"/>
    <n v="677.52"/>
    <n v="799"/>
    <n v="199"/>
    <s v="Giancarlo Tavarez"/>
    <s v="SDE2"/>
    <n v="10"/>
    <n v="173"/>
    <s v="CHUPETIN"/>
    <n v="65105"/>
    <s v="ALIMENTOS"/>
    <s v="Grupo Rodriguez Fernandez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45"/>
    <s v="V930188"/>
    <x v="45"/>
    <n v="0.13333333333333"/>
    <n v="2"/>
    <n v="56.36"/>
    <n v="0"/>
    <n v="0"/>
    <n v="0"/>
    <n v="20.29"/>
    <n v="112.72"/>
    <n v="133"/>
    <n v="199"/>
    <s v="Giancarlo Tavarez"/>
    <s v="SDE2"/>
    <n v="10"/>
    <n v="206"/>
    <s v="CARAMELOS BLANDO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40"/>
    <s v="V800793"/>
    <x v="40"/>
    <n v="0.04"/>
    <n v="1"/>
    <n v="151.58000000000001"/>
    <n v="0"/>
    <n v="0"/>
    <n v="0"/>
    <n v="27.28"/>
    <n v="151.58000000000001"/>
    <n v="179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47"/>
    <s v="V930112"/>
    <x v="47"/>
    <n v="0.08"/>
    <n v="2"/>
    <n v="152.53"/>
    <n v="0"/>
    <n v="0"/>
    <n v="0"/>
    <n v="54.91"/>
    <n v="305.06"/>
    <n v="360"/>
    <n v="199"/>
    <s v="Giancarlo Tavarez"/>
    <s v="SDE2"/>
    <n v="10"/>
    <n v="207"/>
    <s v="BOLONE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39"/>
    <s v="V930113"/>
    <x v="39"/>
    <n v="0.04"/>
    <n v="1"/>
    <n v="152.53"/>
    <n v="0"/>
    <n v="0"/>
    <n v="0"/>
    <n v="27.46"/>
    <n v="152.53"/>
    <n v="180"/>
    <n v="199"/>
    <s v="Giancarlo Tavarez"/>
    <s v="SDE2"/>
    <n v="10"/>
    <n v="207"/>
    <s v="BOLONE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21"/>
    <s v="V800792"/>
    <x v="21"/>
    <n v="0.08"/>
    <n v="2"/>
    <n v="151.58000000000001"/>
    <n v="0"/>
    <n v="0"/>
    <n v="0"/>
    <n v="54.57"/>
    <n v="303.16000000000003"/>
    <n v="358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63"/>
    <s v="V930022"/>
    <x v="63"/>
    <n v="6.25E-2"/>
    <n v="1"/>
    <n v="90.18"/>
    <n v="0"/>
    <n v="0"/>
    <n v="0"/>
    <n v="16.23"/>
    <n v="90.18"/>
    <n v="106"/>
    <n v="199"/>
    <s v="Giancarlo Tavarez"/>
    <s v="SDE2"/>
    <n v="10"/>
    <n v="208"/>
    <s v="CARAMELOS DURO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30"/>
    <s v="V930023"/>
    <x v="30"/>
    <n v="0.25"/>
    <n v="5"/>
    <n v="139.34"/>
    <n v="0"/>
    <n v="0"/>
    <n v="0"/>
    <n v="125.41"/>
    <n v="696.7"/>
    <n v="822"/>
    <n v="199"/>
    <s v="Giancarlo Tavarez"/>
    <s v="SDE2"/>
    <n v="10"/>
    <n v="208"/>
    <s v="CARAMELOS DURO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64"/>
    <s v="V930060"/>
    <x v="64"/>
    <n v="0.04"/>
    <n v="1"/>
    <n v="154.07"/>
    <n v="0"/>
    <n v="0"/>
    <n v="0"/>
    <n v="27.73"/>
    <n v="154.07"/>
    <n v="182"/>
    <n v="199"/>
    <s v="Giancarlo Tavarez"/>
    <s v="SDE2"/>
    <n v="10"/>
    <n v="207"/>
    <s v="BOLONE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24"/>
    <s v="V930012"/>
    <x v="24"/>
    <n v="0.375"/>
    <n v="6"/>
    <n v="90.18"/>
    <n v="0"/>
    <n v="0"/>
    <n v="0"/>
    <n v="97.39"/>
    <n v="541.08000000000004"/>
    <n v="638"/>
    <n v="199"/>
    <s v="Giancarlo Tavarez"/>
    <s v="SDE2"/>
    <n v="10"/>
    <n v="208"/>
    <s v="CARAMELOS DURO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65"/>
    <s v="V930026"/>
    <x v="65"/>
    <n v="5.5555555555550001E-2"/>
    <n v="2"/>
    <n v="57.58"/>
    <n v="0"/>
    <n v="0"/>
    <n v="0"/>
    <n v="20.73"/>
    <n v="115.16"/>
    <n v="136"/>
    <n v="199"/>
    <s v="Giancarlo Tavarez"/>
    <s v="SDE2"/>
    <n v="10"/>
    <n v="209"/>
    <s v="PALETA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55"/>
    <s v="V930121"/>
    <x v="55"/>
    <n v="6.6666666666660004E-2"/>
    <n v="2"/>
    <n v="57.58"/>
    <n v="0"/>
    <n v="0"/>
    <n v="0"/>
    <n v="20.73"/>
    <n v="115.16"/>
    <n v="136"/>
    <n v="199"/>
    <s v="Giancarlo Tavarez"/>
    <s v="SDE2"/>
    <n v="10"/>
    <n v="209"/>
    <s v="PALETA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22"/>
    <s v="V930025"/>
    <x v="22"/>
    <n v="5.5555555555550001E-2"/>
    <n v="2"/>
    <n v="57.58"/>
    <n v="0"/>
    <n v="0"/>
    <n v="0"/>
    <n v="20.73"/>
    <n v="115.16"/>
    <n v="136"/>
    <n v="199"/>
    <s v="Giancarlo Tavarez"/>
    <s v="SDE2"/>
    <n v="10"/>
    <n v="209"/>
    <s v="PALETA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10"/>
    <s v="V611221"/>
    <x v="10"/>
    <n v="1"/>
    <n v="1"/>
    <n v="192.97"/>
    <n v="0"/>
    <n v="0"/>
    <n v="0"/>
    <n v="34.729999999999997"/>
    <n v="192.97"/>
    <n v="228"/>
    <n v="199"/>
    <s v="Giancarlo Tavarez"/>
    <s v="SDE2"/>
    <n v="10"/>
    <n v="193"/>
    <s v="Snack"/>
    <n v="65105"/>
    <s v="ALIMENTOS"/>
    <s v="Corporacion Poiroto SRL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66"/>
    <s v="V611092"/>
    <x v="66"/>
    <n v="2"/>
    <n v="2"/>
    <n v="192.97"/>
    <n v="0"/>
    <n v="0"/>
    <n v="0"/>
    <n v="69.47"/>
    <n v="385.94"/>
    <n v="455"/>
    <n v="199"/>
    <s v="Giancarlo Tavarez"/>
    <s v="SDE2"/>
    <n v="10"/>
    <n v="193"/>
    <s v="Snack"/>
    <n v="65103"/>
    <s v="ALIMENTOS DULCES"/>
    <s v="Corporacion Poiroto SRL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General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67"/>
    <s v="V960103"/>
    <x v="67"/>
    <n v="0.24"/>
    <n v="12"/>
    <n v="52.99"/>
    <n v="0"/>
    <n v="0"/>
    <n v="0"/>
    <n v="114.46"/>
    <n v="635.88"/>
    <n v="750"/>
    <n v="199"/>
    <s v="Giancarlo Tavarez"/>
    <s v="SDE2"/>
    <n v="10"/>
    <n v="277"/>
    <s v="ILUMINACION"/>
    <n v="856801"/>
    <s v="USO DOMESTICO"/>
    <s v="AMPOULE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General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3"/>
    <s v="V960105"/>
    <x v="3"/>
    <n v="0.14000000000000001"/>
    <n v="7"/>
    <n v="197.11"/>
    <n v="0"/>
    <n v="0"/>
    <n v="0"/>
    <n v="248.36"/>
    <n v="1379.77"/>
    <n v="1628"/>
    <n v="199"/>
    <s v="Giancarlo Tavarez"/>
    <s v="SDE2"/>
    <n v="10"/>
    <n v="277"/>
    <s v="ILUMINACION"/>
    <n v="856801"/>
    <s v="USO DOMESTICO"/>
    <s v="AMPOULE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General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68"/>
    <s v="V501125"/>
    <x v="68"/>
    <n v="0.5"/>
    <n v="6"/>
    <n v="93.22"/>
    <n v="0"/>
    <n v="0"/>
    <n v="0"/>
    <n v="100.68"/>
    <n v="559.32000000000005"/>
    <n v="660"/>
    <n v="199"/>
    <s v="Giancarlo Tavarez"/>
    <s v="SDE2"/>
    <n v="10"/>
    <n v="168"/>
    <s v="USO DOMESTICO"/>
    <n v="856801"/>
    <s v="USO DOMESTICO"/>
    <s v="ETER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General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48"/>
    <s v="V501137"/>
    <x v="48"/>
    <n v="0.2"/>
    <n v="24"/>
    <n v="12.39"/>
    <n v="0"/>
    <n v="0"/>
    <n v="0"/>
    <n v="53.52"/>
    <n v="297.36"/>
    <n v="351"/>
    <n v="199"/>
    <s v="Giancarlo Tavarez"/>
    <s v="SDE2"/>
    <n v="10"/>
    <n v="168"/>
    <s v="USO DOMESTICO"/>
    <n v="856801"/>
    <s v="USO DOMESTICO"/>
    <s v="ETER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General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28"/>
    <s v="V101028"/>
    <x v="28"/>
    <n v="2"/>
    <n v="36"/>
    <n v="97.42"/>
    <n v="0"/>
    <n v="0"/>
    <n v="0"/>
    <n v="631.28"/>
    <n v="3507.12"/>
    <n v="4138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General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26"/>
    <s v="V101005"/>
    <x v="26"/>
    <n v="1"/>
    <n v="30"/>
    <n v="72.680000000000007"/>
    <n v="0"/>
    <n v="0"/>
    <n v="0"/>
    <n v="392.47"/>
    <n v="2180.4"/>
    <n v="2573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42"/>
    <s v="V930153"/>
    <x v="42"/>
    <n v="0.08"/>
    <n v="2"/>
    <n v="151.58000000000001"/>
    <n v="0"/>
    <n v="0"/>
    <n v="0"/>
    <n v="54.57"/>
    <n v="303.16000000000003"/>
    <n v="358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41"/>
    <s v="V800796"/>
    <x v="41"/>
    <n v="0.04"/>
    <n v="1"/>
    <n v="151.58000000000001"/>
    <n v="0"/>
    <n v="0"/>
    <n v="0"/>
    <n v="27.28"/>
    <n v="151.58000000000001"/>
    <n v="179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1"/>
    <s v="V930021"/>
    <x v="1"/>
    <n v="6.25E-2"/>
    <n v="1"/>
    <n v="90.18"/>
    <n v="0"/>
    <n v="0"/>
    <n v="0"/>
    <n v="16.23"/>
    <n v="90.18"/>
    <n v="106"/>
    <n v="199"/>
    <s v="Giancarlo Tavarez"/>
    <s v="SDE2"/>
    <n v="10"/>
    <n v="208"/>
    <s v="CARAMELOS DUROS"/>
    <n v="0"/>
    <s v="NULL"/>
    <s v="COLOMBINA"/>
    <s v="S1"/>
    <s v="Ramon E. Pimentel (SDE)"/>
    <s v="P206"/>
    <s v="Santo Domingo Este"/>
    <s v="E320000248305"/>
    <n v="0"/>
    <n v="0"/>
    <s v="NULL"/>
    <s v="NULL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69"/>
    <s v="V925059"/>
    <x v="69"/>
    <n v="0.16666666666666"/>
    <n v="4"/>
    <n v="0"/>
    <n v="0"/>
    <n v="0"/>
    <n v="0"/>
    <n v="0"/>
    <n v="0"/>
    <n v="0"/>
    <n v="199"/>
    <s v="Giancarlo Tavarez"/>
    <s v="SDE2"/>
    <n v="10"/>
    <n v="111"/>
    <s v="Ofertas de Temporada"/>
    <n v="0"/>
    <s v="NULL"/>
    <s v="DIMAR DOMINICANA"/>
    <s v="S1"/>
    <s v="Ramon E. Pimentel (SDE)"/>
    <s v="P206"/>
    <s v="Santo Domingo Este"/>
    <s v="E320000248305"/>
    <n v="0"/>
    <n v="1"/>
    <n v="3526"/>
    <s v="12 Sardinas Dimar Tall/Bacalao +1 Tall de oferta"/>
    <n v="0"/>
    <n v="0"/>
    <s v="CONTADO                                           "/>
    <n v="13"/>
    <n v="6338748"/>
    <s v="Almacenes"/>
    <s v="General"/>
  </r>
  <r>
    <n v="125"/>
    <s v="A Grande"/>
    <n v="3"/>
    <n v="6338748"/>
    <s v="Juan Rosario"/>
    <s v="Logistica y Distribucion"/>
    <n v="10167669"/>
    <d v="2026-04-23T00:00:00"/>
    <d v="2026-04-23T00:00:00"/>
    <n v="2026"/>
    <n v="4"/>
    <s v="T2"/>
    <n v="1"/>
    <s v="Alimentos - Espejo"/>
    <s v="Santo Domnigo"/>
    <s v="NULL"/>
    <s v="NULL"/>
    <n v="17"/>
    <n v="23"/>
    <n v="36908"/>
    <n v="3"/>
    <s v="c036908"/>
    <s v="Asociacion De Detallistas Unidos De Mendoza"/>
    <s v="SUPERMERCADO"/>
    <s v="Miércoles"/>
    <s v="Miércoles"/>
    <n v="11"/>
    <x v="60"/>
    <s v="V930154"/>
    <x v="60"/>
    <n v="5.5555555555550001E-2"/>
    <n v="1"/>
    <n v="0"/>
    <n v="0"/>
    <n v="0"/>
    <n v="0"/>
    <n v="0"/>
    <n v="0"/>
    <n v="0"/>
    <n v="199"/>
    <s v="Giancarlo Tavarez"/>
    <s v="SDE2"/>
    <n v="10"/>
    <n v="208"/>
    <s v="CARAMELOS DUROS"/>
    <n v="65103"/>
    <s v="ALIMENTOS DULCES"/>
    <s v="COLOMBINA"/>
    <s v="S1"/>
    <s v="Ramon E. Pimentel (SDE)"/>
    <s v="P206"/>
    <s v="Santo Domingo Este"/>
    <s v="E320000248305"/>
    <n v="0"/>
    <n v="1"/>
    <n v="3500"/>
    <s v="4 Tipitin Cualquier Tipo + 1 Extime de Oferta"/>
    <n v="0"/>
    <n v="0"/>
    <s v="CONTADO                                           "/>
    <n v="13"/>
    <n v="6338748"/>
    <s v="Almacenes"/>
    <s v="General"/>
  </r>
  <r>
    <n v="242"/>
    <s v="A Grande"/>
    <n v="3"/>
    <n v="6338963"/>
    <s v="Agustin Luna Valdez"/>
    <s v="Logistica y Distribucion"/>
    <n v="10167884"/>
    <d v="2026-04-23T00:00:00"/>
    <d v="2026-04-23T00:00:00"/>
    <n v="2026"/>
    <n v="4"/>
    <s v="T2"/>
    <n v="1"/>
    <s v="General"/>
    <s v="Santo Domnigo"/>
    <s v="NULL"/>
    <s v="NULL"/>
    <n v="17"/>
    <n v="23"/>
    <n v="2280"/>
    <n v="3"/>
    <s v="C002280"/>
    <s v="Mini Market Familiar"/>
    <s v="MINI MARKET"/>
    <s v="Miércoles"/>
    <s v="Miércoles"/>
    <n v="14"/>
    <x v="6"/>
    <s v="V511005"/>
    <x v="6"/>
    <n v="1"/>
    <n v="12"/>
    <n v="64.44"/>
    <n v="0"/>
    <n v="0"/>
    <n v="0"/>
    <n v="139.19"/>
    <n v="773.28"/>
    <n v="912"/>
    <n v="14"/>
    <s v="Bernabet Reyes"/>
    <s v="DN4"/>
    <n v="10"/>
    <n v="114"/>
    <s v="BLANCOX"/>
    <n v="66102"/>
    <s v="BLANCOX BOTELLA"/>
    <s v="Brinsa Dominicana"/>
    <s v="S5"/>
    <s v="Fernando Martinez  (DN)"/>
    <s v="P030"/>
    <s v="Distrito Nacional"/>
    <s v="E320000248514"/>
    <n v="0"/>
    <n v="0"/>
    <s v="NULL"/>
    <s v="NULL"/>
    <n v="0"/>
    <n v="0"/>
    <s v="CONTADO                                           "/>
    <n v="13"/>
    <n v="6338963"/>
    <s v="Almacenes"/>
    <s v="General"/>
  </r>
  <r>
    <n v="242"/>
    <s v="A Grande"/>
    <n v="3"/>
    <n v="6338963"/>
    <s v="Agustin Luna Valdez"/>
    <s v="Logistica y Distribucion"/>
    <n v="10167884"/>
    <d v="2026-04-23T00:00:00"/>
    <d v="2026-04-23T00:00:00"/>
    <n v="2026"/>
    <n v="4"/>
    <s v="T2"/>
    <n v="1"/>
    <s v="General"/>
    <s v="Santo Domnigo"/>
    <s v="NULL"/>
    <s v="NULL"/>
    <n v="17"/>
    <n v="23"/>
    <n v="2280"/>
    <n v="3"/>
    <s v="C002280"/>
    <s v="Mini Market Familiar"/>
    <s v="MINI MARKET"/>
    <s v="Miércoles"/>
    <s v="Miércoles"/>
    <n v="14"/>
    <x v="9"/>
    <s v="V201001"/>
    <x v="9"/>
    <n v="2"/>
    <n v="2"/>
    <n v="221.67"/>
    <n v="0"/>
    <n v="0"/>
    <n v="0"/>
    <n v="79.8"/>
    <n v="443.34"/>
    <n v="523"/>
    <n v="14"/>
    <s v="Bernabet Reyes"/>
    <s v="DN4"/>
    <n v="10"/>
    <n v="113"/>
    <s v="REFISAL"/>
    <n v="82101"/>
    <s v="REFISAL PACA"/>
    <s v="Brinsa Dominicana"/>
    <s v="S5"/>
    <s v="Fernando Martinez  (DN)"/>
    <s v="P030"/>
    <s v="Distrito Nacional"/>
    <s v="E320000248514"/>
    <n v="0"/>
    <n v="0"/>
    <s v="NULL"/>
    <s v="NULL"/>
    <n v="0"/>
    <n v="0"/>
    <s v="CONTADO                                           "/>
    <n v="13"/>
    <n v="6338963"/>
    <s v="Almacenes"/>
    <s v="General"/>
  </r>
  <r>
    <n v="223"/>
    <s v="A Grande"/>
    <n v="3"/>
    <n v="6339080"/>
    <s v="Martin Figueroa"/>
    <s v="Logistica y Distribucion"/>
    <n v="10168001"/>
    <d v="2026-04-23T00:00:00"/>
    <d v="2026-04-23T00:00:00"/>
    <n v="2026"/>
    <n v="4"/>
    <s v="T2"/>
    <n v="1"/>
    <s v="General"/>
    <s v="Santo Domnigo"/>
    <s v="NULL"/>
    <s v="NULL"/>
    <n v="17"/>
    <n v="23"/>
    <n v="19291"/>
    <n v="3"/>
    <s v="C019291"/>
    <s v="Mini Market Isamal Comercial"/>
    <s v="MINI MARKET"/>
    <s v="Miércoles"/>
    <s v="Miércoles"/>
    <n v="8"/>
    <x v="9"/>
    <s v="V201001"/>
    <x v="9"/>
    <n v="26"/>
    <n v="26"/>
    <n v="212.8"/>
    <n v="0"/>
    <n v="0"/>
    <n v="0"/>
    <n v="995.9"/>
    <n v="5532.8"/>
    <n v="6529"/>
    <n v="8"/>
    <s v="Daniel Gutierrez"/>
    <s v="DN3"/>
    <n v="10"/>
    <n v="113"/>
    <s v="REFISAL"/>
    <n v="82101"/>
    <s v="REFISAL PACA"/>
    <s v="Brinsa Dominicana"/>
    <s v="S5"/>
    <s v="Fernando Martinez  (DN)"/>
    <s v="P016"/>
    <s v="Distrito Nacional"/>
    <s v="E320000248627"/>
    <n v="0"/>
    <n v="0"/>
    <s v="NULL"/>
    <s v="NULL"/>
    <n v="0"/>
    <n v="0"/>
    <s v="CONTADO                                           "/>
    <n v="13"/>
    <n v="6339080"/>
    <s v="Almacenes"/>
    <s v="General"/>
  </r>
  <r>
    <n v="223"/>
    <s v="A Grande"/>
    <n v="3"/>
    <n v="6339080"/>
    <s v="Martin Figueroa"/>
    <s v="Logistica y Distribucion"/>
    <n v="10168001"/>
    <d v="2026-04-23T00:00:00"/>
    <d v="2026-04-23T00:00:00"/>
    <n v="2026"/>
    <n v="4"/>
    <s v="T2"/>
    <n v="1"/>
    <s v="General"/>
    <s v="Santo Domnigo"/>
    <s v="NULL"/>
    <s v="NULL"/>
    <n v="17"/>
    <n v="23"/>
    <n v="19291"/>
    <n v="3"/>
    <s v="C019291"/>
    <s v="Mini Market Isamal Comercial"/>
    <s v="MINI MARKET"/>
    <s v="Miércoles"/>
    <s v="Miércoles"/>
    <n v="8"/>
    <x v="25"/>
    <s v="V501000"/>
    <x v="25"/>
    <n v="5"/>
    <n v="20"/>
    <n v="114.4"/>
    <n v="0"/>
    <n v="0"/>
    <n v="0"/>
    <n v="411.84"/>
    <n v="2288"/>
    <n v="2700"/>
    <n v="8"/>
    <s v="Daniel Gutierrez"/>
    <s v="DN3"/>
    <n v="10"/>
    <n v="114"/>
    <s v="BLANCOX"/>
    <n v="66101"/>
    <s v="BLANCOX SACHET"/>
    <s v="Brinsa Dominicana"/>
    <s v="S5"/>
    <s v="Fernando Martinez  (DN)"/>
    <s v="P016"/>
    <s v="Distrito Nacional"/>
    <s v="E320000248627"/>
    <n v="0"/>
    <n v="0"/>
    <s v="NULL"/>
    <s v="NULL"/>
    <n v="0"/>
    <n v="0"/>
    <s v="CONTADO                                           "/>
    <n v="13"/>
    <n v="6339080"/>
    <s v="Almacenes"/>
    <s v="General"/>
  </r>
  <r>
    <n v="289"/>
    <s v="A Grande"/>
    <n v="3"/>
    <n v="6339255"/>
    <s v="AMAURI GIRON OSORIA"/>
    <s v="Logistica y Distribucion"/>
    <n v="10168176"/>
    <d v="2026-04-23T00:00:00"/>
    <d v="2026-04-23T00:00:00"/>
    <n v="2026"/>
    <n v="4"/>
    <s v="T2"/>
    <n v="1"/>
    <s v="General"/>
    <s v="Santo Domnigo"/>
    <s v="NULL"/>
    <s v="NULL"/>
    <n v="17"/>
    <n v="23"/>
    <n v="37594"/>
    <n v="3"/>
    <s v="C037594"/>
    <s v="Mini Market El patron 3."/>
    <s v="MINI MARKET"/>
    <s v="Miércoles"/>
    <s v="Miércoles"/>
    <n v="72"/>
    <x v="18"/>
    <s v="V101124"/>
    <x v="18"/>
    <n v="1"/>
    <n v="24"/>
    <n v="73.7"/>
    <n v="0"/>
    <n v="0"/>
    <n v="0"/>
    <n v="318.38"/>
    <n v="1768.8"/>
    <n v="2087"/>
    <n v="72"/>
    <s v="Carla Valdez (WC)"/>
    <s v="SDO7"/>
    <n v="10"/>
    <n v="135"/>
    <s v="CUIDADO DE BEBE"/>
    <n v="6770651"/>
    <s v="CUIDADO FAMILIAR"/>
    <s v="Continental de Negocios"/>
    <s v="S2"/>
    <s v="Fernando Martinez (SDO)"/>
    <s v="P011"/>
    <s v="Santo Domingo Oeste"/>
    <s v="E310000021270"/>
    <n v="0"/>
    <n v="0"/>
    <s v="NULL"/>
    <s v="NULL"/>
    <n v="0"/>
    <n v="0"/>
    <s v="CONTADO                                           "/>
    <n v="13"/>
    <n v="6339255"/>
    <s v="Almacenes"/>
    <s v="General"/>
  </r>
  <r>
    <n v="254"/>
    <s v="A Grande"/>
    <n v="3"/>
    <n v="6340095"/>
    <s v="Santo Muñoz de Paula"/>
    <s v="Logistica y Distribucion"/>
    <n v="10169016"/>
    <d v="2026-04-24T00:00:00"/>
    <d v="2026-04-24T00:00:00"/>
    <n v="2026"/>
    <n v="4"/>
    <s v="T2"/>
    <n v="1"/>
    <s v="Alimentos - Espejo"/>
    <s v="Santo Domnigo"/>
    <s v="NULL"/>
    <s v="NULL"/>
    <n v="17"/>
    <n v="24"/>
    <n v="5474"/>
    <n v="3"/>
    <s v="C005474"/>
    <s v="Mini Market Gracia Divina"/>
    <s v="MINI MARKET"/>
    <s v="Jueves"/>
    <s v="SinAsignar"/>
    <n v="70"/>
    <x v="21"/>
    <s v="V800792"/>
    <x v="21"/>
    <n v="0.16"/>
    <n v="4"/>
    <n v="153.11000000000001"/>
    <n v="0"/>
    <n v="0"/>
    <n v="0"/>
    <n v="110.24"/>
    <n v="612.44000000000005"/>
    <n v="723"/>
    <n v="70"/>
    <s v="Dilcio Navarro"/>
    <s v="SDO2"/>
    <n v="10"/>
    <n v="207"/>
    <s v="BOLONES"/>
    <n v="65103"/>
    <s v="ALIMENTOS DULCES"/>
    <s v="COLOMBINA"/>
    <s v="S2"/>
    <s v="Fernando Martinez (SDO)"/>
    <s v="P006"/>
    <s v="Santo Domingo Oeste"/>
    <s v="E310000021343"/>
    <n v="0"/>
    <n v="0"/>
    <s v="NULL"/>
    <s v="NULL"/>
    <n v="0"/>
    <n v="0"/>
    <s v="CONTADO                                           "/>
    <n v="13"/>
    <n v="6340095"/>
    <s v="Almacenes"/>
    <s v="General"/>
  </r>
  <r>
    <n v="254"/>
    <s v="A Grande"/>
    <n v="3"/>
    <n v="6340095"/>
    <s v="Santo Muñoz de Paula"/>
    <s v="Logistica y Distribucion"/>
    <n v="10169016"/>
    <d v="2026-04-24T00:00:00"/>
    <d v="2026-04-24T00:00:00"/>
    <n v="2026"/>
    <n v="4"/>
    <s v="T2"/>
    <n v="1"/>
    <s v="Alimentos - Espejo"/>
    <s v="Santo Domnigo"/>
    <s v="NULL"/>
    <s v="NULL"/>
    <n v="17"/>
    <n v="24"/>
    <n v="5474"/>
    <n v="3"/>
    <s v="C005474"/>
    <s v="Mini Market Gracia Divina"/>
    <s v="MINI MARKET"/>
    <s v="Jueves"/>
    <s v="SinAsignar"/>
    <n v="70"/>
    <x v="59"/>
    <s v="V925050"/>
    <x v="59"/>
    <n v="1"/>
    <n v="24"/>
    <n v="73.45"/>
    <n v="0"/>
    <n v="0"/>
    <n v="0"/>
    <n v="317.3"/>
    <n v="1762.8"/>
    <n v="2080"/>
    <n v="70"/>
    <s v="Dilcio Navarro"/>
    <s v="SDO2"/>
    <n v="10"/>
    <n v="117"/>
    <s v="DIMAR"/>
    <n v="65104"/>
    <s v="ALIMENTOS SARDINAS"/>
    <s v="DIMAR DOMINICANA"/>
    <s v="S2"/>
    <s v="Fernando Martinez (SDO)"/>
    <s v="P006"/>
    <s v="Santo Domingo Oeste"/>
    <s v="E310000021343"/>
    <n v="0"/>
    <n v="0"/>
    <s v="NULL"/>
    <s v="NULL"/>
    <n v="0"/>
    <n v="0"/>
    <s v="CONTADO                                           "/>
    <n v="13"/>
    <n v="6340095"/>
    <s v="Almacenes"/>
    <s v="General"/>
  </r>
  <r>
    <n v="254"/>
    <s v="A Grande"/>
    <n v="3"/>
    <n v="6340095"/>
    <s v="Santo Muñoz de Paula"/>
    <s v="Logistica y Distribucion"/>
    <n v="10169016"/>
    <d v="2026-04-24T00:00:00"/>
    <d v="2026-04-24T00:00:00"/>
    <n v="2026"/>
    <n v="4"/>
    <s v="T2"/>
    <n v="1"/>
    <s v="General"/>
    <s v="Santo Domnigo"/>
    <s v="NULL"/>
    <s v="NULL"/>
    <n v="17"/>
    <n v="24"/>
    <n v="5474"/>
    <n v="3"/>
    <s v="C005474"/>
    <s v="Mini Market Gracia Divina"/>
    <s v="MINI MARKET"/>
    <s v="Jueves"/>
    <s v="SinAsignar"/>
    <n v="70"/>
    <x v="20"/>
    <s v="V611055"/>
    <x v="20"/>
    <n v="4"/>
    <n v="16"/>
    <n v="78.319999999999993"/>
    <n v="0"/>
    <n v="0"/>
    <n v="0"/>
    <n v="225.56"/>
    <n v="1253.1199999999999"/>
    <n v="1479"/>
    <n v="70"/>
    <s v="Dilcio Navarro"/>
    <s v="SDO2"/>
    <n v="10"/>
    <n v="114"/>
    <s v="BLANCOX"/>
    <n v="66102"/>
    <s v="BLANCOX BOTELLA"/>
    <s v="Brinsa Dominicana"/>
    <s v="S2"/>
    <s v="Fernando Martinez (SDO)"/>
    <s v="P006"/>
    <s v="Santo Domingo Oeste"/>
    <s v="E310000021343"/>
    <n v="0"/>
    <n v="0"/>
    <s v="NULL"/>
    <s v="NULL"/>
    <n v="0"/>
    <n v="0"/>
    <s v="CONTADO                                           "/>
    <n v="13"/>
    <n v="6340095"/>
    <s v="Almacenes"/>
    <s v="General"/>
  </r>
  <r>
    <n v="254"/>
    <s v="A Grande"/>
    <n v="3"/>
    <n v="6340095"/>
    <s v="Santo Muñoz de Paula"/>
    <s v="Logistica y Distribucion"/>
    <n v="10169016"/>
    <d v="2026-04-24T00:00:00"/>
    <d v="2026-04-24T00:00:00"/>
    <n v="2026"/>
    <n v="4"/>
    <s v="T2"/>
    <n v="1"/>
    <s v="General"/>
    <s v="Santo Domnigo"/>
    <s v="NULL"/>
    <s v="NULL"/>
    <n v="17"/>
    <n v="24"/>
    <n v="5474"/>
    <n v="3"/>
    <s v="C005474"/>
    <s v="Mini Market Gracia Divina"/>
    <s v="MINI MARKET"/>
    <s v="Jueves"/>
    <s v="SinAsignar"/>
    <n v="70"/>
    <x v="4"/>
    <s v="V611052"/>
    <x v="4"/>
    <n v="1"/>
    <n v="24"/>
    <n v="20"/>
    <n v="0"/>
    <n v="0"/>
    <n v="0"/>
    <n v="86.4"/>
    <n v="480"/>
    <n v="566"/>
    <n v="70"/>
    <s v="Dilcio Navarro"/>
    <s v="SDO2"/>
    <n v="10"/>
    <n v="114"/>
    <s v="BLANCOX"/>
    <n v="66102"/>
    <s v="BLANCOX BOTELLA"/>
    <s v="Brinsa Dominicana"/>
    <s v="S2"/>
    <s v="Fernando Martinez (SDO)"/>
    <s v="P006"/>
    <s v="Santo Domingo Oeste"/>
    <s v="E310000021343"/>
    <n v="0"/>
    <n v="0"/>
    <s v="NULL"/>
    <s v="NULL"/>
    <n v="0"/>
    <n v="0"/>
    <s v="CONTADO                                           "/>
    <n v="13"/>
    <n v="6340095"/>
    <s v="Almacenes"/>
    <s v="General"/>
  </r>
  <r>
    <n v="254"/>
    <s v="A Grande"/>
    <n v="3"/>
    <n v="6340095"/>
    <s v="Santo Muñoz de Paula"/>
    <s v="Logistica y Distribucion"/>
    <n v="10169016"/>
    <d v="2026-04-24T00:00:00"/>
    <d v="2026-04-24T00:00:00"/>
    <n v="2026"/>
    <n v="4"/>
    <s v="T2"/>
    <n v="1"/>
    <s v="General"/>
    <s v="Santo Domnigo"/>
    <s v="NULL"/>
    <s v="NULL"/>
    <n v="17"/>
    <n v="24"/>
    <n v="5474"/>
    <n v="3"/>
    <s v="C005474"/>
    <s v="Mini Market Gracia Divina"/>
    <s v="MINI MARKET"/>
    <s v="Jueves"/>
    <s v="SinAsignar"/>
    <n v="70"/>
    <x v="16"/>
    <s v="V103001"/>
    <x v="16"/>
    <n v="1"/>
    <n v="48"/>
    <n v="21.36"/>
    <n v="0"/>
    <n v="0"/>
    <n v="0"/>
    <n v="184.55"/>
    <n v="1025.28"/>
    <n v="1210"/>
    <n v="70"/>
    <s v="Dilcio Navarro"/>
    <s v="SDO2"/>
    <n v="10"/>
    <n v="107"/>
    <s v="FAMILIA"/>
    <n v="6770651"/>
    <s v="CUIDADO FAMILIAR"/>
    <s v="Continental de Negocios"/>
    <s v="S2"/>
    <s v="Fernando Martinez (SDO)"/>
    <s v="P006"/>
    <s v="Santo Domingo Oeste"/>
    <s v="E310000021343"/>
    <n v="0"/>
    <n v="0"/>
    <s v="NULL"/>
    <s v="NULL"/>
    <n v="0"/>
    <n v="0"/>
    <s v="CONTADO                                           "/>
    <n v="13"/>
    <n v="6340095"/>
    <s v="Almacenes"/>
    <s v="General"/>
  </r>
  <r>
    <n v="254"/>
    <s v="A Grande"/>
    <n v="3"/>
    <n v="6340095"/>
    <s v="Santo Muñoz de Paula"/>
    <s v="Logistica y Distribucion"/>
    <n v="10169016"/>
    <d v="2026-04-24T00:00:00"/>
    <d v="2026-04-24T00:00:00"/>
    <n v="2026"/>
    <n v="4"/>
    <s v="T2"/>
    <n v="1"/>
    <s v="General"/>
    <s v="Santo Domnigo"/>
    <s v="NULL"/>
    <s v="NULL"/>
    <n v="17"/>
    <n v="24"/>
    <n v="5474"/>
    <n v="3"/>
    <s v="C005474"/>
    <s v="Mini Market Gracia Divina"/>
    <s v="MINI MARKET"/>
    <s v="Jueves"/>
    <s v="SinAsignar"/>
    <n v="70"/>
    <x v="54"/>
    <s v="V611049"/>
    <x v="54"/>
    <n v="1"/>
    <n v="24"/>
    <n v="27.76"/>
    <n v="0"/>
    <n v="0"/>
    <n v="0"/>
    <n v="119.92"/>
    <n v="666.24"/>
    <n v="786"/>
    <n v="70"/>
    <s v="Dilcio Navarro"/>
    <s v="SDO2"/>
    <n v="10"/>
    <n v="113"/>
    <s v="REFISAL"/>
    <n v="82102"/>
    <s v="REFISAL POTE"/>
    <s v="Brinsa Dominicana"/>
    <s v="S2"/>
    <s v="Fernando Martinez (SDO)"/>
    <s v="P006"/>
    <s v="Santo Domingo Oeste"/>
    <s v="E310000021343"/>
    <n v="0"/>
    <n v="0"/>
    <s v="NULL"/>
    <s v="NULL"/>
    <n v="0"/>
    <n v="0"/>
    <s v="CONTADO                                           "/>
    <n v="13"/>
    <n v="6340095"/>
    <s v="Almacenes"/>
    <s v="General"/>
  </r>
  <r>
    <n v="254"/>
    <s v="A Grande"/>
    <n v="3"/>
    <n v="6340095"/>
    <s v="Santo Muñoz de Paula"/>
    <s v="Logistica y Distribucion"/>
    <n v="10169016"/>
    <d v="2026-04-24T00:00:00"/>
    <d v="2026-04-24T00:00:00"/>
    <n v="2026"/>
    <n v="4"/>
    <s v="T2"/>
    <n v="1"/>
    <s v="Alimentos - Espejo"/>
    <s v="Santo Domnigo"/>
    <s v="NULL"/>
    <s v="NULL"/>
    <n v="17"/>
    <n v="24"/>
    <n v="5474"/>
    <n v="3"/>
    <s v="C005474"/>
    <s v="Mini Market Gracia Divina"/>
    <s v="MINI MARKET"/>
    <s v="Jueves"/>
    <s v="SinAsignar"/>
    <n v="70"/>
    <x v="30"/>
    <s v="V930023"/>
    <x v="30"/>
    <n v="0.3"/>
    <n v="6"/>
    <n v="140.75"/>
    <n v="0"/>
    <n v="0"/>
    <n v="0"/>
    <n v="152.01"/>
    <n v="844.5"/>
    <n v="997"/>
    <n v="70"/>
    <s v="Dilcio Navarro"/>
    <s v="SDO2"/>
    <n v="10"/>
    <n v="208"/>
    <s v="CARAMELOS DUROS"/>
    <n v="0"/>
    <s v="NULL"/>
    <s v="COLOMBINA"/>
    <s v="S2"/>
    <s v="Fernando Martinez (SDO)"/>
    <s v="P006"/>
    <s v="Santo Domingo Oeste"/>
    <s v="E310000021343"/>
    <n v="0"/>
    <n v="0"/>
    <s v="NULL"/>
    <s v="NULL"/>
    <n v="0"/>
    <n v="0"/>
    <s v="CONTADO                                           "/>
    <n v="13"/>
    <n v="6340095"/>
    <s v="Almacenes"/>
    <s v="General"/>
  </r>
  <r>
    <n v="254"/>
    <s v="A Grande"/>
    <n v="3"/>
    <n v="6340095"/>
    <s v="Santo Muñoz de Paula"/>
    <s v="Logistica y Distribucion"/>
    <n v="10169016"/>
    <d v="2026-04-24T00:00:00"/>
    <d v="2026-04-24T00:00:00"/>
    <n v="2026"/>
    <n v="4"/>
    <s v="T2"/>
    <n v="1"/>
    <s v="Alimentos - Espejo"/>
    <s v="Santo Domnigo"/>
    <s v="NULL"/>
    <s v="NULL"/>
    <n v="17"/>
    <n v="24"/>
    <n v="5474"/>
    <n v="3"/>
    <s v="C005474"/>
    <s v="Mini Market Gracia Divina"/>
    <s v="MINI MARKET"/>
    <s v="Jueves"/>
    <s v="SinAsignar"/>
    <n v="70"/>
    <x v="69"/>
    <s v="V925059"/>
    <x v="69"/>
    <n v="8.3333333333329998E-2"/>
    <n v="2"/>
    <n v="0"/>
    <n v="0"/>
    <n v="0"/>
    <n v="0"/>
    <n v="0"/>
    <n v="0"/>
    <n v="0"/>
    <n v="70"/>
    <s v="Dilcio Navarro"/>
    <s v="SDO2"/>
    <n v="10"/>
    <n v="111"/>
    <s v="Ofertas de Temporada"/>
    <n v="0"/>
    <s v="NULL"/>
    <s v="DIMAR DOMINICANA"/>
    <s v="S2"/>
    <s v="Fernando Martinez (SDO)"/>
    <s v="P006"/>
    <s v="Santo Domingo Oeste"/>
    <s v="E310000021343"/>
    <n v="0"/>
    <n v="1"/>
    <n v="3526"/>
    <s v="12 Sardinas Dimar Tall/Bacalao +1 Tall de oferta"/>
    <n v="0"/>
    <n v="0"/>
    <s v="CONTADO                                           "/>
    <n v="13"/>
    <n v="6340095"/>
    <s v="Almacenes"/>
    <s v="General"/>
  </r>
  <r>
    <n v="254"/>
    <s v="A Grande"/>
    <n v="3"/>
    <n v="6340095"/>
    <s v="Santo Muñoz de Paula"/>
    <s v="Logistica y Distribucion"/>
    <n v="10169016"/>
    <d v="2026-04-24T00:00:00"/>
    <d v="2026-04-24T00:00:00"/>
    <n v="2026"/>
    <n v="4"/>
    <s v="T2"/>
    <n v="1"/>
    <s v="General"/>
    <s v="Santo Domnigo"/>
    <s v="NULL"/>
    <s v="NULL"/>
    <n v="17"/>
    <n v="24"/>
    <n v="5474"/>
    <n v="3"/>
    <s v="C005474"/>
    <s v="Mini Market Gracia Divina"/>
    <s v="MINI MARKET"/>
    <s v="Jueves"/>
    <s v="SinAsignar"/>
    <n v="70"/>
    <x v="16"/>
    <s v="V103001"/>
    <x v="16"/>
    <n v="0.1875"/>
    <n v="9"/>
    <n v="0"/>
    <n v="0"/>
    <n v="0"/>
    <n v="0"/>
    <n v="0"/>
    <n v="0"/>
    <n v="0"/>
    <n v="70"/>
    <s v="Dilcio Navarro"/>
    <s v="SDO2"/>
    <n v="10"/>
    <n v="107"/>
    <s v="FAMILIA"/>
    <n v="6770651"/>
    <s v="CUIDADO FAMILIAR"/>
    <s v="Continental de Negocios"/>
    <s v="S2"/>
    <s v="Fernando Martinez (SDO)"/>
    <s v="P006"/>
    <s v="Santo Domingo Oeste"/>
    <s v="E310000021343"/>
    <n v="0"/>
    <n v="1"/>
    <n v="3535"/>
    <s v="Papel Higienico Familia Aroma Grande 48/24 UND +9/4UND Papeles Familia de Ofertas"/>
    <n v="0"/>
    <n v="0"/>
    <s v="CONTADO                                           "/>
    <n v="13"/>
    <n v="6340095"/>
    <s v="Almacenes"/>
    <s v="General"/>
  </r>
  <r>
    <n v="223"/>
    <s v="A Grande"/>
    <n v="3"/>
    <n v="6342027"/>
    <s v="Martin Figueroa"/>
    <s v="Logistica y Distribucion"/>
    <n v="10170948"/>
    <d v="2026-04-25T00:00:00"/>
    <d v="2026-04-25T00:00:00"/>
    <n v="2026"/>
    <n v="4"/>
    <s v="T2"/>
    <n v="1"/>
    <s v="General"/>
    <s v="Santo Domnigo"/>
    <s v="NULL"/>
    <s v="NULL"/>
    <n v="17"/>
    <n v="25"/>
    <n v="1019"/>
    <n v="3"/>
    <s v="C001019"/>
    <s v="Mini Market Shairelys SRL"/>
    <s v="MINI MARKET"/>
    <s v="Viernes"/>
    <s v="Viernes"/>
    <n v="60"/>
    <x v="28"/>
    <s v="V101028"/>
    <x v="28"/>
    <n v="1"/>
    <n v="18"/>
    <n v="98.4"/>
    <n v="0"/>
    <n v="0"/>
    <n v="0"/>
    <n v="318.82"/>
    <n v="1771.2"/>
    <n v="2090"/>
    <n v="60"/>
    <s v="Martina Ramirez"/>
    <s v="DN5"/>
    <n v="10"/>
    <n v="105"/>
    <s v="NOSOTRAS"/>
    <n v="677001"/>
    <s v="CUIDADO FEMENINO"/>
    <s v="Continental de Negocios"/>
    <s v="S5"/>
    <s v="Fernando Martinez  (DN)"/>
    <s v="P002"/>
    <s v="Distrito Nacional"/>
    <s v="E310000021555"/>
    <n v="0"/>
    <n v="0"/>
    <s v="NULL"/>
    <s v="NULL"/>
    <n v="0"/>
    <n v="0"/>
    <s v="CONTADO                                           "/>
    <n v="13"/>
    <n v="6342027"/>
    <s v="Almacenes"/>
    <s v="General"/>
  </r>
  <r>
    <n v="223"/>
    <s v="A Grande"/>
    <n v="3"/>
    <n v="6343784"/>
    <s v="Martin Figueroa"/>
    <s v="Logistica y Distribucion"/>
    <n v="10172705"/>
    <d v="2026-04-27T00:00:00"/>
    <d v="2026-04-27T00:00:00"/>
    <n v="2026"/>
    <n v="4"/>
    <s v="T2"/>
    <n v="1"/>
    <s v="General"/>
    <s v="Santo Domnigo"/>
    <s v="NULL"/>
    <s v="NULL"/>
    <n v="18"/>
    <n v="27"/>
    <n v="12191"/>
    <n v="3"/>
    <s v="C012191"/>
    <s v="Super Mercado La Ballena"/>
    <s v="SUPERMERCADO"/>
    <s v="Lunes"/>
    <s v="Lunes"/>
    <n v="91"/>
    <x v="14"/>
    <s v="V800088"/>
    <x v="14"/>
    <n v="1"/>
    <n v="8"/>
    <n v="364.41"/>
    <n v="0"/>
    <n v="0"/>
    <n v="0"/>
    <n v="524.75"/>
    <n v="2915.28"/>
    <n v="344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253051"/>
    <n v="0"/>
    <n v="0"/>
    <s v="NULL"/>
    <s v="NULL"/>
    <n v="0"/>
    <n v="0"/>
    <s v="CONTADO                                           "/>
    <n v="13"/>
    <n v="6343784"/>
    <s v="Almacenes"/>
    <s v="General"/>
  </r>
  <r>
    <n v="223"/>
    <s v="A Grande"/>
    <n v="3"/>
    <n v="6343786"/>
    <s v="Martin Figueroa"/>
    <s v="Logistica y Distribucion"/>
    <n v="10172707"/>
    <d v="2026-04-27T00:00:00"/>
    <d v="2026-04-27T00:00:00"/>
    <n v="2026"/>
    <n v="4"/>
    <s v="T2"/>
    <n v="1"/>
    <s v="Alimentos - Espejo"/>
    <s v="Santo Domnigo"/>
    <s v="NULL"/>
    <s v="NULL"/>
    <n v="18"/>
    <n v="27"/>
    <n v="14167"/>
    <n v="3"/>
    <s v="C014167"/>
    <s v="Mini Market Galvan"/>
    <s v="MINI MARKET"/>
    <s v="Lunes"/>
    <s v="Lunes"/>
    <n v="91"/>
    <x v="12"/>
    <s v="V800791"/>
    <x v="12"/>
    <n v="0.2"/>
    <n v="5"/>
    <n v="153.11000000000001"/>
    <n v="0"/>
    <n v="0"/>
    <n v="0"/>
    <n v="137.80000000000001"/>
    <n v="765.55"/>
    <n v="903"/>
    <n v="91"/>
    <s v="Enrrique Morillo (DN)"/>
    <s v="DN6"/>
    <n v="10"/>
    <n v="207"/>
    <s v="BOLONES"/>
    <n v="65103"/>
    <s v="ALIMENTOS DULCES"/>
    <s v="COLOMBINA"/>
    <s v="S5"/>
    <s v="Fernando Martinez  (DN)"/>
    <s v="DN013"/>
    <s v="Distrito Nacional"/>
    <s v="E320000253052"/>
    <n v="0"/>
    <n v="0"/>
    <s v="NULL"/>
    <s v="NULL"/>
    <n v="0"/>
    <n v="0"/>
    <s v="CONTADO                                           "/>
    <n v="13"/>
    <n v="6343786"/>
    <s v="Almacenes"/>
    <s v="General"/>
  </r>
  <r>
    <n v="223"/>
    <s v="A Grande"/>
    <n v="3"/>
    <n v="6343786"/>
    <s v="Martin Figueroa"/>
    <s v="Logistica y Distribucion"/>
    <n v="10172707"/>
    <d v="2026-04-27T00:00:00"/>
    <d v="2026-04-27T00:00:00"/>
    <n v="2026"/>
    <n v="4"/>
    <s v="T2"/>
    <n v="1"/>
    <s v="General"/>
    <s v="Santo Domnigo"/>
    <s v="NULL"/>
    <s v="NULL"/>
    <n v="18"/>
    <n v="27"/>
    <n v="14167"/>
    <n v="3"/>
    <s v="C014167"/>
    <s v="Mini Market Galvan"/>
    <s v="MINI MARKET"/>
    <s v="Lunes"/>
    <s v="Lunes"/>
    <n v="91"/>
    <x v="14"/>
    <s v="V800088"/>
    <x v="14"/>
    <n v="0.625"/>
    <n v="5"/>
    <n v="364.41"/>
    <n v="0"/>
    <n v="0"/>
    <n v="0"/>
    <n v="327.97"/>
    <n v="1822.05"/>
    <n v="215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253052"/>
    <n v="0"/>
    <n v="0"/>
    <s v="NULL"/>
    <s v="NULL"/>
    <n v="0"/>
    <n v="0"/>
    <s v="CONTADO                                           "/>
    <n v="13"/>
    <n v="6343786"/>
    <s v="Almacenes"/>
    <s v="General"/>
  </r>
  <r>
    <n v="223"/>
    <s v="A Grande"/>
    <n v="3"/>
    <n v="6343786"/>
    <s v="Martin Figueroa"/>
    <s v="Logistica y Distribucion"/>
    <n v="10172707"/>
    <d v="2026-04-27T00:00:00"/>
    <d v="2026-04-27T00:00:00"/>
    <n v="2026"/>
    <n v="4"/>
    <s v="T2"/>
    <n v="1"/>
    <s v="General"/>
    <s v="Santo Domnigo"/>
    <s v="NULL"/>
    <s v="NULL"/>
    <n v="18"/>
    <n v="27"/>
    <n v="14167"/>
    <n v="3"/>
    <s v="C014167"/>
    <s v="Mini Market Galvan"/>
    <s v="MINI MARKET"/>
    <s v="Lunes"/>
    <s v="Lunes"/>
    <n v="91"/>
    <x v="13"/>
    <s v="v101038"/>
    <x v="13"/>
    <n v="0.2"/>
    <n v="2"/>
    <n v="364.41"/>
    <n v="0"/>
    <n v="0"/>
    <n v="0"/>
    <n v="131.19"/>
    <n v="728.82"/>
    <n v="86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253052"/>
    <n v="0"/>
    <n v="0"/>
    <s v="NULL"/>
    <s v="NULL"/>
    <n v="0"/>
    <n v="0"/>
    <s v="CONTADO                                           "/>
    <n v="13"/>
    <n v="6343786"/>
    <s v="Almacenes"/>
    <s v="General"/>
  </r>
  <r>
    <n v="289"/>
    <s v="A Grande"/>
    <n v="3"/>
    <n v="6348413"/>
    <s v="AMAURI GIRON OSORIA"/>
    <s v="Logistica y Distribucion"/>
    <n v="10177334"/>
    <d v="2026-04-30T00:00:00"/>
    <d v="2026-04-30T00:00:00"/>
    <n v="2026"/>
    <n v="4"/>
    <s v="T2"/>
    <n v="1"/>
    <s v="General"/>
    <s v="Santo Domnigo"/>
    <s v="NULL"/>
    <s v="NULL"/>
    <n v="18"/>
    <n v="30"/>
    <n v="37594"/>
    <n v="3"/>
    <s v="C037594"/>
    <s v="Mini Market El patron 3."/>
    <s v="MINI MARKET"/>
    <s v="Miércoles"/>
    <s v="Miércoles"/>
    <n v="72"/>
    <x v="16"/>
    <s v="V103001"/>
    <x v="16"/>
    <n v="0.375"/>
    <n v="18"/>
    <n v="0"/>
    <n v="0"/>
    <n v="0"/>
    <n v="0"/>
    <n v="0"/>
    <n v="0"/>
    <n v="0"/>
    <n v="72"/>
    <s v="Carla Valdez (WC)"/>
    <s v="SDO7"/>
    <n v="10"/>
    <n v="107"/>
    <s v="FAMILIA"/>
    <n v="6770651"/>
    <s v="CUIDADO FAMILIAR"/>
    <s v="Continental de Negocios"/>
    <s v="S2"/>
    <s v="Fernando Martinez (SDO)"/>
    <s v="P011"/>
    <s v="Santo Domingo Oeste"/>
    <s v="E310000022170"/>
    <n v="0"/>
    <n v="1"/>
    <n v="3535"/>
    <s v="Papel Higienico Familia Aroma Grande 48/24 UND +9/4UND Papeles Familia de Ofertas"/>
    <n v="0"/>
    <n v="0"/>
    <s v="CONTADO                                           "/>
    <n v="13"/>
    <n v="6348413"/>
    <s v="Almacenes"/>
    <s v="General"/>
  </r>
  <r>
    <n v="289"/>
    <s v="A Grande"/>
    <n v="3"/>
    <n v="6348413"/>
    <s v="AMAURI GIRON OSORIA"/>
    <s v="Logistica y Distribucion"/>
    <n v="10177334"/>
    <d v="2026-04-30T00:00:00"/>
    <d v="2026-04-30T00:00:00"/>
    <n v="2026"/>
    <n v="4"/>
    <s v="T2"/>
    <n v="1"/>
    <s v="General"/>
    <s v="Santo Domnigo"/>
    <s v="NULL"/>
    <s v="NULL"/>
    <n v="18"/>
    <n v="30"/>
    <n v="37594"/>
    <n v="3"/>
    <s v="C037594"/>
    <s v="Mini Market El patron 3."/>
    <s v="MINI MARKET"/>
    <s v="Miércoles"/>
    <s v="Miércoles"/>
    <n v="72"/>
    <x v="16"/>
    <s v="V103001"/>
    <x v="16"/>
    <n v="2"/>
    <n v="96"/>
    <n v="21.36"/>
    <n v="0"/>
    <n v="0"/>
    <n v="0"/>
    <n v="369.1"/>
    <n v="2050.56"/>
    <n v="2420"/>
    <n v="72"/>
    <s v="Carla Valdez (WC)"/>
    <s v="SDO7"/>
    <n v="10"/>
    <n v="107"/>
    <s v="FAMILIA"/>
    <n v="6770651"/>
    <s v="CUIDADO FAMILIAR"/>
    <s v="Continental de Negocios"/>
    <s v="S2"/>
    <s v="Fernando Martinez (SDO)"/>
    <s v="P011"/>
    <s v="Santo Domingo Oeste"/>
    <s v="E310000022170"/>
    <n v="0"/>
    <n v="0"/>
    <s v="NULL"/>
    <s v="NULL"/>
    <n v="0"/>
    <n v="0"/>
    <s v="CONTADO                                           "/>
    <n v="13"/>
    <n v="6348413"/>
    <s v="Almacenes"/>
    <s v="General"/>
  </r>
  <r>
    <n v="289"/>
    <s v="A Grande"/>
    <n v="3"/>
    <n v="6348413"/>
    <s v="AMAURI GIRON OSORIA"/>
    <s v="Logistica y Distribucion"/>
    <n v="10177334"/>
    <d v="2026-04-30T00:00:00"/>
    <d v="2026-04-30T00:00:00"/>
    <n v="2026"/>
    <n v="4"/>
    <s v="T2"/>
    <n v="1"/>
    <s v="General"/>
    <s v="Santo Domnigo"/>
    <s v="NULL"/>
    <s v="NULL"/>
    <n v="18"/>
    <n v="30"/>
    <n v="37594"/>
    <n v="3"/>
    <s v="C037594"/>
    <s v="Mini Market El patron 3."/>
    <s v="MINI MARKET"/>
    <s v="Miércoles"/>
    <s v="Miércoles"/>
    <n v="72"/>
    <x v="20"/>
    <s v="V611055"/>
    <x v="20"/>
    <n v="2"/>
    <n v="8"/>
    <n v="78.319999999999993"/>
    <n v="0"/>
    <n v="0"/>
    <n v="0"/>
    <n v="112.78"/>
    <n v="626.55999999999995"/>
    <n v="739"/>
    <n v="72"/>
    <s v="Carla Valdez (WC)"/>
    <s v="SDO7"/>
    <n v="10"/>
    <n v="114"/>
    <s v="BLANCOX"/>
    <n v="66102"/>
    <s v="BLANCOX BOTELLA"/>
    <s v="Brinsa Dominicana"/>
    <s v="S2"/>
    <s v="Fernando Martinez (SDO)"/>
    <s v="P011"/>
    <s v="Santo Domingo Oeste"/>
    <s v="E310000022170"/>
    <n v="0"/>
    <n v="0"/>
    <s v="NULL"/>
    <s v="NULL"/>
    <n v="0"/>
    <n v="0"/>
    <s v="CONTADO                                           "/>
    <n v="13"/>
    <n v="6348413"/>
    <s v="Almacenes"/>
    <s v="General"/>
  </r>
  <r>
    <n v="125"/>
    <s v="A Grande"/>
    <n v="3"/>
    <n v="6348493"/>
    <s v="Juan Rosario"/>
    <s v="Logistica y Distribucion"/>
    <n v="10177414"/>
    <d v="2026-04-30T00:00:00"/>
    <d v="2026-04-30T00:00:00"/>
    <n v="2026"/>
    <n v="4"/>
    <s v="T2"/>
    <n v="1"/>
    <s v="General"/>
    <s v="Santo Domnigo"/>
    <s v="NULL"/>
    <s v="NULL"/>
    <n v="18"/>
    <n v="30"/>
    <n v="36908"/>
    <n v="3"/>
    <s v="c036908"/>
    <s v="Asociacion De Detallistas Unidos De Mendoza"/>
    <s v="SUPERMERCADO"/>
    <s v="Miércoles"/>
    <s v="Miércoles"/>
    <n v="11"/>
    <x v="13"/>
    <s v="v101038"/>
    <x v="13"/>
    <n v="1"/>
    <n v="10"/>
    <n v="357.12"/>
    <n v="0"/>
    <n v="0"/>
    <n v="0"/>
    <n v="642.82000000000005"/>
    <n v="3571.2"/>
    <n v="4214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57348"/>
    <n v="0"/>
    <n v="0"/>
    <s v="NULL"/>
    <s v="NULL"/>
    <n v="0"/>
    <n v="0"/>
    <s v="CONTADO                                           "/>
    <n v="13"/>
    <n v="6348493"/>
    <s v="Almacenes"/>
    <s v="General"/>
  </r>
  <r>
    <n v="125"/>
    <s v="A Grande"/>
    <n v="3"/>
    <n v="6348493"/>
    <s v="Juan Rosario"/>
    <s v="Logistica y Distribucion"/>
    <n v="10177414"/>
    <d v="2026-04-30T00:00:00"/>
    <d v="2026-04-30T00:00:00"/>
    <n v="2026"/>
    <n v="4"/>
    <s v="T2"/>
    <n v="1"/>
    <s v="General"/>
    <s v="Santo Domnigo"/>
    <s v="NULL"/>
    <s v="NULL"/>
    <n v="18"/>
    <n v="30"/>
    <n v="36908"/>
    <n v="3"/>
    <s v="c036908"/>
    <s v="Asociacion De Detallistas Unidos De Mendoza"/>
    <s v="SUPERMERCADO"/>
    <s v="Miércoles"/>
    <s v="Miércoles"/>
    <n v="11"/>
    <x v="19"/>
    <s v="V800089"/>
    <x v="19"/>
    <n v="1"/>
    <n v="8"/>
    <n v="357.12"/>
    <n v="0"/>
    <n v="0"/>
    <n v="0"/>
    <n v="514.25"/>
    <n v="2856.96"/>
    <n v="3371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57348"/>
    <n v="0"/>
    <n v="0"/>
    <s v="NULL"/>
    <s v="NULL"/>
    <n v="0"/>
    <n v="0"/>
    <s v="CONTADO                                           "/>
    <n v="13"/>
    <n v="6348493"/>
    <s v="Almacenes"/>
    <s v="General"/>
  </r>
  <r>
    <n v="125"/>
    <s v="A Grande"/>
    <n v="3"/>
    <n v="6348493"/>
    <s v="Juan Rosario"/>
    <s v="Logistica y Distribucion"/>
    <n v="10177414"/>
    <d v="2026-04-30T00:00:00"/>
    <d v="2026-04-30T00:00:00"/>
    <n v="2026"/>
    <n v="4"/>
    <s v="T2"/>
    <n v="1"/>
    <s v="General"/>
    <s v="Santo Domnigo"/>
    <s v="NULL"/>
    <s v="NULL"/>
    <n v="18"/>
    <n v="30"/>
    <n v="36908"/>
    <n v="3"/>
    <s v="c036908"/>
    <s v="Asociacion De Detallistas Unidos De Mendoza"/>
    <s v="SUPERMERCADO"/>
    <s v="Miércoles"/>
    <s v="Miércoles"/>
    <n v="11"/>
    <x v="14"/>
    <s v="V800088"/>
    <x v="14"/>
    <n v="1"/>
    <n v="8"/>
    <n v="357.12"/>
    <n v="0"/>
    <n v="0"/>
    <n v="0"/>
    <n v="514.25"/>
    <n v="2856.96"/>
    <n v="3371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57348"/>
    <n v="0"/>
    <n v="0"/>
    <s v="NULL"/>
    <s v="NULL"/>
    <n v="0"/>
    <n v="0"/>
    <s v="CONTADO                                           "/>
    <n v="13"/>
    <n v="6348493"/>
    <s v="Almacenes"/>
    <s v="General"/>
  </r>
  <r>
    <n v="125"/>
    <s v="A Grande"/>
    <n v="3"/>
    <n v="6348493"/>
    <s v="Juan Rosario"/>
    <s v="Logistica y Distribucion"/>
    <n v="10177414"/>
    <d v="2026-04-30T00:00:00"/>
    <d v="2026-04-30T00:00:00"/>
    <n v="2026"/>
    <n v="4"/>
    <s v="T2"/>
    <n v="1"/>
    <s v="General"/>
    <s v="Santo Domnigo"/>
    <s v="NULL"/>
    <s v="NULL"/>
    <n v="18"/>
    <n v="30"/>
    <n v="36908"/>
    <n v="3"/>
    <s v="c036908"/>
    <s v="Asociacion De Detallistas Unidos De Mendoza"/>
    <s v="SUPERMERCADO"/>
    <s v="Miércoles"/>
    <s v="Miércoles"/>
    <n v="11"/>
    <x v="9"/>
    <s v="V201001"/>
    <x v="9"/>
    <n v="100"/>
    <n v="100"/>
    <n v="208.37"/>
    <n v="0"/>
    <n v="0"/>
    <n v="0"/>
    <n v="3750.66"/>
    <n v="20837"/>
    <n v="24588"/>
    <n v="199"/>
    <s v="Giancarlo Tavarez"/>
    <s v="SDE2"/>
    <n v="10"/>
    <n v="113"/>
    <s v="REFISAL"/>
    <n v="82101"/>
    <s v="REFISAL PACA"/>
    <s v="Brinsa Dominicana"/>
    <s v="S1"/>
    <s v="Ramon E. Pimentel (SDE)"/>
    <s v="P206"/>
    <s v="Santo Domingo Este"/>
    <s v="E320000257348"/>
    <n v="0"/>
    <n v="0"/>
    <s v="NULL"/>
    <s v="NULL"/>
    <n v="0"/>
    <n v="0"/>
    <s v="CONTADO                                           "/>
    <n v="13"/>
    <n v="6348493"/>
    <s v="Almacenes"/>
    <s v="General"/>
  </r>
  <r>
    <n v="125"/>
    <s v="A Grande"/>
    <n v="3"/>
    <n v="6348493"/>
    <s v="Juan Rosario"/>
    <s v="Logistica y Distribucion"/>
    <n v="10177414"/>
    <d v="2026-04-30T00:00:00"/>
    <d v="2026-04-30T00:00:00"/>
    <n v="2026"/>
    <n v="4"/>
    <s v="T2"/>
    <n v="1"/>
    <s v="General"/>
    <s v="Santo Domnigo"/>
    <s v="NULL"/>
    <s v="NULL"/>
    <n v="18"/>
    <n v="30"/>
    <n v="36908"/>
    <n v="3"/>
    <s v="c036908"/>
    <s v="Asociacion De Detallistas Unidos De Mendoza"/>
    <s v="SUPERMERCADO"/>
    <s v="Miércoles"/>
    <s v="Miércoles"/>
    <n v="11"/>
    <x v="29"/>
    <s v="V101034"/>
    <x v="29"/>
    <n v="1"/>
    <n v="10"/>
    <n v="228.39"/>
    <n v="0"/>
    <n v="0"/>
    <n v="0"/>
    <n v="411.1"/>
    <n v="2283.9"/>
    <n v="2695"/>
    <n v="199"/>
    <s v="Giancarlo Tavarez"/>
    <s v="SDE2"/>
    <n v="10"/>
    <n v="136"/>
    <s v="NOSOTRAS DIARIOS"/>
    <n v="677001"/>
    <s v="CUIDADO FEMENINO"/>
    <s v="Continental de Negocios"/>
    <s v="S1"/>
    <s v="Ramon E. Pimentel (SDE)"/>
    <s v="P206"/>
    <s v="Santo Domingo Este"/>
    <s v="E320000257348"/>
    <n v="0"/>
    <n v="0"/>
    <s v="NULL"/>
    <s v="NULL"/>
    <n v="0"/>
    <n v="0"/>
    <s v="CONTADO                                           "/>
    <n v="13"/>
    <n v="6348493"/>
    <s v="Almacenes"/>
    <s v="General"/>
  </r>
  <r>
    <n v="254"/>
    <s v="A Grande"/>
    <n v="3"/>
    <n v="6349143"/>
    <s v="Santo Muñoz de Paula"/>
    <s v="Logistica y Distribucion"/>
    <n v="10178064"/>
    <d v="2026-04-30T00:00:00"/>
    <d v="2026-04-30T00:00:00"/>
    <n v="2026"/>
    <n v="4"/>
    <s v="T2"/>
    <n v="1"/>
    <s v="Alimentos - Espejo"/>
    <s v="Santo Domnigo"/>
    <s v="NULL"/>
    <s v="NULL"/>
    <n v="18"/>
    <n v="30"/>
    <n v="5474"/>
    <n v="3"/>
    <s v="C005474"/>
    <s v="Mini Market Gracia Divina"/>
    <s v="MINI MARKET"/>
    <s v="Jueves"/>
    <s v="SinAsignar"/>
    <n v="70"/>
    <x v="15"/>
    <s v="V925064"/>
    <x v="15"/>
    <n v="1"/>
    <n v="50"/>
    <n v="32.86"/>
    <n v="0"/>
    <n v="0"/>
    <n v="0"/>
    <n v="295.74"/>
    <n v="1643"/>
    <n v="1939"/>
    <n v="70"/>
    <s v="Dilcio Navarro"/>
    <s v="SDO2"/>
    <n v="10"/>
    <n v="117"/>
    <s v="DIMAR"/>
    <n v="65104"/>
    <s v="ALIMENTOS SARDINAS"/>
    <s v="DIMAR DOMINICANA"/>
    <s v="S2"/>
    <s v="Fernando Martinez (SDO)"/>
    <s v="P006"/>
    <s v="Santo Domingo Oeste"/>
    <s v="E310000022233"/>
    <n v="0"/>
    <n v="0"/>
    <s v="NULL"/>
    <s v="NULL"/>
    <n v="0"/>
    <n v="0"/>
    <s v="CONTADO                                           "/>
    <n v="13"/>
    <n v="6349143"/>
    <s v="Almacenes"/>
    <s v="General"/>
  </r>
  <r>
    <n v="269"/>
    <s v="A Grande"/>
    <n v="3"/>
    <n v="6353228"/>
    <s v="yunior Felix Fortunato Donato"/>
    <s v="Logistica y Distribucion"/>
    <n v="10182149"/>
    <d v="2026-05-04T00:00:00"/>
    <d v="2026-05-04T00:00:00"/>
    <n v="2026"/>
    <n v="5"/>
    <s v="T2"/>
    <n v="1"/>
    <s v="General"/>
    <s v="Santo Domnigo"/>
    <s v="NULL"/>
    <s v="NULL"/>
    <n v="19"/>
    <n v="4"/>
    <n v="36908"/>
    <n v="3"/>
    <s v="c036908"/>
    <s v="Asociacion De Detallistas Unidos De Mendoza"/>
    <s v="SUPERMERCADO"/>
    <s v="Miércoles"/>
    <s v="Miércoles"/>
    <n v="11"/>
    <x v="13"/>
    <s v="v101038"/>
    <x v="13"/>
    <n v="0.4"/>
    <n v="4"/>
    <n v="364.41"/>
    <n v="0"/>
    <n v="0"/>
    <n v="0"/>
    <n v="262.38"/>
    <n v="1457.64"/>
    <n v="172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61706"/>
    <n v="0"/>
    <n v="0"/>
    <s v="NULL"/>
    <s v="NULL"/>
    <n v="0"/>
    <n v="0"/>
    <s v="CONTADO                                           "/>
    <n v="13"/>
    <n v="6353228"/>
    <s v="Almacenes"/>
    <s v="General"/>
  </r>
  <r>
    <n v="269"/>
    <s v="A Grande"/>
    <n v="3"/>
    <n v="6353228"/>
    <s v="yunior Felix Fortunato Donato"/>
    <s v="Logistica y Distribucion"/>
    <n v="10182149"/>
    <d v="2026-05-04T00:00:00"/>
    <d v="2026-05-04T00:00:00"/>
    <n v="2026"/>
    <n v="5"/>
    <s v="T2"/>
    <n v="1"/>
    <s v="General"/>
    <s v="Santo Domnigo"/>
    <s v="NULL"/>
    <s v="NULL"/>
    <n v="19"/>
    <n v="4"/>
    <n v="36908"/>
    <n v="3"/>
    <s v="c036908"/>
    <s v="Asociacion De Detallistas Unidos De Mendoza"/>
    <s v="SUPERMERCADO"/>
    <s v="Miércoles"/>
    <s v="Miércoles"/>
    <n v="11"/>
    <x v="19"/>
    <s v="V800089"/>
    <x v="19"/>
    <n v="0.375"/>
    <n v="3"/>
    <n v="364.41"/>
    <n v="0"/>
    <n v="0"/>
    <n v="0"/>
    <n v="196.78"/>
    <n v="1093.23"/>
    <n v="129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61706"/>
    <n v="0"/>
    <n v="0"/>
    <s v="NULL"/>
    <s v="NULL"/>
    <n v="0"/>
    <n v="0"/>
    <s v="CONTADO                                           "/>
    <n v="13"/>
    <n v="6353228"/>
    <s v="Almacenes"/>
    <s v="General"/>
  </r>
  <r>
    <n v="269"/>
    <s v="A Grande"/>
    <n v="3"/>
    <n v="6353228"/>
    <s v="yunior Felix Fortunato Donato"/>
    <s v="Logistica y Distribucion"/>
    <n v="10182149"/>
    <d v="2026-05-04T00:00:00"/>
    <d v="2026-05-04T00:00:00"/>
    <n v="2026"/>
    <n v="5"/>
    <s v="T2"/>
    <n v="1"/>
    <s v="General"/>
    <s v="Santo Domnigo"/>
    <s v="NULL"/>
    <s v="NULL"/>
    <n v="19"/>
    <n v="4"/>
    <n v="36908"/>
    <n v="3"/>
    <s v="c036908"/>
    <s v="Asociacion De Detallistas Unidos De Mendoza"/>
    <s v="SUPERMERCADO"/>
    <s v="Miércoles"/>
    <s v="Miércoles"/>
    <n v="11"/>
    <x v="14"/>
    <s v="V800088"/>
    <x v="14"/>
    <n v="0.375"/>
    <n v="3"/>
    <n v="364.41"/>
    <n v="0"/>
    <n v="0"/>
    <n v="0"/>
    <n v="196.78"/>
    <n v="1093.23"/>
    <n v="129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61706"/>
    <n v="0"/>
    <n v="0"/>
    <s v="NULL"/>
    <s v="NULL"/>
    <n v="0"/>
    <n v="0"/>
    <s v="CONTADO                                           "/>
    <n v="13"/>
    <n v="6353228"/>
    <s v="Almacenes"/>
    <s v="General"/>
  </r>
  <r>
    <n v="269"/>
    <s v="A Grande"/>
    <n v="3"/>
    <n v="6353228"/>
    <s v="yunior Felix Fortunato Donato"/>
    <s v="Logistica y Distribucion"/>
    <n v="10182149"/>
    <d v="2026-05-04T00:00:00"/>
    <d v="2026-05-04T00:00:00"/>
    <n v="2026"/>
    <n v="5"/>
    <s v="T2"/>
    <n v="1"/>
    <s v="Alimentos - Espejo"/>
    <s v="Santo Domnigo"/>
    <s v="NULL"/>
    <s v="NULL"/>
    <n v="19"/>
    <n v="4"/>
    <n v="36908"/>
    <n v="3"/>
    <s v="c036908"/>
    <s v="Asociacion De Detallistas Unidos De Mendoza"/>
    <s v="SUPERMERCADO"/>
    <s v="Miércoles"/>
    <s v="Miércoles"/>
    <n v="11"/>
    <x v="21"/>
    <s v="V800792"/>
    <x v="21"/>
    <n v="0.04"/>
    <n v="1"/>
    <n v="153.11000000000001"/>
    <n v="0"/>
    <n v="0"/>
    <n v="0"/>
    <n v="27.56"/>
    <n v="153.11000000000001"/>
    <n v="181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261706"/>
    <n v="0"/>
    <n v="0"/>
    <s v="NULL"/>
    <s v="NULL"/>
    <n v="0"/>
    <n v="0"/>
    <s v="CONTADO                                           "/>
    <n v="13"/>
    <n v="6353228"/>
    <s v="Almacenes"/>
    <s v="General"/>
  </r>
  <r>
    <n v="269"/>
    <s v="A Grande"/>
    <n v="3"/>
    <n v="6353228"/>
    <s v="yunior Felix Fortunato Donato"/>
    <s v="Logistica y Distribucion"/>
    <n v="10182149"/>
    <d v="2026-05-04T00:00:00"/>
    <d v="2026-05-04T00:00:00"/>
    <n v="2026"/>
    <n v="5"/>
    <s v="T2"/>
    <n v="1"/>
    <s v="Alimentos - Espejo"/>
    <s v="Santo Domnigo"/>
    <s v="NULL"/>
    <s v="NULL"/>
    <n v="19"/>
    <n v="4"/>
    <n v="36908"/>
    <n v="3"/>
    <s v="c036908"/>
    <s v="Asociacion De Detallistas Unidos De Mendoza"/>
    <s v="SUPERMERCADO"/>
    <s v="Miércoles"/>
    <s v="Miércoles"/>
    <n v="11"/>
    <x v="40"/>
    <s v="V800793"/>
    <x v="40"/>
    <n v="0.04"/>
    <n v="1"/>
    <n v="153.11000000000001"/>
    <n v="0"/>
    <n v="0"/>
    <n v="0"/>
    <n v="27.56"/>
    <n v="153.11000000000001"/>
    <n v="181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261706"/>
    <n v="0"/>
    <n v="0"/>
    <s v="NULL"/>
    <s v="NULL"/>
    <n v="0"/>
    <n v="0"/>
    <s v="CONTADO                                           "/>
    <n v="13"/>
    <n v="6353228"/>
    <s v="Almacenes"/>
    <s v="General"/>
  </r>
  <r>
    <n v="269"/>
    <s v="A Grande"/>
    <n v="3"/>
    <n v="6353228"/>
    <s v="yunior Felix Fortunato Donato"/>
    <s v="Logistica y Distribucion"/>
    <n v="10182149"/>
    <d v="2026-05-04T00:00:00"/>
    <d v="2026-05-04T00:00:00"/>
    <n v="2026"/>
    <n v="5"/>
    <s v="T2"/>
    <n v="1"/>
    <s v="Alimentos - Espejo"/>
    <s v="Santo Domnigo"/>
    <s v="NULL"/>
    <s v="NULL"/>
    <n v="19"/>
    <n v="4"/>
    <n v="36908"/>
    <n v="3"/>
    <s v="c036908"/>
    <s v="Asociacion De Detallistas Unidos De Mendoza"/>
    <s v="SUPERMERCADO"/>
    <s v="Miércoles"/>
    <s v="Miércoles"/>
    <n v="11"/>
    <x v="42"/>
    <s v="V930153"/>
    <x v="42"/>
    <n v="0.04"/>
    <n v="1"/>
    <n v="153.11000000000001"/>
    <n v="0"/>
    <n v="0"/>
    <n v="0"/>
    <n v="27.56"/>
    <n v="153.11000000000001"/>
    <n v="181"/>
    <n v="199"/>
    <s v="Giancarlo Tavarez"/>
    <s v="SDE2"/>
    <n v="10"/>
    <n v="207"/>
    <s v="BOLONES"/>
    <n v="65103"/>
    <s v="ALIMENTOS DULCES"/>
    <s v="COLOMBINA"/>
    <s v="S1"/>
    <s v="Ramon E. Pimentel (SDE)"/>
    <s v="P206"/>
    <s v="Santo Domingo Este"/>
    <s v="E320000261706"/>
    <n v="0"/>
    <n v="0"/>
    <s v="NULL"/>
    <s v="NULL"/>
    <n v="0"/>
    <n v="0"/>
    <s v="CONTADO                                           "/>
    <n v="13"/>
    <n v="6353228"/>
    <s v="Almacenes"/>
    <s v="General"/>
  </r>
  <r>
    <n v="269"/>
    <s v="A Grande"/>
    <n v="3"/>
    <n v="6353228"/>
    <s v="yunior Felix Fortunato Donato"/>
    <s v="Logistica y Distribucion"/>
    <n v="10182149"/>
    <d v="2026-05-04T00:00:00"/>
    <d v="2026-05-04T00:00:00"/>
    <n v="2026"/>
    <n v="5"/>
    <s v="T2"/>
    <n v="1"/>
    <s v="General"/>
    <s v="Santo Domnigo"/>
    <s v="NULL"/>
    <s v="NULL"/>
    <n v="19"/>
    <n v="4"/>
    <n v="36908"/>
    <n v="3"/>
    <s v="c036908"/>
    <s v="Asociacion De Detallistas Unidos De Mendoza"/>
    <s v="SUPERMERCADO"/>
    <s v="Miércoles"/>
    <s v="Miércoles"/>
    <n v="11"/>
    <x v="9"/>
    <s v="V201001"/>
    <x v="9"/>
    <n v="2"/>
    <n v="2"/>
    <n v="221.67"/>
    <n v="0"/>
    <n v="0"/>
    <n v="0"/>
    <n v="79.8"/>
    <n v="443.34"/>
    <n v="523"/>
    <n v="199"/>
    <s v="Giancarlo Tavarez"/>
    <s v="SDE2"/>
    <n v="10"/>
    <n v="113"/>
    <s v="REFISAL"/>
    <n v="82101"/>
    <s v="REFISAL PACA"/>
    <s v="Brinsa Dominicana"/>
    <s v="S1"/>
    <s v="Ramon E. Pimentel (SDE)"/>
    <s v="P206"/>
    <s v="Santo Domingo Este"/>
    <s v="E320000261706"/>
    <n v="0"/>
    <n v="0"/>
    <s v="NULL"/>
    <s v="NULL"/>
    <n v="0"/>
    <n v="0"/>
    <s v="CONTADO                                           "/>
    <n v="13"/>
    <n v="6353228"/>
    <s v="Almacenes"/>
    <s v="General"/>
  </r>
  <r>
    <n v="289"/>
    <s v="A Grande"/>
    <n v="3"/>
    <n v="6357282"/>
    <s v="AMAURI GIRON OSORIA"/>
    <s v="Logistica y Distribucion"/>
    <n v="10186203"/>
    <d v="2026-05-07T00:00:00"/>
    <d v="2026-05-07T00:00:00"/>
    <n v="2026"/>
    <n v="5"/>
    <s v="T2"/>
    <n v="1"/>
    <s v="General"/>
    <s v="Santo Domnigo"/>
    <s v="NULL"/>
    <s v="NULL"/>
    <n v="19"/>
    <n v="7"/>
    <n v="37594"/>
    <n v="3"/>
    <s v="C037594"/>
    <s v="Mini Market El patron 3."/>
    <s v="MINI MARKET"/>
    <s v="Miércoles"/>
    <s v="Miércoles"/>
    <n v="72"/>
    <x v="7"/>
    <s v="V621004"/>
    <x v="7"/>
    <n v="1"/>
    <n v="12"/>
    <n v="262.93"/>
    <n v="0"/>
    <n v="0"/>
    <n v="0"/>
    <n v="567.92999999999995"/>
    <n v="3155.16"/>
    <n v="3723"/>
    <n v="72"/>
    <s v="Carla Valdez (WC)"/>
    <s v="SDO7"/>
    <n v="10"/>
    <n v="138"/>
    <s v="INSECTICIDAS"/>
    <n v="73101"/>
    <s v="INSECTICIDA BAIGON"/>
    <s v="Comercial Fila"/>
    <s v="S2"/>
    <s v="Fernando Martinez (SDO)"/>
    <s v="P011"/>
    <s v="Santo Domingo Oeste"/>
    <s v="E310000023034"/>
    <n v="0"/>
    <n v="0"/>
    <s v="NULL"/>
    <s v="NULL"/>
    <n v="0"/>
    <n v="0"/>
    <s v="CONTADO                                           "/>
    <n v="13"/>
    <n v="6357282"/>
    <s v="Almacenes"/>
    <s v="General"/>
  </r>
  <r>
    <n v="289"/>
    <s v="A Grande"/>
    <n v="3"/>
    <n v="6357282"/>
    <s v="AMAURI GIRON OSORIA"/>
    <s v="Logistica y Distribucion"/>
    <n v="10186203"/>
    <d v="2026-05-07T00:00:00"/>
    <d v="2026-05-07T00:00:00"/>
    <n v="2026"/>
    <n v="5"/>
    <s v="T2"/>
    <n v="1"/>
    <s v="General"/>
    <s v="Santo Domnigo"/>
    <s v="NULL"/>
    <s v="NULL"/>
    <n v="19"/>
    <n v="7"/>
    <n v="37594"/>
    <n v="3"/>
    <s v="C037594"/>
    <s v="Mini Market El patron 3."/>
    <s v="MINI MARKET"/>
    <s v="Miércoles"/>
    <s v="Miércoles"/>
    <n v="72"/>
    <x v="2"/>
    <s v="V621045"/>
    <x v="2"/>
    <n v="1"/>
    <n v="12"/>
    <n v="160.33000000000001"/>
    <n v="0"/>
    <n v="0"/>
    <n v="0"/>
    <n v="346.31"/>
    <n v="1923.96"/>
    <n v="2270"/>
    <n v="72"/>
    <s v="Carla Valdez (WC)"/>
    <s v="SDO7"/>
    <n v="10"/>
    <n v="138"/>
    <s v="INSECTICIDAS"/>
    <n v="73101"/>
    <s v="INSECTICIDA BAIGON"/>
    <s v="Comercial Fila"/>
    <s v="S2"/>
    <s v="Fernando Martinez (SDO)"/>
    <s v="P011"/>
    <s v="Santo Domingo Oeste"/>
    <s v="E310000023034"/>
    <n v="0"/>
    <n v="0"/>
    <s v="NULL"/>
    <s v="NULL"/>
    <n v="0"/>
    <n v="0"/>
    <s v="CONTADO                                           "/>
    <n v="13"/>
    <n v="6357282"/>
    <s v="Almacenes"/>
    <s v="General"/>
  </r>
  <r>
    <n v="289"/>
    <s v="A Grande"/>
    <n v="3"/>
    <n v="6357282"/>
    <s v="AMAURI GIRON OSORIA"/>
    <s v="Logistica y Distribucion"/>
    <n v="10186203"/>
    <d v="2026-05-07T00:00:00"/>
    <d v="2026-05-07T00:00:00"/>
    <n v="2026"/>
    <n v="5"/>
    <s v="T2"/>
    <n v="1"/>
    <s v="General"/>
    <s v="Santo Domnigo"/>
    <s v="NULL"/>
    <s v="NULL"/>
    <n v="19"/>
    <n v="7"/>
    <n v="37594"/>
    <n v="3"/>
    <s v="C037594"/>
    <s v="Mini Market El patron 3."/>
    <s v="MINI MARKET"/>
    <s v="Miércoles"/>
    <s v="Miércoles"/>
    <n v="72"/>
    <x v="9"/>
    <s v="V201001"/>
    <x v="9"/>
    <n v="26"/>
    <n v="26"/>
    <n v="210.59"/>
    <n v="0"/>
    <n v="0"/>
    <n v="0"/>
    <n v="985.56"/>
    <n v="5475.34"/>
    <n v="6461"/>
    <n v="72"/>
    <s v="Carla Valdez (WC)"/>
    <s v="SDO7"/>
    <n v="10"/>
    <n v="113"/>
    <s v="REFISAL"/>
    <n v="82101"/>
    <s v="REFISAL PACA"/>
    <s v="Brinsa Dominicana"/>
    <s v="S2"/>
    <s v="Fernando Martinez (SDO)"/>
    <s v="P011"/>
    <s v="Santo Domingo Oeste"/>
    <s v="E310000023034"/>
    <n v="0"/>
    <n v="0"/>
    <s v="NULL"/>
    <s v="NULL"/>
    <n v="0"/>
    <n v="0"/>
    <s v="CONTADO                                           "/>
    <n v="13"/>
    <n v="6357282"/>
    <s v="Almacenes"/>
    <s v="General"/>
  </r>
  <r>
    <n v="125"/>
    <s v="A Grande"/>
    <n v="3"/>
    <n v="6357661"/>
    <s v="Juan Rosario"/>
    <s v="Logistica y Distribucion"/>
    <n v="10186582"/>
    <d v="2026-05-07T00:00:00"/>
    <d v="2026-05-07T00:00:00"/>
    <n v="2026"/>
    <n v="5"/>
    <s v="T2"/>
    <n v="1"/>
    <s v="General"/>
    <s v="Santo Domnigo"/>
    <s v="NULL"/>
    <s v="NULL"/>
    <n v="19"/>
    <n v="7"/>
    <n v="36908"/>
    <n v="3"/>
    <s v="c036908"/>
    <s v="Asociacion De Detallistas Unidos De Mendoza"/>
    <s v="SUPERMERCADO"/>
    <s v="Miércoles"/>
    <s v="Miércoles"/>
    <n v="11"/>
    <x v="13"/>
    <s v="v101038"/>
    <x v="13"/>
    <n v="0.5"/>
    <n v="5"/>
    <n v="364.41"/>
    <n v="0"/>
    <n v="0"/>
    <n v="0"/>
    <n v="327.97"/>
    <n v="1822.05"/>
    <n v="215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65777"/>
    <n v="0"/>
    <n v="0"/>
    <s v="NULL"/>
    <s v="NULL"/>
    <n v="0"/>
    <n v="0"/>
    <s v="CONTADO                                           "/>
    <n v="13"/>
    <n v="6357661"/>
    <s v="Almacenes"/>
    <s v="General"/>
  </r>
  <r>
    <n v="125"/>
    <s v="A Grande"/>
    <n v="3"/>
    <n v="6357661"/>
    <s v="Juan Rosario"/>
    <s v="Logistica y Distribucion"/>
    <n v="10186582"/>
    <d v="2026-05-07T00:00:00"/>
    <d v="2026-05-07T00:00:00"/>
    <n v="2026"/>
    <n v="5"/>
    <s v="T2"/>
    <n v="1"/>
    <s v="General"/>
    <s v="Santo Domnigo"/>
    <s v="NULL"/>
    <s v="NULL"/>
    <n v="19"/>
    <n v="7"/>
    <n v="36908"/>
    <n v="3"/>
    <s v="c036908"/>
    <s v="Asociacion De Detallistas Unidos De Mendoza"/>
    <s v="SUPERMERCADO"/>
    <s v="Miércoles"/>
    <s v="Miércoles"/>
    <n v="11"/>
    <x v="19"/>
    <s v="V800089"/>
    <x v="19"/>
    <n v="0.5"/>
    <n v="4"/>
    <n v="364.41"/>
    <n v="0"/>
    <n v="0"/>
    <n v="0"/>
    <n v="262.38"/>
    <n v="1457.64"/>
    <n v="172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65777"/>
    <n v="0"/>
    <n v="0"/>
    <s v="NULL"/>
    <s v="NULL"/>
    <n v="0"/>
    <n v="0"/>
    <s v="CONTADO                                           "/>
    <n v="13"/>
    <n v="6357661"/>
    <s v="Almacenes"/>
    <s v="General"/>
  </r>
  <r>
    <n v="223"/>
    <s v="A Grande"/>
    <n v="3"/>
    <n v="6357729"/>
    <s v="Martin Figueroa"/>
    <s v="Logistica y Distribucion"/>
    <n v="10186650"/>
    <d v="2026-05-07T00:00:00"/>
    <d v="2026-05-07T00:00:00"/>
    <n v="2026"/>
    <n v="5"/>
    <s v="T2"/>
    <n v="1"/>
    <s v="General"/>
    <s v="Santo Domnigo"/>
    <s v="NULL"/>
    <s v="NULL"/>
    <n v="19"/>
    <n v="7"/>
    <n v="19291"/>
    <n v="3"/>
    <s v="C019291"/>
    <s v="Mini Market Isamal Comercial"/>
    <s v="MINI MARKET"/>
    <s v="Miércoles"/>
    <s v="Miércoles"/>
    <n v="8"/>
    <x v="14"/>
    <s v="V800088"/>
    <x v="14"/>
    <n v="1"/>
    <n v="8"/>
    <n v="364.41"/>
    <n v="0"/>
    <n v="0"/>
    <n v="0"/>
    <n v="524.75"/>
    <n v="2915.28"/>
    <n v="3440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20000265843"/>
    <n v="0"/>
    <n v="0"/>
    <s v="NULL"/>
    <s v="NULL"/>
    <n v="0"/>
    <n v="0"/>
    <s v="CONTADO                                           "/>
    <n v="13"/>
    <n v="6357729"/>
    <s v="Almacenes"/>
    <s v="General"/>
  </r>
  <r>
    <n v="254"/>
    <s v="A Grande"/>
    <n v="3"/>
    <n v="6359281"/>
    <s v="Santo Muñoz de Paula"/>
    <s v="Logistica y Distribucion"/>
    <n v="10188202"/>
    <d v="2026-05-08T00:00:00"/>
    <d v="2026-05-08T00:00:00"/>
    <n v="2026"/>
    <n v="5"/>
    <s v="T2"/>
    <n v="1"/>
    <s v="General"/>
    <s v="Santo Domnigo"/>
    <s v="NULL"/>
    <s v="NULL"/>
    <n v="19"/>
    <n v="8"/>
    <n v="5474"/>
    <n v="3"/>
    <s v="C005474"/>
    <s v="Mini Market Gracia Divina"/>
    <s v="MINI MARKET"/>
    <s v="Jueves"/>
    <s v="SinAsignar"/>
    <n v="70"/>
    <x v="13"/>
    <s v="v101038"/>
    <x v="13"/>
    <n v="1"/>
    <n v="10"/>
    <n v="364.41"/>
    <n v="0"/>
    <n v="0"/>
    <n v="0"/>
    <n v="655.94"/>
    <n v="3644.1"/>
    <n v="4300"/>
    <n v="70"/>
    <s v="Dilcio Navarro"/>
    <s v="SDO2"/>
    <n v="10"/>
    <n v="105"/>
    <s v="NOSOTRAS"/>
    <n v="677001"/>
    <s v="CUIDADO FEMENINO"/>
    <s v="Continental de Negocios"/>
    <s v="S2"/>
    <s v="Fernando Martinez (SDO)"/>
    <s v="P006"/>
    <s v="Santo Domingo Oeste"/>
    <s v="E310000023204"/>
    <n v="0"/>
    <n v="0"/>
    <s v="NULL"/>
    <s v="NULL"/>
    <n v="0"/>
    <n v="0"/>
    <s v="CONTADO                                           "/>
    <n v="13"/>
    <n v="6359281"/>
    <s v="Almacenes"/>
    <s v="General"/>
  </r>
  <r>
    <n v="254"/>
    <s v="A Grande"/>
    <n v="3"/>
    <n v="6359281"/>
    <s v="Santo Muñoz de Paula"/>
    <s v="Logistica y Distribucion"/>
    <n v="10188202"/>
    <d v="2026-05-08T00:00:00"/>
    <d v="2026-05-08T00:00:00"/>
    <n v="2026"/>
    <n v="5"/>
    <s v="T2"/>
    <n v="1"/>
    <s v="General"/>
    <s v="Santo Domnigo"/>
    <s v="NULL"/>
    <s v="NULL"/>
    <n v="19"/>
    <n v="8"/>
    <n v="5474"/>
    <n v="3"/>
    <s v="C005474"/>
    <s v="Mini Market Gracia Divina"/>
    <s v="MINI MARKET"/>
    <s v="Jueves"/>
    <s v="SinAsignar"/>
    <n v="70"/>
    <x v="20"/>
    <s v="V611055"/>
    <x v="20"/>
    <n v="5"/>
    <n v="20"/>
    <n v="78.319999999999993"/>
    <n v="0"/>
    <n v="0"/>
    <n v="0"/>
    <n v="281.95"/>
    <n v="1566.4"/>
    <n v="1848"/>
    <n v="70"/>
    <s v="Dilcio Navarro"/>
    <s v="SDO2"/>
    <n v="10"/>
    <n v="114"/>
    <s v="BLANCOX"/>
    <n v="66102"/>
    <s v="BLANCOX BOTELLA"/>
    <s v="Brinsa Dominicana"/>
    <s v="S2"/>
    <s v="Fernando Martinez (SDO)"/>
    <s v="P006"/>
    <s v="Santo Domingo Oeste"/>
    <s v="E310000023204"/>
    <n v="0"/>
    <n v="0"/>
    <s v="NULL"/>
    <s v="NULL"/>
    <n v="0"/>
    <n v="0"/>
    <s v="CONTADO                                           "/>
    <n v="13"/>
    <n v="6359281"/>
    <s v="Almacenes"/>
    <s v="General"/>
  </r>
  <r>
    <n v="119"/>
    <s v="A Grande"/>
    <n v="3"/>
    <n v="6359481"/>
    <s v="Mario Jose Martinez"/>
    <s v="Logistica y Distribucion"/>
    <n v="10188402"/>
    <d v="2026-05-08T00:00:00"/>
    <d v="2026-05-08T00:00:00"/>
    <n v="2026"/>
    <n v="5"/>
    <s v="T2"/>
    <n v="1"/>
    <s v="General"/>
    <s v="Santo Domnigo"/>
    <s v="NULL"/>
    <s v="NULL"/>
    <n v="19"/>
    <n v="8"/>
    <n v="36908"/>
    <n v="3"/>
    <s v="c036908"/>
    <s v="Asociacion De Detallistas Unidos De Mendoza"/>
    <s v="SUPERMERCADO"/>
    <s v="Miércoles"/>
    <s v="Miércoles"/>
    <n v="11"/>
    <x v="19"/>
    <s v="V800089"/>
    <x v="19"/>
    <n v="0.375"/>
    <n v="3"/>
    <n v="364.41"/>
    <n v="0"/>
    <n v="0"/>
    <n v="0"/>
    <n v="196.78"/>
    <n v="1093.23"/>
    <n v="129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67470"/>
    <n v="0"/>
    <n v="0"/>
    <s v="NULL"/>
    <s v="NULL"/>
    <n v="0"/>
    <n v="0"/>
    <s v="CONTADO                                           "/>
    <n v="13"/>
    <n v="6359481"/>
    <s v="Almacenes"/>
    <s v="General"/>
  </r>
  <r>
    <n v="119"/>
    <s v="A Grande"/>
    <n v="3"/>
    <n v="6359481"/>
    <s v="Mario Jose Martinez"/>
    <s v="Logistica y Distribucion"/>
    <n v="10188402"/>
    <d v="2026-05-08T00:00:00"/>
    <d v="2026-05-08T00:00:00"/>
    <n v="2026"/>
    <n v="5"/>
    <s v="T2"/>
    <n v="1"/>
    <s v="General"/>
    <s v="Santo Domnigo"/>
    <s v="NULL"/>
    <s v="NULL"/>
    <n v="19"/>
    <n v="8"/>
    <n v="36908"/>
    <n v="3"/>
    <s v="c036908"/>
    <s v="Asociacion De Detallistas Unidos De Mendoza"/>
    <s v="SUPERMERCADO"/>
    <s v="Miércoles"/>
    <s v="Miércoles"/>
    <n v="11"/>
    <x v="14"/>
    <s v="V800088"/>
    <x v="14"/>
    <n v="0.375"/>
    <n v="3"/>
    <n v="364.41"/>
    <n v="0"/>
    <n v="0"/>
    <n v="0"/>
    <n v="196.78"/>
    <n v="1093.23"/>
    <n v="129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67470"/>
    <n v="0"/>
    <n v="0"/>
    <s v="NULL"/>
    <s v="NULL"/>
    <n v="0"/>
    <n v="0"/>
    <s v="CONTADO                                           "/>
    <n v="13"/>
    <n v="6359481"/>
    <s v="Almacenes"/>
    <s v="General"/>
  </r>
  <r>
    <n v="119"/>
    <s v="A Grande"/>
    <n v="3"/>
    <n v="6359481"/>
    <s v="Mario Jose Martinez"/>
    <s v="Logistica y Distribucion"/>
    <n v="10188402"/>
    <d v="2026-05-08T00:00:00"/>
    <d v="2026-05-08T00:00:00"/>
    <n v="2026"/>
    <n v="5"/>
    <s v="T2"/>
    <n v="1"/>
    <s v="General"/>
    <s v="Santo Domnigo"/>
    <s v="NULL"/>
    <s v="NULL"/>
    <n v="19"/>
    <n v="8"/>
    <n v="36908"/>
    <n v="3"/>
    <s v="c036908"/>
    <s v="Asociacion De Detallistas Unidos De Mendoza"/>
    <s v="SUPERMERCADO"/>
    <s v="Miércoles"/>
    <s v="Miércoles"/>
    <n v="11"/>
    <x v="13"/>
    <s v="v101038"/>
    <x v="13"/>
    <n v="0.4"/>
    <n v="4"/>
    <n v="364.41"/>
    <n v="0"/>
    <n v="0"/>
    <n v="0"/>
    <n v="262.38"/>
    <n v="1457.64"/>
    <n v="172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67470"/>
    <n v="0"/>
    <n v="0"/>
    <s v="NULL"/>
    <s v="NULL"/>
    <n v="0"/>
    <n v="0"/>
    <s v="CONTADO                                           "/>
    <n v="13"/>
    <n v="6359481"/>
    <s v="Almacenes"/>
    <s v="General"/>
  </r>
  <r>
    <n v="223"/>
    <s v="A Grande"/>
    <n v="3"/>
    <n v="6360762"/>
    <s v="Martin Figueroa"/>
    <s v="Logistica y Distribucion"/>
    <n v="10189683"/>
    <d v="2026-05-09T00:00:00"/>
    <d v="2026-05-09T00:00:00"/>
    <n v="2026"/>
    <n v="5"/>
    <s v="T2"/>
    <n v="1"/>
    <s v="General"/>
    <s v="Santo Domnigo"/>
    <s v="NULL"/>
    <s v="NULL"/>
    <n v="19"/>
    <n v="9"/>
    <n v="1019"/>
    <n v="3"/>
    <s v="C001019"/>
    <s v="Mini Market Shairelys SRL"/>
    <s v="MINI MARKET"/>
    <s v="Viernes"/>
    <s v="Viernes"/>
    <n v="60"/>
    <x v="5"/>
    <s v="V611053"/>
    <x v="5"/>
    <n v="0.5"/>
    <n v="12"/>
    <n v="20"/>
    <n v="0"/>
    <n v="0"/>
    <n v="0"/>
    <n v="43.2"/>
    <n v="240"/>
    <n v="283"/>
    <n v="60"/>
    <s v="Martina Ramirez"/>
    <s v="DN5"/>
    <n v="10"/>
    <n v="114"/>
    <s v="BLANCOX"/>
    <n v="66102"/>
    <s v="BLANCOX BOTELLA"/>
    <s v="Brinsa Dominicana"/>
    <s v="S5"/>
    <s v="Fernando Martinez  (DN)"/>
    <s v="P002"/>
    <s v="Distrito Nacional"/>
    <s v="E310000023346"/>
    <n v="0"/>
    <n v="0"/>
    <s v="NULL"/>
    <s v="NULL"/>
    <n v="0"/>
    <n v="0"/>
    <s v="CONTADO                                           "/>
    <n v="13"/>
    <n v="6360762"/>
    <s v="Almacenes"/>
    <s v="General"/>
  </r>
  <r>
    <n v="223"/>
    <s v="A Grande"/>
    <n v="3"/>
    <n v="6360762"/>
    <s v="Martin Figueroa"/>
    <s v="Logistica y Distribucion"/>
    <n v="10189683"/>
    <d v="2026-05-09T00:00:00"/>
    <d v="2026-05-09T00:00:00"/>
    <n v="2026"/>
    <n v="5"/>
    <s v="T2"/>
    <n v="1"/>
    <s v="General"/>
    <s v="Santo Domnigo"/>
    <s v="NULL"/>
    <s v="NULL"/>
    <n v="19"/>
    <n v="9"/>
    <n v="1019"/>
    <n v="3"/>
    <s v="C001019"/>
    <s v="Mini Market Shairelys SRL"/>
    <s v="MINI MARKET"/>
    <s v="Viernes"/>
    <s v="Viernes"/>
    <n v="60"/>
    <x v="4"/>
    <s v="V611052"/>
    <x v="4"/>
    <n v="0.5"/>
    <n v="12"/>
    <n v="20"/>
    <n v="0"/>
    <n v="0"/>
    <n v="0"/>
    <n v="43.2"/>
    <n v="240"/>
    <n v="283"/>
    <n v="60"/>
    <s v="Martina Ramirez"/>
    <s v="DN5"/>
    <n v="10"/>
    <n v="114"/>
    <s v="BLANCOX"/>
    <n v="66102"/>
    <s v="BLANCOX BOTELLA"/>
    <s v="Brinsa Dominicana"/>
    <s v="S5"/>
    <s v="Fernando Martinez  (DN)"/>
    <s v="P002"/>
    <s v="Distrito Nacional"/>
    <s v="E310000023346"/>
    <n v="0"/>
    <n v="0"/>
    <s v="NULL"/>
    <s v="NULL"/>
    <n v="0"/>
    <n v="0"/>
    <s v="CONTADO                                           "/>
    <n v="13"/>
    <n v="6360762"/>
    <s v="Almacenes"/>
    <s v="General"/>
  </r>
  <r>
    <n v="223"/>
    <s v="A Grande"/>
    <n v="3"/>
    <n v="6364115"/>
    <s v="Martin Figueroa"/>
    <s v="Logistica y Distribucion"/>
    <n v="10193036"/>
    <d v="2026-05-12T00:00:00"/>
    <d v="2026-05-12T00:00:00"/>
    <n v="2026"/>
    <n v="5"/>
    <s v="T2"/>
    <n v="1"/>
    <s v="Alimentos - Espejo"/>
    <s v="Santo Domnigo"/>
    <s v="NULL"/>
    <s v="NULL"/>
    <n v="20"/>
    <n v="12"/>
    <n v="12191"/>
    <n v="3"/>
    <s v="C012191"/>
    <s v="Super Mercado La Ballena"/>
    <s v="SUPERMERCADO"/>
    <s v="Lunes"/>
    <s v="Lunes"/>
    <n v="91"/>
    <x v="70"/>
    <s v="V930104"/>
    <x v="70"/>
    <n v="8.3333333333329998E-2"/>
    <n v="1"/>
    <n v="87.25"/>
    <n v="0"/>
    <n v="0"/>
    <n v="0"/>
    <n v="15.71"/>
    <n v="87.25"/>
    <n v="103"/>
    <n v="91"/>
    <s v="Enrrique Morillo (DN)"/>
    <s v="DN6"/>
    <n v="10"/>
    <n v="211"/>
    <s v="CONFITERIA CICHLET"/>
    <n v="0"/>
    <s v="NULL"/>
    <s v="COLOMBINA"/>
    <s v="S5"/>
    <s v="Fernando Martinez  (DN)"/>
    <s v="DN013"/>
    <s v="Distrito Nacional"/>
    <s v="E320000271857"/>
    <n v="0"/>
    <n v="0"/>
    <s v="NULL"/>
    <s v="NULL"/>
    <n v="0"/>
    <n v="0"/>
    <s v="CONTADO                                           "/>
    <n v="13"/>
    <n v="6364115"/>
    <s v="Almacenes"/>
    <s v="General"/>
  </r>
  <r>
    <n v="223"/>
    <s v="A Grande"/>
    <n v="3"/>
    <n v="6364115"/>
    <s v="Martin Figueroa"/>
    <s v="Logistica y Distribucion"/>
    <n v="10193036"/>
    <d v="2026-05-12T00:00:00"/>
    <d v="2026-05-12T00:00:00"/>
    <n v="2026"/>
    <n v="5"/>
    <s v="T2"/>
    <n v="1"/>
    <s v="Alimentos - Espejo"/>
    <s v="Santo Domnigo"/>
    <s v="NULL"/>
    <s v="NULL"/>
    <n v="20"/>
    <n v="12"/>
    <n v="12191"/>
    <n v="3"/>
    <s v="C012191"/>
    <s v="Super Mercado La Ballena"/>
    <s v="SUPERMERCADO"/>
    <s v="Lunes"/>
    <s v="Lunes"/>
    <n v="91"/>
    <x v="12"/>
    <s v="V800791"/>
    <x v="12"/>
    <n v="1"/>
    <n v="25"/>
    <n v="153.11000000000001"/>
    <n v="0"/>
    <n v="0"/>
    <n v="0"/>
    <n v="689"/>
    <n v="3827.75"/>
    <n v="4517"/>
    <n v="91"/>
    <s v="Enrrique Morillo (DN)"/>
    <s v="DN6"/>
    <n v="10"/>
    <n v="207"/>
    <s v="BOLONES"/>
    <n v="65103"/>
    <s v="ALIMENTOS DULCES"/>
    <s v="COLOMBINA"/>
    <s v="S5"/>
    <s v="Fernando Martinez  (DN)"/>
    <s v="DN013"/>
    <s v="Distrito Nacional"/>
    <s v="E320000271857"/>
    <n v="0"/>
    <n v="0"/>
    <s v="NULL"/>
    <s v="NULL"/>
    <n v="0"/>
    <n v="0"/>
    <s v="CONTADO                                           "/>
    <n v="13"/>
    <n v="6364115"/>
    <s v="Almacenes"/>
    <s v="General"/>
  </r>
  <r>
    <n v="223"/>
    <s v="A Grande"/>
    <n v="3"/>
    <n v="6364115"/>
    <s v="Martin Figueroa"/>
    <s v="Logistica y Distribucion"/>
    <n v="10193036"/>
    <d v="2026-05-12T00:00:00"/>
    <d v="2026-05-12T00:00:00"/>
    <n v="2026"/>
    <n v="5"/>
    <s v="T2"/>
    <n v="1"/>
    <s v="Alimentos - Espejo"/>
    <s v="Santo Domnigo"/>
    <s v="NULL"/>
    <s v="NULL"/>
    <n v="20"/>
    <n v="12"/>
    <n v="12191"/>
    <n v="3"/>
    <s v="C012191"/>
    <s v="Super Mercado La Ballena"/>
    <s v="SUPERMERCADO"/>
    <s v="Lunes"/>
    <s v="Lunes"/>
    <n v="91"/>
    <x v="21"/>
    <s v="V800792"/>
    <x v="21"/>
    <n v="0.2"/>
    <n v="5"/>
    <n v="153.11000000000001"/>
    <n v="0"/>
    <n v="0"/>
    <n v="0"/>
    <n v="137.80000000000001"/>
    <n v="765.55"/>
    <n v="903"/>
    <n v="91"/>
    <s v="Enrrique Morillo (DN)"/>
    <s v="DN6"/>
    <n v="10"/>
    <n v="207"/>
    <s v="BOLONES"/>
    <n v="65103"/>
    <s v="ALIMENTOS DULCES"/>
    <s v="COLOMBINA"/>
    <s v="S5"/>
    <s v="Fernando Martinez  (DN)"/>
    <s v="DN013"/>
    <s v="Distrito Nacional"/>
    <s v="E320000271857"/>
    <n v="0"/>
    <n v="0"/>
    <s v="NULL"/>
    <s v="NULL"/>
    <n v="0"/>
    <n v="0"/>
    <s v="CONTADO                                           "/>
    <n v="13"/>
    <n v="6364115"/>
    <s v="Almacenes"/>
    <s v="General"/>
  </r>
  <r>
    <n v="223"/>
    <s v="A Grande"/>
    <n v="3"/>
    <n v="6364115"/>
    <s v="Martin Figueroa"/>
    <s v="Logistica y Distribucion"/>
    <n v="10193036"/>
    <d v="2026-05-12T00:00:00"/>
    <d v="2026-05-12T00:00:00"/>
    <n v="2026"/>
    <n v="5"/>
    <s v="T2"/>
    <n v="1"/>
    <s v="General"/>
    <s v="Santo Domnigo"/>
    <s v="NULL"/>
    <s v="NULL"/>
    <n v="20"/>
    <n v="12"/>
    <n v="12191"/>
    <n v="3"/>
    <s v="C012191"/>
    <s v="Super Mercado La Ballena"/>
    <s v="SUPERMERCADO"/>
    <s v="Lunes"/>
    <s v="Lunes"/>
    <n v="91"/>
    <x v="14"/>
    <s v="V800088"/>
    <x v="14"/>
    <n v="1"/>
    <n v="8"/>
    <n v="364.41"/>
    <n v="0"/>
    <n v="0"/>
    <n v="0"/>
    <n v="524.75"/>
    <n v="2915.28"/>
    <n v="344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271857"/>
    <n v="0"/>
    <n v="0"/>
    <s v="NULL"/>
    <s v="NULL"/>
    <n v="0"/>
    <n v="0"/>
    <s v="CONTADO                                           "/>
    <n v="13"/>
    <n v="6364115"/>
    <s v="Almacenes"/>
    <s v="General"/>
  </r>
  <r>
    <n v="125"/>
    <s v="A Grande"/>
    <n v="3"/>
    <n v="6366895"/>
    <s v="Juan Rosario"/>
    <s v="Logistica y Distribucion"/>
    <n v="10195816"/>
    <d v="2026-05-14T00:00:00"/>
    <d v="2026-05-14T00:00:00"/>
    <n v="2026"/>
    <n v="5"/>
    <s v="T2"/>
    <n v="1"/>
    <s v="General"/>
    <s v="Santo Domnigo"/>
    <s v="NULL"/>
    <s v="NULL"/>
    <n v="20"/>
    <n v="14"/>
    <n v="36908"/>
    <n v="3"/>
    <s v="c036908"/>
    <s v="Asociacion De Detallistas Unidos De Mendoza"/>
    <s v="SUPERMERCADO"/>
    <s v="Miércoles"/>
    <s v="Miércoles"/>
    <n v="11"/>
    <x v="19"/>
    <s v="V800089"/>
    <x v="19"/>
    <n v="0.25"/>
    <n v="2"/>
    <n v="364.41"/>
    <n v="0"/>
    <n v="0"/>
    <n v="0"/>
    <n v="131.19"/>
    <n v="728.82"/>
    <n v="86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74459"/>
    <n v="0"/>
    <n v="0"/>
    <s v="NULL"/>
    <s v="NULL"/>
    <n v="0"/>
    <n v="0"/>
    <s v="CONTADO                                           "/>
    <n v="13"/>
    <n v="6366895"/>
    <s v="Almacenes"/>
    <s v="General"/>
  </r>
  <r>
    <n v="125"/>
    <s v="A Grande"/>
    <n v="3"/>
    <n v="6366895"/>
    <s v="Juan Rosario"/>
    <s v="Logistica y Distribucion"/>
    <n v="10195816"/>
    <d v="2026-05-14T00:00:00"/>
    <d v="2026-05-14T00:00:00"/>
    <n v="2026"/>
    <n v="5"/>
    <s v="T2"/>
    <n v="1"/>
    <s v="General"/>
    <s v="Santo Domnigo"/>
    <s v="NULL"/>
    <s v="NULL"/>
    <n v="20"/>
    <n v="14"/>
    <n v="36908"/>
    <n v="3"/>
    <s v="c036908"/>
    <s v="Asociacion De Detallistas Unidos De Mendoza"/>
    <s v="SUPERMERCADO"/>
    <s v="Miércoles"/>
    <s v="Miércoles"/>
    <n v="11"/>
    <x v="13"/>
    <s v="v101038"/>
    <x v="13"/>
    <n v="0.4"/>
    <n v="4"/>
    <n v="364.41"/>
    <n v="0"/>
    <n v="0"/>
    <n v="0"/>
    <n v="262.38"/>
    <n v="1457.64"/>
    <n v="172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74459"/>
    <n v="0"/>
    <n v="0"/>
    <s v="NULL"/>
    <s v="NULL"/>
    <n v="0"/>
    <n v="0"/>
    <s v="CONTADO                                           "/>
    <n v="13"/>
    <n v="6366895"/>
    <s v="Almacenes"/>
    <s v="General"/>
  </r>
  <r>
    <n v="125"/>
    <s v="A Grande"/>
    <n v="3"/>
    <n v="6366895"/>
    <s v="Juan Rosario"/>
    <s v="Logistica y Distribucion"/>
    <n v="10195816"/>
    <d v="2026-05-14T00:00:00"/>
    <d v="2026-05-14T00:00:00"/>
    <n v="2026"/>
    <n v="5"/>
    <s v="T2"/>
    <n v="1"/>
    <s v="General"/>
    <s v="Santo Domnigo"/>
    <s v="NULL"/>
    <s v="NULL"/>
    <n v="20"/>
    <n v="14"/>
    <n v="36908"/>
    <n v="3"/>
    <s v="c036908"/>
    <s v="Asociacion De Detallistas Unidos De Mendoza"/>
    <s v="SUPERMERCADO"/>
    <s v="Miércoles"/>
    <s v="Miércoles"/>
    <n v="11"/>
    <x v="14"/>
    <s v="V800088"/>
    <x v="14"/>
    <n v="0.25"/>
    <n v="2"/>
    <n v="364.41"/>
    <n v="0"/>
    <n v="0"/>
    <n v="0"/>
    <n v="131.19"/>
    <n v="728.82"/>
    <n v="86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74459"/>
    <n v="0"/>
    <n v="0"/>
    <s v="NULL"/>
    <s v="NULL"/>
    <n v="0"/>
    <n v="0"/>
    <s v="CONTADO                                           "/>
    <n v="13"/>
    <n v="6366895"/>
    <s v="Almacenes"/>
    <s v="General"/>
  </r>
  <r>
    <n v="223"/>
    <s v="A Grande"/>
    <n v="3"/>
    <n v="6367101"/>
    <s v="Martin Figueroa"/>
    <s v="Logistica y Distribucion"/>
    <n v="10196022"/>
    <d v="2026-05-14T00:00:00"/>
    <d v="2026-05-14T00:00:00"/>
    <n v="2026"/>
    <n v="5"/>
    <s v="T2"/>
    <n v="1"/>
    <s v="General"/>
    <s v="Santo Domnigo"/>
    <s v="NULL"/>
    <s v="NULL"/>
    <n v="20"/>
    <n v="14"/>
    <n v="19291"/>
    <n v="3"/>
    <s v="C019291"/>
    <s v="Mini Market Isamal Comercial"/>
    <s v="MINI MARKET"/>
    <s v="Miércoles"/>
    <s v="Miércoles"/>
    <n v="8"/>
    <x v="29"/>
    <s v="V101034"/>
    <x v="29"/>
    <n v="0.3"/>
    <n v="3"/>
    <n v="233.05"/>
    <n v="0"/>
    <n v="0"/>
    <n v="0"/>
    <n v="125.85"/>
    <n v="699.15"/>
    <n v="825"/>
    <n v="8"/>
    <s v="Daniel Gutierrez"/>
    <s v="DN3"/>
    <n v="10"/>
    <n v="136"/>
    <s v="NOSOTRAS DIARIOS"/>
    <n v="677001"/>
    <s v="CUIDADO FEMENINO"/>
    <s v="Continental de Negocios"/>
    <s v="S5"/>
    <s v="Fernando Martinez  (DN)"/>
    <s v="P016"/>
    <s v="Distrito Nacional"/>
    <s v="E320000274654"/>
    <n v="0"/>
    <n v="0"/>
    <s v="NULL"/>
    <s v="NULL"/>
    <n v="0"/>
    <n v="0"/>
    <s v="CONTADO                                           "/>
    <n v="13"/>
    <n v="6367101"/>
    <s v="Almacenes"/>
    <s v="General"/>
  </r>
  <r>
    <n v="223"/>
    <s v="A Grande"/>
    <n v="3"/>
    <n v="6367101"/>
    <s v="Martin Figueroa"/>
    <s v="Logistica y Distribucion"/>
    <n v="10196022"/>
    <d v="2026-05-14T00:00:00"/>
    <d v="2026-05-14T00:00:00"/>
    <n v="2026"/>
    <n v="5"/>
    <s v="T2"/>
    <n v="1"/>
    <s v="General"/>
    <s v="Santo Domnigo"/>
    <s v="NULL"/>
    <s v="NULL"/>
    <n v="20"/>
    <n v="14"/>
    <n v="19291"/>
    <n v="3"/>
    <s v="C019291"/>
    <s v="Mini Market Isamal Comercial"/>
    <s v="MINI MARKET"/>
    <s v="Miércoles"/>
    <s v="Miércoles"/>
    <n v="8"/>
    <x v="19"/>
    <s v="V800089"/>
    <x v="19"/>
    <n v="0.5"/>
    <n v="4"/>
    <n v="364.41"/>
    <n v="0"/>
    <n v="0"/>
    <n v="0"/>
    <n v="262.38"/>
    <n v="1457.64"/>
    <n v="1720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20000274654"/>
    <n v="0"/>
    <n v="0"/>
    <s v="NULL"/>
    <s v="NULL"/>
    <n v="0"/>
    <n v="0"/>
    <s v="CONTADO                                           "/>
    <n v="13"/>
    <n v="6367101"/>
    <s v="Almacenes"/>
    <s v="General"/>
  </r>
  <r>
    <n v="223"/>
    <s v="A Grande"/>
    <n v="3"/>
    <n v="6367101"/>
    <s v="Martin Figueroa"/>
    <s v="Logistica y Distribucion"/>
    <n v="10196022"/>
    <d v="2026-05-14T00:00:00"/>
    <d v="2026-05-14T00:00:00"/>
    <n v="2026"/>
    <n v="5"/>
    <s v="T2"/>
    <n v="1"/>
    <s v="General"/>
    <s v="Santo Domnigo"/>
    <s v="NULL"/>
    <s v="NULL"/>
    <n v="20"/>
    <n v="14"/>
    <n v="19291"/>
    <n v="3"/>
    <s v="C019291"/>
    <s v="Mini Market Isamal Comercial"/>
    <s v="MINI MARKET"/>
    <s v="Miércoles"/>
    <s v="Miércoles"/>
    <n v="8"/>
    <x v="26"/>
    <s v="V101005"/>
    <x v="26"/>
    <n v="1"/>
    <n v="30"/>
    <n v="73.41"/>
    <n v="0"/>
    <n v="0"/>
    <n v="0"/>
    <n v="396.41"/>
    <n v="2202.3000000000002"/>
    <n v="2599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20000274654"/>
    <n v="0"/>
    <n v="0"/>
    <s v="NULL"/>
    <s v="NULL"/>
    <n v="0"/>
    <n v="0"/>
    <s v="CONTADO                                           "/>
    <n v="13"/>
    <n v="6367101"/>
    <s v="Almacenes"/>
    <s v="General"/>
  </r>
  <r>
    <n v="223"/>
    <s v="A Grande"/>
    <n v="3"/>
    <n v="6367101"/>
    <s v="Martin Figueroa"/>
    <s v="Logistica y Distribucion"/>
    <n v="10196022"/>
    <d v="2026-05-14T00:00:00"/>
    <d v="2026-05-14T00:00:00"/>
    <n v="2026"/>
    <n v="5"/>
    <s v="T2"/>
    <n v="1"/>
    <s v="General"/>
    <s v="Santo Domnigo"/>
    <s v="NULL"/>
    <s v="NULL"/>
    <n v="20"/>
    <n v="14"/>
    <n v="19291"/>
    <n v="3"/>
    <s v="C019291"/>
    <s v="Mini Market Isamal Comercial"/>
    <s v="MINI MARKET"/>
    <s v="Miércoles"/>
    <s v="Miércoles"/>
    <n v="8"/>
    <x v="27"/>
    <s v="V101027"/>
    <x v="27"/>
    <n v="1"/>
    <n v="24"/>
    <n v="73.41"/>
    <n v="0"/>
    <n v="0"/>
    <n v="0"/>
    <n v="317.13"/>
    <n v="1761.84"/>
    <n v="2079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20000274654"/>
    <n v="0"/>
    <n v="0"/>
    <s v="NULL"/>
    <s v="NULL"/>
    <n v="0"/>
    <n v="0"/>
    <s v="CONTADO                                           "/>
    <n v="13"/>
    <n v="6367101"/>
    <s v="Almacenes"/>
    <s v="General"/>
  </r>
  <r>
    <n v="223"/>
    <s v="A Grande"/>
    <n v="3"/>
    <n v="6367101"/>
    <s v="Martin Figueroa"/>
    <s v="Logistica y Distribucion"/>
    <n v="10196022"/>
    <d v="2026-05-14T00:00:00"/>
    <d v="2026-05-14T00:00:00"/>
    <n v="2026"/>
    <n v="5"/>
    <s v="T2"/>
    <n v="1"/>
    <s v="General"/>
    <s v="Santo Domnigo"/>
    <s v="NULL"/>
    <s v="NULL"/>
    <n v="20"/>
    <n v="14"/>
    <n v="19291"/>
    <n v="3"/>
    <s v="C019291"/>
    <s v="Mini Market Isamal Comercial"/>
    <s v="MINI MARKET"/>
    <s v="Miércoles"/>
    <s v="Miércoles"/>
    <n v="8"/>
    <x v="28"/>
    <s v="V101028"/>
    <x v="28"/>
    <n v="1"/>
    <n v="18"/>
    <n v="98.4"/>
    <n v="0"/>
    <n v="0"/>
    <n v="0"/>
    <n v="318.82"/>
    <n v="1771.2"/>
    <n v="2090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20000274654"/>
    <n v="0"/>
    <n v="0"/>
    <s v="NULL"/>
    <s v="NULL"/>
    <n v="0"/>
    <n v="0"/>
    <s v="CONTADO                                           "/>
    <n v="13"/>
    <n v="6367101"/>
    <s v="Almacenes"/>
    <s v="General"/>
  </r>
  <r>
    <n v="223"/>
    <s v="A Grande"/>
    <n v="3"/>
    <n v="6367101"/>
    <s v="Martin Figueroa"/>
    <s v="Logistica y Distribucion"/>
    <n v="10196022"/>
    <d v="2026-05-14T00:00:00"/>
    <d v="2026-05-14T00:00:00"/>
    <n v="2026"/>
    <n v="5"/>
    <s v="T2"/>
    <n v="1"/>
    <s v="General"/>
    <s v="Santo Domnigo"/>
    <s v="NULL"/>
    <s v="NULL"/>
    <n v="20"/>
    <n v="14"/>
    <n v="19291"/>
    <n v="3"/>
    <s v="C019291"/>
    <s v="Mini Market Isamal Comercial"/>
    <s v="MINI MARKET"/>
    <s v="Miércoles"/>
    <s v="Miércoles"/>
    <n v="8"/>
    <x v="44"/>
    <s v="V101026"/>
    <x v="44"/>
    <n v="1"/>
    <n v="36"/>
    <n v="33.06"/>
    <n v="0"/>
    <n v="0"/>
    <n v="0"/>
    <n v="214.23"/>
    <n v="1190.1600000000001"/>
    <n v="1404"/>
    <n v="8"/>
    <s v="Daniel Gutierrez"/>
    <s v="DN3"/>
    <n v="10"/>
    <n v="136"/>
    <s v="NOSOTRAS DIARIOS"/>
    <n v="677001"/>
    <s v="CUIDADO FEMENINO"/>
    <s v="Continental de Negocios"/>
    <s v="S5"/>
    <s v="Fernando Martinez  (DN)"/>
    <s v="P016"/>
    <s v="Distrito Nacional"/>
    <s v="E320000274654"/>
    <n v="0"/>
    <n v="0"/>
    <s v="NULL"/>
    <s v="NULL"/>
    <n v="0"/>
    <n v="0"/>
    <s v="CONTADO                                           "/>
    <n v="13"/>
    <n v="6367101"/>
    <s v="Almacenes"/>
    <s v="General"/>
  </r>
  <r>
    <n v="242"/>
    <s v="A Grande"/>
    <n v="3"/>
    <n v="6367149"/>
    <s v="Agustin Luna Valdez"/>
    <s v="Logistica y Distribucion"/>
    <n v="10196070"/>
    <d v="2026-05-14T00:00:00"/>
    <d v="2026-05-14T00:00:00"/>
    <n v="2026"/>
    <n v="5"/>
    <s v="T2"/>
    <n v="1"/>
    <s v="General"/>
    <s v="Santo Domnigo"/>
    <s v="NULL"/>
    <s v="NULL"/>
    <n v="20"/>
    <n v="14"/>
    <n v="2280"/>
    <n v="3"/>
    <s v="C002280"/>
    <s v="Mini Market Familiar"/>
    <s v="MINI MARKET"/>
    <s v="Miércoles"/>
    <s v="Miércoles"/>
    <n v="14"/>
    <x v="16"/>
    <s v="V103001"/>
    <x v="16"/>
    <n v="1"/>
    <n v="48"/>
    <n v="21.36"/>
    <n v="0"/>
    <n v="0"/>
    <n v="0"/>
    <n v="184.55"/>
    <n v="1025.28"/>
    <n v="1210"/>
    <n v="14"/>
    <s v="Bernabet Reyes"/>
    <s v="DN4"/>
    <n v="10"/>
    <n v="107"/>
    <s v="FAMILIA"/>
    <n v="6770651"/>
    <s v="CUIDADO FAMILIAR"/>
    <s v="Continental de Negocios"/>
    <s v="S5"/>
    <s v="Fernando Martinez  (DN)"/>
    <s v="P030"/>
    <s v="Distrito Nacional"/>
    <s v="E320000274706"/>
    <n v="0"/>
    <n v="0"/>
    <s v="NULL"/>
    <s v="NULL"/>
    <n v="0"/>
    <n v="0"/>
    <s v="CONTADO                                           "/>
    <n v="13"/>
    <n v="6367149"/>
    <s v="Almacenes"/>
    <s v="General"/>
  </r>
  <r>
    <n v="242"/>
    <s v="A Grande"/>
    <n v="3"/>
    <n v="6367149"/>
    <s v="Agustin Luna Valdez"/>
    <s v="Logistica y Distribucion"/>
    <n v="10196070"/>
    <d v="2026-05-14T00:00:00"/>
    <d v="2026-05-14T00:00:00"/>
    <n v="2026"/>
    <n v="5"/>
    <s v="T2"/>
    <n v="1"/>
    <s v="General"/>
    <s v="Santo Domnigo"/>
    <s v="NULL"/>
    <s v="NULL"/>
    <n v="20"/>
    <n v="14"/>
    <n v="2280"/>
    <n v="3"/>
    <s v="C002280"/>
    <s v="Mini Market Familiar"/>
    <s v="MINI MARKET"/>
    <s v="Miércoles"/>
    <s v="Miércoles"/>
    <n v="14"/>
    <x v="9"/>
    <s v="V201001"/>
    <x v="9"/>
    <n v="2"/>
    <n v="2"/>
    <n v="221.67"/>
    <n v="0"/>
    <n v="0"/>
    <n v="0"/>
    <n v="79.8"/>
    <n v="443.34"/>
    <n v="523"/>
    <n v="14"/>
    <s v="Bernabet Reyes"/>
    <s v="DN4"/>
    <n v="10"/>
    <n v="113"/>
    <s v="REFISAL"/>
    <n v="82101"/>
    <s v="REFISAL PACA"/>
    <s v="Brinsa Dominicana"/>
    <s v="S5"/>
    <s v="Fernando Martinez  (DN)"/>
    <s v="P030"/>
    <s v="Distrito Nacional"/>
    <s v="E320000274706"/>
    <n v="0"/>
    <n v="0"/>
    <s v="NULL"/>
    <s v="NULL"/>
    <n v="0"/>
    <n v="0"/>
    <s v="CONTADO                                           "/>
    <n v="13"/>
    <n v="6367149"/>
    <s v="Almacenes"/>
    <s v="General"/>
  </r>
  <r>
    <n v="242"/>
    <s v="A Grande"/>
    <n v="3"/>
    <n v="6367149"/>
    <s v="Agustin Luna Valdez"/>
    <s v="Logistica y Distribucion"/>
    <n v="10196070"/>
    <d v="2026-05-14T00:00:00"/>
    <d v="2026-05-14T00:00:00"/>
    <n v="2026"/>
    <n v="5"/>
    <s v="T2"/>
    <n v="1"/>
    <s v="General"/>
    <s v="Santo Domnigo"/>
    <s v="NULL"/>
    <s v="NULL"/>
    <n v="20"/>
    <n v="14"/>
    <n v="2280"/>
    <n v="3"/>
    <s v="C002280"/>
    <s v="Mini Market Familiar"/>
    <s v="MINI MARKET"/>
    <s v="Miércoles"/>
    <s v="Miércoles"/>
    <n v="14"/>
    <x v="16"/>
    <s v="V103001"/>
    <x v="16"/>
    <n v="0.16666666666666"/>
    <n v="8"/>
    <n v="0"/>
    <n v="0"/>
    <n v="0"/>
    <n v="0"/>
    <n v="0"/>
    <n v="0"/>
    <n v="0"/>
    <n v="14"/>
    <s v="Bernabet Reyes"/>
    <s v="DN4"/>
    <n v="10"/>
    <n v="107"/>
    <s v="FAMILIA"/>
    <n v="6770651"/>
    <s v="CUIDADO FAMILIAR"/>
    <s v="Continental de Negocios"/>
    <s v="S5"/>
    <s v="Fernando Martinez  (DN)"/>
    <s v="P030"/>
    <s v="Distrito Nacional"/>
    <s v="E320000274706"/>
    <n v="0"/>
    <n v="1"/>
    <n v="3590"/>
    <s v="Papel Higienico Familia Mediano 24/48+3/5UND Papeles Familia de Ofertas"/>
    <n v="0"/>
    <n v="0"/>
    <s v="CONTADO                                           "/>
    <n v="13"/>
    <n v="6367149"/>
    <s v="Almacenes"/>
    <s v="General"/>
  </r>
  <r>
    <n v="119"/>
    <s v="A Grande"/>
    <n v="3"/>
    <n v="6368646"/>
    <s v="Mario Jose Martinez"/>
    <s v="Logistica y Distribucion"/>
    <n v="10197567"/>
    <d v="2026-05-15T00:00:00"/>
    <d v="2026-05-15T00:00:00"/>
    <n v="2026"/>
    <n v="5"/>
    <s v="T2"/>
    <n v="1"/>
    <s v="Alimentos - Espejo"/>
    <s v="Santo Domnigo"/>
    <s v="NULL"/>
    <s v="NULL"/>
    <n v="20"/>
    <n v="15"/>
    <n v="36908"/>
    <n v="3"/>
    <s v="c036908"/>
    <s v="Asociacion De Detallistas Unidos De Mendoza"/>
    <s v="SUPERMERCADO"/>
    <s v="Miércoles"/>
    <s v="Miércoles"/>
    <n v="11"/>
    <x v="1"/>
    <s v="V930021"/>
    <x v="1"/>
    <n v="0.125"/>
    <n v="2"/>
    <n v="91.09"/>
    <n v="0"/>
    <n v="0"/>
    <n v="0"/>
    <n v="32.79"/>
    <n v="182.18"/>
    <n v="215"/>
    <n v="199"/>
    <s v="Giancarlo Tavarez"/>
    <s v="SDE2"/>
    <n v="10"/>
    <n v="208"/>
    <s v="CARAMELOS DUROS"/>
    <n v="0"/>
    <s v="NULL"/>
    <s v="COLOMBINA"/>
    <s v="S1"/>
    <s v="Ramon E. Pimentel (SDE)"/>
    <s v="P206"/>
    <s v="Santo Domingo Este"/>
    <s v="E320000276190"/>
    <n v="0"/>
    <n v="0"/>
    <s v="NULL"/>
    <s v="NULL"/>
    <n v="0"/>
    <n v="0"/>
    <s v="CONTADO                                           "/>
    <n v="13"/>
    <n v="6368646"/>
    <s v="Almacenes"/>
    <s v="General"/>
  </r>
  <r>
    <n v="119"/>
    <s v="A Grande"/>
    <n v="3"/>
    <n v="6368646"/>
    <s v="Mario Jose Martinez"/>
    <s v="Logistica y Distribucion"/>
    <n v="10197567"/>
    <d v="2026-05-15T00:00:00"/>
    <d v="2026-05-15T00:00:00"/>
    <n v="2026"/>
    <n v="5"/>
    <s v="T2"/>
    <n v="1"/>
    <s v="Alimentos - Espejo"/>
    <s v="Santo Domnigo"/>
    <s v="NULL"/>
    <s v="NULL"/>
    <n v="20"/>
    <n v="15"/>
    <n v="36908"/>
    <n v="3"/>
    <s v="c036908"/>
    <s v="Asociacion De Detallistas Unidos De Mendoza"/>
    <s v="SUPERMERCADO"/>
    <s v="Miércoles"/>
    <s v="Miércoles"/>
    <n v="11"/>
    <x v="63"/>
    <s v="V930022"/>
    <x v="63"/>
    <n v="0.125"/>
    <n v="2"/>
    <n v="91.09"/>
    <n v="0"/>
    <n v="0"/>
    <n v="0"/>
    <n v="32.79"/>
    <n v="182.18"/>
    <n v="215"/>
    <n v="199"/>
    <s v="Giancarlo Tavarez"/>
    <s v="SDE2"/>
    <n v="10"/>
    <n v="208"/>
    <s v="CARAMELOS DUROS"/>
    <n v="0"/>
    <s v="NULL"/>
    <s v="COLOMBINA"/>
    <s v="S1"/>
    <s v="Ramon E. Pimentel (SDE)"/>
    <s v="P206"/>
    <s v="Santo Domingo Este"/>
    <s v="E320000276190"/>
    <n v="0"/>
    <n v="0"/>
    <s v="NULL"/>
    <s v="NULL"/>
    <n v="0"/>
    <n v="0"/>
    <s v="CONTADO                                           "/>
    <n v="13"/>
    <n v="6368646"/>
    <s v="Almacenes"/>
    <s v="General"/>
  </r>
  <r>
    <n v="119"/>
    <s v="A Grande"/>
    <n v="3"/>
    <n v="6368646"/>
    <s v="Mario Jose Martinez"/>
    <s v="Logistica y Distribucion"/>
    <n v="10197567"/>
    <d v="2026-05-15T00:00:00"/>
    <d v="2026-05-15T00:00:00"/>
    <n v="2026"/>
    <n v="5"/>
    <s v="T2"/>
    <n v="1"/>
    <s v="General"/>
    <s v="Santo Domnigo"/>
    <s v="NULL"/>
    <s v="NULL"/>
    <n v="20"/>
    <n v="15"/>
    <n v="36908"/>
    <n v="3"/>
    <s v="c036908"/>
    <s v="Asociacion De Detallistas Unidos De Mendoza"/>
    <s v="SUPERMERCADO"/>
    <s v="Miércoles"/>
    <s v="Miércoles"/>
    <n v="11"/>
    <x v="13"/>
    <s v="v101038"/>
    <x v="13"/>
    <n v="1"/>
    <n v="10"/>
    <n v="364.41"/>
    <n v="0"/>
    <n v="0"/>
    <n v="0"/>
    <n v="655.94"/>
    <n v="3644.1"/>
    <n v="4300"/>
    <n v="199"/>
    <s v="Giancarlo Tavarez"/>
    <s v="SDE2"/>
    <n v="10"/>
    <n v="105"/>
    <s v="NOSOTRAS"/>
    <n v="677001"/>
    <s v="CUIDADO FEMENINO"/>
    <s v="Continental de Negocios"/>
    <s v="S1"/>
    <s v="Ramon E. Pimentel (SDE)"/>
    <s v="P206"/>
    <s v="Santo Domingo Este"/>
    <s v="E320000276190"/>
    <n v="0"/>
    <n v="0"/>
    <s v="NULL"/>
    <s v="NULL"/>
    <n v="0"/>
    <n v="0"/>
    <s v="CONTADO                                           "/>
    <n v="13"/>
    <n v="6368646"/>
    <s v="Almacenes"/>
    <s v="General"/>
  </r>
  <r>
    <n v="223"/>
    <s v="A Grande"/>
    <n v="3"/>
    <n v="6369934"/>
    <s v="Martin Figueroa"/>
    <s v="Logistica y Distribucion"/>
    <n v="10198855"/>
    <d v="2026-05-16T00:00:00"/>
    <d v="2026-05-16T00:00:00"/>
    <n v="2026"/>
    <n v="5"/>
    <s v="T2"/>
    <n v="1"/>
    <s v="General"/>
    <s v="Santo Domnigo"/>
    <s v="NULL"/>
    <s v="NULL"/>
    <n v="20"/>
    <n v="16"/>
    <n v="29579"/>
    <n v="3"/>
    <s v="C029579"/>
    <s v="Mini Market  Shairelys"/>
    <s v="MINI MARKET"/>
    <s v="Viernes"/>
    <s v="Viernes"/>
    <n v="60"/>
    <x v="13"/>
    <s v="v101038"/>
    <x v="13"/>
    <n v="1"/>
    <n v="10"/>
    <n v="364.41"/>
    <n v="0"/>
    <n v="0"/>
    <n v="0"/>
    <n v="655.94"/>
    <n v="3644.1"/>
    <n v="4300"/>
    <n v="60"/>
    <s v="Martina Ramirez"/>
    <s v="DN5"/>
    <n v="10"/>
    <n v="105"/>
    <s v="NOSOTRAS"/>
    <n v="677001"/>
    <s v="CUIDADO FEMENINO"/>
    <s v="Continental de Negocios"/>
    <s v="S5"/>
    <s v="Fernando Martinez  (DN)"/>
    <s v="P002"/>
    <s v="Distrito Nacional"/>
    <s v="E310000024224"/>
    <n v="0"/>
    <n v="0"/>
    <s v="NULL"/>
    <s v="NULL"/>
    <n v="0"/>
    <n v="0"/>
    <s v="CONTADO                                           "/>
    <n v="13"/>
    <n v="6369934"/>
    <s v="Almacenes"/>
    <s v="General"/>
  </r>
  <r>
    <n v="223"/>
    <s v="A Grande"/>
    <n v="3"/>
    <n v="6371279"/>
    <s v="Martin Figueroa"/>
    <s v="Logistica y Distribucion"/>
    <n v="10200200"/>
    <d v="2026-05-18T00:00:00"/>
    <d v="2026-05-18T00:00:00"/>
    <n v="2026"/>
    <n v="5"/>
    <s v="T2"/>
    <n v="1"/>
    <s v="General"/>
    <s v="Santo Domnigo"/>
    <s v="NULL"/>
    <s v="NULL"/>
    <n v="21"/>
    <n v="18"/>
    <n v="12191"/>
    <n v="3"/>
    <s v="C012191"/>
    <s v="Super Mercado La Ballena"/>
    <s v="SUPERMERCADO"/>
    <s v="Lunes"/>
    <s v="Lunes"/>
    <n v="91"/>
    <x v="9"/>
    <s v="V201001"/>
    <x v="9"/>
    <n v="10"/>
    <n v="10"/>
    <n v="221.67"/>
    <n v="0"/>
    <n v="0"/>
    <n v="0"/>
    <n v="399.01"/>
    <n v="2216.6999999999998"/>
    <n v="2616"/>
    <n v="91"/>
    <s v="Enrrique Morillo (DN)"/>
    <s v="DN6"/>
    <n v="10"/>
    <n v="113"/>
    <s v="REFISAL"/>
    <n v="82101"/>
    <s v="REFISAL PACA"/>
    <s v="Brinsa Dominicana"/>
    <s v="S5"/>
    <s v="Fernando Martinez  (DN)"/>
    <s v="DN013"/>
    <s v="Distrito Nacional"/>
    <s v="E320000278653"/>
    <n v="0"/>
    <n v="0"/>
    <s v="NULL"/>
    <s v="NULL"/>
    <n v="0"/>
    <n v="0"/>
    <s v="CONTADO                                           "/>
    <n v="13"/>
    <n v="6371279"/>
    <s v="Almacenes"/>
    <s v="General"/>
  </r>
  <r>
    <n v="223"/>
    <s v="A Grande"/>
    <n v="3"/>
    <n v="6373004"/>
    <s v="Martin Figueroa"/>
    <s v="Logistica y Distribucion"/>
    <n v="10201925"/>
    <d v="2026-05-19T00:00:00"/>
    <d v="2026-05-19T00:00:00"/>
    <n v="2026"/>
    <n v="5"/>
    <s v="T2"/>
    <n v="1"/>
    <s v="General"/>
    <s v="Santo Domnigo"/>
    <s v="NULL"/>
    <s v="NULL"/>
    <n v="21"/>
    <n v="19"/>
    <n v="14167"/>
    <n v="3"/>
    <s v="C014167"/>
    <s v="Mini Market Galvan"/>
    <s v="MINI MARKET"/>
    <s v="Lunes"/>
    <s v="Lunes"/>
    <n v="91"/>
    <x v="2"/>
    <s v="V621045"/>
    <x v="2"/>
    <n v="1"/>
    <n v="12"/>
    <n v="161.94999999999999"/>
    <n v="0"/>
    <n v="0"/>
    <n v="0"/>
    <n v="349.81"/>
    <n v="1943.4"/>
    <n v="2293"/>
    <n v="91"/>
    <s v="Enrrique Morillo (DN)"/>
    <s v="DN6"/>
    <n v="10"/>
    <n v="138"/>
    <s v="INSECTICIDAS"/>
    <n v="73101"/>
    <s v="INSECTICIDA BAIGON"/>
    <s v="Comercial Fila"/>
    <s v="S5"/>
    <s v="Fernando Martinez  (DN)"/>
    <s v="DN013"/>
    <s v="Distrito Nacional"/>
    <s v="E320000280260"/>
    <n v="0"/>
    <n v="0"/>
    <s v="NULL"/>
    <s v="NULL"/>
    <n v="0"/>
    <n v="0"/>
    <s v="CONTADO                                           "/>
    <n v="13"/>
    <n v="6373004"/>
    <s v="Almacenes"/>
    <s v="General"/>
  </r>
  <r>
    <n v="223"/>
    <s v="A Grande"/>
    <n v="3"/>
    <n v="6375846"/>
    <s v="Martin Figueroa"/>
    <s v="Logistica y Distribucion"/>
    <n v="10204770"/>
    <d v="2026-05-21T00:00:00"/>
    <d v="2026-05-21T00:00:00"/>
    <n v="2026"/>
    <n v="5"/>
    <s v="T2"/>
    <n v="1"/>
    <s v="General"/>
    <s v="Santo Domnigo"/>
    <s v="NULL"/>
    <s v="NULL"/>
    <n v="21"/>
    <n v="21"/>
    <n v="19291"/>
    <n v="3"/>
    <s v="C019291"/>
    <s v="Mini Market Isamal Comercial"/>
    <s v="MINI MARKET"/>
    <s v="Miércoles"/>
    <s v="Miércoles"/>
    <n v="8"/>
    <x v="29"/>
    <s v="V101034"/>
    <x v="29"/>
    <n v="0.5"/>
    <n v="5"/>
    <n v="233.05"/>
    <n v="0"/>
    <n v="0"/>
    <n v="0"/>
    <n v="209.75"/>
    <n v="1165.25"/>
    <n v="1375"/>
    <n v="8"/>
    <s v="Daniel Gutierrez"/>
    <s v="DN3"/>
    <n v="10"/>
    <n v="136"/>
    <s v="NOSOTRAS DIARIOS"/>
    <n v="677001"/>
    <s v="CUIDADO FEMENINO"/>
    <s v="Continental de Negocios"/>
    <s v="S5"/>
    <s v="Fernando Martinez  (DN)"/>
    <s v="P016"/>
    <s v="Distrito Nacional"/>
    <s v="E320000282992"/>
    <n v="0"/>
    <n v="0"/>
    <s v="NULL"/>
    <s v="NULL"/>
    <n v="0"/>
    <n v="0"/>
    <s v="CONTADO                                           "/>
    <n v="13"/>
    <n v="6375846"/>
    <s v="Almacenes"/>
    <s v="General"/>
  </r>
  <r>
    <n v="223"/>
    <s v="A Grande"/>
    <n v="3"/>
    <n v="6375846"/>
    <s v="Martin Figueroa"/>
    <s v="Logistica y Distribucion"/>
    <n v="10204770"/>
    <d v="2026-05-21T00:00:00"/>
    <d v="2026-05-21T00:00:00"/>
    <n v="2026"/>
    <n v="5"/>
    <s v="T2"/>
    <n v="1"/>
    <s v="General"/>
    <s v="Santo Domnigo"/>
    <s v="NULL"/>
    <s v="NULL"/>
    <n v="21"/>
    <n v="21"/>
    <n v="19291"/>
    <n v="3"/>
    <s v="C019291"/>
    <s v="Mini Market Isamal Comercial"/>
    <s v="MINI MARKET"/>
    <s v="Miércoles"/>
    <s v="Miércoles"/>
    <n v="8"/>
    <x v="19"/>
    <s v="V800089"/>
    <x v="19"/>
    <n v="1"/>
    <n v="8"/>
    <n v="364.41"/>
    <n v="0"/>
    <n v="0"/>
    <n v="0"/>
    <n v="524.75"/>
    <n v="2915.28"/>
    <n v="3440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20000282992"/>
    <n v="0"/>
    <n v="0"/>
    <s v="NULL"/>
    <s v="NULL"/>
    <n v="0"/>
    <n v="0"/>
    <s v="CONTADO                                           "/>
    <n v="13"/>
    <n v="6375846"/>
    <s v="Almacenes"/>
    <s v="General"/>
  </r>
  <r>
    <n v="223"/>
    <s v="A Grande"/>
    <n v="3"/>
    <n v="6375852"/>
    <s v="Martin Figueroa"/>
    <s v="Logistica y Distribucion"/>
    <n v="10204776"/>
    <d v="2026-05-21T00:00:00"/>
    <d v="2026-05-21T00:00:00"/>
    <n v="2026"/>
    <n v="5"/>
    <s v="T2"/>
    <n v="1"/>
    <s v="Alimentos - Espejo"/>
    <s v="Santo Domnigo"/>
    <s v="NULL"/>
    <s v="NULL"/>
    <n v="21"/>
    <n v="21"/>
    <n v="19291"/>
    <n v="3"/>
    <s v="C019291"/>
    <s v="Mini Market Isamal Comercial"/>
    <s v="MINI MARKET"/>
    <s v="Miércoles"/>
    <s v="Miércoles"/>
    <n v="8"/>
    <x v="21"/>
    <s v="V800792"/>
    <x v="21"/>
    <n v="0.48"/>
    <n v="12"/>
    <n v="153.11000000000001"/>
    <n v="0"/>
    <n v="0"/>
    <n v="0"/>
    <n v="330.72"/>
    <n v="1837.32"/>
    <n v="2168"/>
    <n v="8"/>
    <s v="Daniel Gutierrez"/>
    <s v="DN3"/>
    <n v="10"/>
    <n v="207"/>
    <s v="BOLONES"/>
    <n v="65103"/>
    <s v="ALIMENTOS DULCES"/>
    <s v="COLOMBINA"/>
    <s v="S5"/>
    <s v="Fernando Martinez  (DN)"/>
    <s v="P016"/>
    <s v="Distrito Nacional"/>
    <s v="E320000282998"/>
    <n v="0"/>
    <n v="0"/>
    <s v="NULL"/>
    <s v="NULL"/>
    <n v="0"/>
    <n v="0"/>
    <s v="CONTADO                                           "/>
    <n v="13"/>
    <n v="6375852"/>
    <s v="Almacenes"/>
    <s v="General"/>
  </r>
  <r>
    <n v="223"/>
    <s v="A Grande"/>
    <n v="3"/>
    <n v="6375852"/>
    <s v="Martin Figueroa"/>
    <s v="Logistica y Distribucion"/>
    <n v="10204776"/>
    <d v="2026-05-21T00:00:00"/>
    <d v="2026-05-21T00:00:00"/>
    <n v="2026"/>
    <n v="5"/>
    <s v="T2"/>
    <n v="1"/>
    <s v="Alimentos - Espejo"/>
    <s v="Santo Domnigo"/>
    <s v="NULL"/>
    <s v="NULL"/>
    <n v="21"/>
    <n v="21"/>
    <n v="19291"/>
    <n v="3"/>
    <s v="C019291"/>
    <s v="Mini Market Isamal Comercial"/>
    <s v="MINI MARKET"/>
    <s v="Miércoles"/>
    <s v="Miércoles"/>
    <n v="8"/>
    <x v="22"/>
    <s v="V930025"/>
    <x v="22"/>
    <n v="0.11111111111110999"/>
    <n v="4"/>
    <n v="0"/>
    <n v="0"/>
    <n v="0"/>
    <n v="0"/>
    <n v="0"/>
    <n v="0"/>
    <n v="0"/>
    <n v="8"/>
    <s v="Daniel Gutierrez"/>
    <s v="DN3"/>
    <n v="10"/>
    <n v="209"/>
    <s v="PALETAS"/>
    <n v="0"/>
    <s v="NULL"/>
    <s v="COLOMBINA"/>
    <s v="S5"/>
    <s v="Fernando Martinez  (DN)"/>
    <s v="P016"/>
    <s v="Distrito Nacional"/>
    <s v="E320000282998"/>
    <n v="0"/>
    <n v="1"/>
    <n v="3593"/>
    <s v="3 BBB Jumbo Fresa/Cherry/Clear + 1 PQ Tipitin Besos"/>
    <n v="0"/>
    <n v="0"/>
    <s v="CONTADO                                           "/>
    <n v="13"/>
    <n v="6375852"/>
    <s v="Almacenes"/>
    <s v="General"/>
  </r>
  <r>
    <n v="109"/>
    <s v="A Grande"/>
    <n v="3"/>
    <n v="6375918"/>
    <s v="Tony Vallejo"/>
    <s v="Logistica y Distribucion"/>
    <n v="10204842"/>
    <d v="2026-05-21T00:00:00"/>
    <d v="2026-05-21T00:00:00"/>
    <n v="2026"/>
    <n v="5"/>
    <s v="T2"/>
    <n v="1"/>
    <s v="General"/>
    <s v="Santo Domnigo"/>
    <s v="NULL"/>
    <s v="NULL"/>
    <n v="21"/>
    <n v="21"/>
    <n v="2280"/>
    <n v="3"/>
    <s v="C002280"/>
    <s v="Mini Market Familiar"/>
    <s v="MINI MARKET"/>
    <s v="Miércoles"/>
    <s v="Miércoles"/>
    <n v="14"/>
    <x v="13"/>
    <s v="v101038"/>
    <x v="13"/>
    <n v="0.1"/>
    <n v="1"/>
    <n v="360.77"/>
    <n v="0"/>
    <n v="0"/>
    <n v="0"/>
    <n v="64.94"/>
    <n v="360.77"/>
    <n v="426"/>
    <n v="14"/>
    <s v="Bernabet Reyes"/>
    <s v="DN4"/>
    <n v="10"/>
    <n v="105"/>
    <s v="NOSOTRAS"/>
    <n v="677001"/>
    <s v="CUIDADO FEMENINO"/>
    <s v="Continental de Negocios"/>
    <s v="S5"/>
    <s v="Fernando Martinez  (DN)"/>
    <s v="P030"/>
    <s v="Distrito Nacional"/>
    <s v="E320000283062"/>
    <n v="0"/>
    <n v="0"/>
    <s v="NULL"/>
    <s v="NULL"/>
    <n v="0"/>
    <n v="0"/>
    <s v="CONTADO                                           "/>
    <n v="13"/>
    <n v="6375918"/>
    <s v="Almacenes"/>
    <s v="General"/>
  </r>
  <r>
    <n v="109"/>
    <s v="A Grande"/>
    <n v="3"/>
    <n v="6375918"/>
    <s v="Tony Vallejo"/>
    <s v="Logistica y Distribucion"/>
    <n v="10204842"/>
    <d v="2026-05-21T00:00:00"/>
    <d v="2026-05-21T00:00:00"/>
    <n v="2026"/>
    <n v="5"/>
    <s v="T2"/>
    <n v="1"/>
    <s v="General"/>
    <s v="Santo Domnigo"/>
    <s v="NULL"/>
    <s v="NULL"/>
    <n v="21"/>
    <n v="21"/>
    <n v="2280"/>
    <n v="3"/>
    <s v="C002280"/>
    <s v="Mini Market Familiar"/>
    <s v="MINI MARKET"/>
    <s v="Miércoles"/>
    <s v="Miércoles"/>
    <n v="14"/>
    <x v="44"/>
    <s v="V101026"/>
    <x v="44"/>
    <n v="1"/>
    <n v="36"/>
    <n v="32.729999999999997"/>
    <n v="0"/>
    <n v="0"/>
    <n v="0"/>
    <n v="212.09"/>
    <n v="1178.28"/>
    <n v="1390"/>
    <n v="14"/>
    <s v="Bernabet Reyes"/>
    <s v="DN4"/>
    <n v="10"/>
    <n v="136"/>
    <s v="NOSOTRAS DIARIOS"/>
    <n v="677001"/>
    <s v="CUIDADO FEMENINO"/>
    <s v="Continental de Negocios"/>
    <s v="S5"/>
    <s v="Fernando Martinez  (DN)"/>
    <s v="P030"/>
    <s v="Distrito Nacional"/>
    <s v="E320000283062"/>
    <n v="0"/>
    <n v="0"/>
    <s v="NULL"/>
    <s v="NULL"/>
    <n v="0"/>
    <n v="0"/>
    <s v="CONTADO                                           "/>
    <n v="13"/>
    <n v="6375918"/>
    <s v="Almacenes"/>
    <s v="General"/>
  </r>
  <r>
    <n v="109"/>
    <s v="A Grande"/>
    <n v="3"/>
    <n v="6375918"/>
    <s v="Tony Vallejo"/>
    <s v="Logistica y Distribucion"/>
    <n v="10204842"/>
    <d v="2026-05-21T00:00:00"/>
    <d v="2026-05-21T00:00:00"/>
    <n v="2026"/>
    <n v="5"/>
    <s v="T2"/>
    <n v="1"/>
    <s v="General"/>
    <s v="Santo Domnigo"/>
    <s v="NULL"/>
    <s v="NULL"/>
    <n v="21"/>
    <n v="21"/>
    <n v="2280"/>
    <n v="3"/>
    <s v="C002280"/>
    <s v="Mini Market Familiar"/>
    <s v="MINI MARKET"/>
    <s v="Miércoles"/>
    <s v="Miércoles"/>
    <n v="14"/>
    <x v="29"/>
    <s v="V101034"/>
    <x v="29"/>
    <n v="0.2"/>
    <n v="2"/>
    <n v="230.72"/>
    <n v="0"/>
    <n v="0"/>
    <n v="0"/>
    <n v="83.06"/>
    <n v="461.44"/>
    <n v="544"/>
    <n v="14"/>
    <s v="Bernabet Reyes"/>
    <s v="DN4"/>
    <n v="10"/>
    <n v="136"/>
    <s v="NOSOTRAS DIARIOS"/>
    <n v="677001"/>
    <s v="CUIDADO FEMENINO"/>
    <s v="Continental de Negocios"/>
    <s v="S5"/>
    <s v="Fernando Martinez  (DN)"/>
    <s v="P030"/>
    <s v="Distrito Nacional"/>
    <s v="E320000283062"/>
    <n v="0"/>
    <n v="0"/>
    <s v="NULL"/>
    <s v="NULL"/>
    <n v="0"/>
    <n v="0"/>
    <s v="CONTADO                                           "/>
    <n v="13"/>
    <n v="6375918"/>
    <s v="Almacenes"/>
    <s v="General"/>
  </r>
  <r>
    <n v="109"/>
    <s v="A Grande"/>
    <n v="3"/>
    <n v="6375918"/>
    <s v="Tony Vallejo"/>
    <s v="Logistica y Distribucion"/>
    <n v="10204842"/>
    <d v="2026-05-21T00:00:00"/>
    <d v="2026-05-21T00:00:00"/>
    <n v="2026"/>
    <n v="5"/>
    <s v="T2"/>
    <n v="1"/>
    <s v="General"/>
    <s v="Santo Domnigo"/>
    <s v="NULL"/>
    <s v="NULL"/>
    <n v="21"/>
    <n v="21"/>
    <n v="2280"/>
    <n v="3"/>
    <s v="C002280"/>
    <s v="Mini Market Familiar"/>
    <s v="MINI MARKET"/>
    <s v="Miércoles"/>
    <s v="Miércoles"/>
    <n v="14"/>
    <x v="71"/>
    <s v="v103202"/>
    <x v="71"/>
    <n v="1"/>
    <n v="12"/>
    <n v="96.76"/>
    <n v="0"/>
    <n v="0"/>
    <n v="0"/>
    <n v="209"/>
    <n v="1161.1199999999999"/>
    <n v="1370"/>
    <n v="14"/>
    <s v="Bernabet Reyes"/>
    <s v="DN4"/>
    <n v="10"/>
    <n v="107"/>
    <s v="FAMILIA"/>
    <n v="6770651"/>
    <s v="CUIDADO FAMILIAR"/>
    <s v="Continental de Negocios"/>
    <s v="S5"/>
    <s v="Fernando Martinez  (DN)"/>
    <s v="P030"/>
    <s v="Distrito Nacional"/>
    <s v="E320000283062"/>
    <n v="0"/>
    <n v="0"/>
    <s v="NULL"/>
    <s v="NULL"/>
    <n v="0"/>
    <n v="0"/>
    <s v="CONTADO                                           "/>
    <n v="13"/>
    <n v="6375918"/>
    <s v="Almacenes"/>
    <s v="General"/>
  </r>
  <r>
    <n v="109"/>
    <s v="A Grande"/>
    <n v="3"/>
    <n v="6375918"/>
    <s v="Tony Vallejo"/>
    <s v="Logistica y Distribucion"/>
    <n v="10204842"/>
    <d v="2026-05-21T00:00:00"/>
    <d v="2026-05-21T00:00:00"/>
    <n v="2026"/>
    <n v="5"/>
    <s v="T2"/>
    <n v="1"/>
    <s v="General"/>
    <s v="Santo Domnigo"/>
    <s v="NULL"/>
    <s v="NULL"/>
    <n v="21"/>
    <n v="21"/>
    <n v="2280"/>
    <n v="3"/>
    <s v="C002280"/>
    <s v="Mini Market Familiar"/>
    <s v="MINI MARKET"/>
    <s v="Miércoles"/>
    <s v="Miércoles"/>
    <n v="14"/>
    <x v="2"/>
    <s v="V621045"/>
    <x v="2"/>
    <n v="1"/>
    <n v="12"/>
    <n v="160.33000000000001"/>
    <n v="0"/>
    <n v="0"/>
    <n v="0"/>
    <n v="346.31"/>
    <n v="1923.96"/>
    <n v="2270"/>
    <n v="14"/>
    <s v="Bernabet Reyes"/>
    <s v="DN4"/>
    <n v="10"/>
    <n v="138"/>
    <s v="INSECTICIDAS"/>
    <n v="73101"/>
    <s v="INSECTICIDA BAIGON"/>
    <s v="Comercial Fila"/>
    <s v="S5"/>
    <s v="Fernando Martinez  (DN)"/>
    <s v="P030"/>
    <s v="Distrito Nacional"/>
    <s v="E320000283062"/>
    <n v="0"/>
    <n v="0"/>
    <s v="NULL"/>
    <s v="NULL"/>
    <n v="0"/>
    <n v="0"/>
    <s v="CONTADO                                           "/>
    <n v="13"/>
    <n v="6375918"/>
    <s v="Almacenes"/>
    <s v="General"/>
  </r>
  <r>
    <n v="109"/>
    <s v="A Grande"/>
    <n v="3"/>
    <n v="6375918"/>
    <s v="Tony Vallejo"/>
    <s v="Logistica y Distribucion"/>
    <n v="10204842"/>
    <d v="2026-05-21T00:00:00"/>
    <d v="2026-05-21T00:00:00"/>
    <n v="2026"/>
    <n v="5"/>
    <s v="T2"/>
    <n v="1"/>
    <s v="General"/>
    <s v="Santo Domnigo"/>
    <s v="NULL"/>
    <s v="NULL"/>
    <n v="21"/>
    <n v="21"/>
    <n v="2280"/>
    <n v="3"/>
    <s v="C002280"/>
    <s v="Mini Market Familiar"/>
    <s v="MINI MARKET"/>
    <s v="Miércoles"/>
    <s v="Miércoles"/>
    <n v="14"/>
    <x v="72"/>
    <s v="V621006"/>
    <x v="72"/>
    <n v="1"/>
    <n v="12"/>
    <n v="185"/>
    <n v="0"/>
    <n v="0"/>
    <n v="0"/>
    <n v="399.6"/>
    <n v="2220"/>
    <n v="2620"/>
    <n v="14"/>
    <s v="Bernabet Reyes"/>
    <s v="DN4"/>
    <n v="10"/>
    <n v="138"/>
    <s v="INSECTICIDAS"/>
    <n v="73102"/>
    <s v="INSECTICIDA RAID"/>
    <s v="Comercial Fila"/>
    <s v="S5"/>
    <s v="Fernando Martinez  (DN)"/>
    <s v="P030"/>
    <s v="Distrito Nacional"/>
    <s v="E320000283062"/>
    <n v="0"/>
    <n v="0"/>
    <s v="NULL"/>
    <s v="NULL"/>
    <n v="0"/>
    <n v="0"/>
    <s v="CONTADO                                           "/>
    <n v="13"/>
    <n v="6375918"/>
    <s v="Almacenes"/>
    <s v="General"/>
  </r>
  <r>
    <n v="109"/>
    <s v="A Grande"/>
    <n v="3"/>
    <n v="6375918"/>
    <s v="Tony Vallejo"/>
    <s v="Logistica y Distribucion"/>
    <n v="10204842"/>
    <d v="2026-05-21T00:00:00"/>
    <d v="2026-05-21T00:00:00"/>
    <n v="2026"/>
    <n v="5"/>
    <s v="T2"/>
    <n v="1"/>
    <s v="General"/>
    <s v="Santo Domnigo"/>
    <s v="NULL"/>
    <s v="NULL"/>
    <n v="21"/>
    <n v="21"/>
    <n v="2280"/>
    <n v="3"/>
    <s v="C002280"/>
    <s v="Mini Market Familiar"/>
    <s v="MINI MARKET"/>
    <s v="Miércoles"/>
    <s v="Miércoles"/>
    <n v="14"/>
    <x v="0"/>
    <s v="V621008"/>
    <x v="0"/>
    <n v="1"/>
    <n v="12"/>
    <n v="185"/>
    <n v="0"/>
    <n v="0"/>
    <n v="0"/>
    <n v="399.6"/>
    <n v="2220"/>
    <n v="2620"/>
    <n v="14"/>
    <s v="Bernabet Reyes"/>
    <s v="DN4"/>
    <n v="10"/>
    <n v="138"/>
    <s v="INSECTICIDAS"/>
    <n v="73102"/>
    <s v="INSECTICIDA RAID"/>
    <s v="Comercial Fila"/>
    <s v="S5"/>
    <s v="Fernando Martinez  (DN)"/>
    <s v="P030"/>
    <s v="Distrito Nacional"/>
    <s v="E320000283062"/>
    <n v="0"/>
    <n v="0"/>
    <s v="NULL"/>
    <s v="NULL"/>
    <n v="0"/>
    <n v="0"/>
    <s v="CONTADO                                           "/>
    <n v="13"/>
    <n v="6375918"/>
    <s v="Almacenes"/>
    <s v="General"/>
  </r>
  <r>
    <n v="125"/>
    <s v="A Grande"/>
    <n v="3"/>
    <n v="6376077"/>
    <s v="Juan Rosario"/>
    <s v="Logistica y Distribucion"/>
    <n v="10205001"/>
    <d v="2026-05-21T00:00:00"/>
    <d v="2026-05-21T00:00:00"/>
    <n v="2026"/>
    <n v="5"/>
    <s v="T2"/>
    <n v="1"/>
    <s v="General"/>
    <s v="Santo Domnigo"/>
    <s v="NULL"/>
    <s v="NULL"/>
    <n v="21"/>
    <n v="21"/>
    <n v="36908"/>
    <n v="3"/>
    <s v="c036908"/>
    <s v="Asociacion De Detallistas Unidos De Mendoza"/>
    <s v="SUPERMERCADO"/>
    <s v="Miércoles"/>
    <s v="Miércoles"/>
    <n v="11"/>
    <x v="61"/>
    <s v="V101130"/>
    <x v="61"/>
    <n v="8.8888888888879997E-2"/>
    <n v="16"/>
    <n v="0"/>
    <n v="0"/>
    <n v="0"/>
    <n v="0"/>
    <n v="0"/>
    <n v="0"/>
    <n v="0"/>
    <n v="11"/>
    <s v="Yeuri Montaño"/>
    <s v="SDE1"/>
    <n v="10"/>
    <n v="111"/>
    <s v="Ofertas de Temporada"/>
    <n v="677001"/>
    <s v="CUIDADO FEMENINO"/>
    <s v="Continental de Negocios"/>
    <s v="S1"/>
    <s v="Ramon E. Pimentel (SDE)"/>
    <s v="P027"/>
    <s v="Santo Domingo Este"/>
    <s v="E320000283215"/>
    <n v="0"/>
    <n v="1"/>
    <n v="3600"/>
    <s v="Oferta Nosotras 2 Displays + 4/16"/>
    <n v="0"/>
    <n v="0"/>
    <s v="CONTADO                                           "/>
    <n v="13"/>
    <n v="6376077"/>
    <s v="Almacenes"/>
    <s v="General"/>
  </r>
  <r>
    <n v="125"/>
    <s v="A Grande"/>
    <n v="3"/>
    <n v="6376077"/>
    <s v="Juan Rosario"/>
    <s v="Logistica y Distribucion"/>
    <n v="10205001"/>
    <d v="2026-05-21T00:00:00"/>
    <d v="2026-05-21T00:00:00"/>
    <n v="2026"/>
    <n v="5"/>
    <s v="T2"/>
    <n v="1"/>
    <s v="General"/>
    <s v="Santo Domnigo"/>
    <s v="NULL"/>
    <s v="NULL"/>
    <n v="21"/>
    <n v="21"/>
    <n v="36908"/>
    <n v="3"/>
    <s v="c036908"/>
    <s v="Asociacion De Detallistas Unidos De Mendoza"/>
    <s v="SUPERMERCADO"/>
    <s v="Miércoles"/>
    <s v="Miércoles"/>
    <n v="11"/>
    <x v="19"/>
    <s v="V800089"/>
    <x v="19"/>
    <n v="1"/>
    <n v="8"/>
    <n v="357.12"/>
    <n v="0"/>
    <n v="0"/>
    <n v="0"/>
    <n v="514.25"/>
    <n v="2856.96"/>
    <n v="3371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283215"/>
    <n v="0"/>
    <n v="0"/>
    <s v="NULL"/>
    <s v="NULL"/>
    <n v="0"/>
    <n v="0"/>
    <s v="CONTADO                                           "/>
    <n v="13"/>
    <n v="6376077"/>
    <s v="Almacenes"/>
    <s v="General"/>
  </r>
  <r>
    <n v="125"/>
    <s v="A Grande"/>
    <n v="3"/>
    <n v="6376077"/>
    <s v="Juan Rosario"/>
    <s v="Logistica y Distribucion"/>
    <n v="10205001"/>
    <d v="2026-05-21T00:00:00"/>
    <d v="2026-05-21T00:00:00"/>
    <n v="2026"/>
    <n v="5"/>
    <s v="T2"/>
    <n v="1"/>
    <s v="General"/>
    <s v="Santo Domnigo"/>
    <s v="NULL"/>
    <s v="NULL"/>
    <n v="21"/>
    <n v="21"/>
    <n v="36908"/>
    <n v="3"/>
    <s v="c036908"/>
    <s v="Asociacion De Detallistas Unidos De Mendoza"/>
    <s v="SUPERMERCADO"/>
    <s v="Miércoles"/>
    <s v="Miércoles"/>
    <n v="11"/>
    <x v="14"/>
    <s v="V800088"/>
    <x v="14"/>
    <n v="1"/>
    <n v="8"/>
    <n v="357.12"/>
    <n v="0"/>
    <n v="0"/>
    <n v="0"/>
    <n v="514.25"/>
    <n v="2856.96"/>
    <n v="3371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283215"/>
    <n v="0"/>
    <n v="0"/>
    <s v="NULL"/>
    <s v="NULL"/>
    <n v="0"/>
    <n v="0"/>
    <s v="CONTADO                                           "/>
    <n v="13"/>
    <n v="6376077"/>
    <s v="Almacenes"/>
    <s v="General"/>
  </r>
  <r>
    <n v="125"/>
    <s v="A Grande"/>
    <n v="3"/>
    <n v="6376077"/>
    <s v="Juan Rosario"/>
    <s v="Logistica y Distribucion"/>
    <n v="10205001"/>
    <d v="2026-05-21T00:00:00"/>
    <d v="2026-05-21T00:00:00"/>
    <n v="2026"/>
    <n v="5"/>
    <s v="T2"/>
    <n v="1"/>
    <s v="General"/>
    <s v="Santo Domnigo"/>
    <s v="NULL"/>
    <s v="NULL"/>
    <n v="21"/>
    <n v="21"/>
    <n v="36908"/>
    <n v="3"/>
    <s v="c036908"/>
    <s v="Asociacion De Detallistas Unidos De Mendoza"/>
    <s v="SUPERMERCADO"/>
    <s v="Miércoles"/>
    <s v="Miércoles"/>
    <n v="11"/>
    <x v="9"/>
    <s v="V201001"/>
    <x v="9"/>
    <n v="100"/>
    <n v="100"/>
    <n v="208.37"/>
    <n v="0"/>
    <n v="0"/>
    <n v="0"/>
    <n v="3750.66"/>
    <n v="20837"/>
    <n v="24588"/>
    <n v="11"/>
    <s v="Yeuri Montaño"/>
    <s v="SDE1"/>
    <n v="10"/>
    <n v="113"/>
    <s v="REFISAL"/>
    <n v="82101"/>
    <s v="REFISAL PACA"/>
    <s v="Brinsa Dominicana"/>
    <s v="S1"/>
    <s v="Ramon E. Pimentel (SDE)"/>
    <s v="P027"/>
    <s v="Santo Domingo Este"/>
    <s v="E320000283215"/>
    <n v="0"/>
    <n v="0"/>
    <s v="NULL"/>
    <s v="NULL"/>
    <n v="0"/>
    <n v="0"/>
    <s v="CONTADO                                           "/>
    <n v="13"/>
    <n v="6376077"/>
    <s v="Almacenes"/>
    <s v="General"/>
  </r>
  <r>
    <n v="125"/>
    <s v="A Grande"/>
    <n v="3"/>
    <n v="6376077"/>
    <s v="Juan Rosario"/>
    <s v="Logistica y Distribucion"/>
    <n v="10205001"/>
    <d v="2026-05-21T00:00:00"/>
    <d v="2026-05-21T00:00:00"/>
    <n v="2026"/>
    <n v="5"/>
    <s v="T2"/>
    <n v="1"/>
    <s v="General"/>
    <s v="Santo Domnigo"/>
    <s v="NULL"/>
    <s v="NULL"/>
    <n v="21"/>
    <n v="21"/>
    <n v="36908"/>
    <n v="3"/>
    <s v="c036908"/>
    <s v="Asociacion De Detallistas Unidos De Mendoza"/>
    <s v="SUPERMERCADO"/>
    <s v="Miércoles"/>
    <s v="Miércoles"/>
    <n v="11"/>
    <x v="13"/>
    <s v="v101038"/>
    <x v="13"/>
    <n v="2"/>
    <n v="20"/>
    <n v="357.12"/>
    <n v="0"/>
    <n v="0"/>
    <n v="0"/>
    <n v="1285.6300000000001"/>
    <n v="7142.4"/>
    <n v="8428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283215"/>
    <n v="0"/>
    <n v="0"/>
    <s v="NULL"/>
    <s v="NULL"/>
    <n v="0"/>
    <n v="0"/>
    <s v="CONTADO                                           "/>
    <n v="13"/>
    <n v="6376077"/>
    <s v="Almacenes"/>
    <s v="General"/>
  </r>
  <r>
    <n v="125"/>
    <s v="A Grande"/>
    <n v="3"/>
    <n v="6376107"/>
    <s v="Juan Rosario"/>
    <s v="Logistica y Distribucion"/>
    <n v="10205031"/>
    <d v="2026-05-21T00:00:00"/>
    <d v="2026-05-21T00:00:00"/>
    <n v="2026"/>
    <n v="5"/>
    <s v="T2"/>
    <n v="1"/>
    <s v="General"/>
    <s v="Santo Domnigo"/>
    <s v="NULL"/>
    <s v="NULL"/>
    <n v="21"/>
    <n v="21"/>
    <n v="36908"/>
    <n v="3"/>
    <s v="c036908"/>
    <s v="Asociacion De Detallistas Unidos De Mendoza"/>
    <s v="SUPERMERCADO"/>
    <s v="Miércoles"/>
    <s v="Miércoles"/>
    <n v="11"/>
    <x v="14"/>
    <s v="V800088"/>
    <x v="14"/>
    <n v="1"/>
    <n v="8"/>
    <n v="364.41"/>
    <n v="0"/>
    <n v="0"/>
    <n v="0"/>
    <n v="524.75"/>
    <n v="2915.28"/>
    <n v="3440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283244"/>
    <n v="0"/>
    <n v="0"/>
    <s v="NULL"/>
    <s v="NULL"/>
    <n v="0"/>
    <n v="0"/>
    <s v="CONTADO                                           "/>
    <n v="13"/>
    <n v="6376107"/>
    <s v="Almacenes"/>
    <s v="General"/>
  </r>
  <r>
    <n v="125"/>
    <s v="A Grande"/>
    <n v="3"/>
    <n v="6376107"/>
    <s v="Juan Rosario"/>
    <s v="Logistica y Distribucion"/>
    <n v="10205031"/>
    <d v="2026-05-21T00:00:00"/>
    <d v="2026-05-21T00:00:00"/>
    <n v="2026"/>
    <n v="5"/>
    <s v="T2"/>
    <n v="1"/>
    <s v="General"/>
    <s v="Santo Domnigo"/>
    <s v="NULL"/>
    <s v="NULL"/>
    <n v="21"/>
    <n v="21"/>
    <n v="36908"/>
    <n v="3"/>
    <s v="c036908"/>
    <s v="Asociacion De Detallistas Unidos De Mendoza"/>
    <s v="SUPERMERCADO"/>
    <s v="Miércoles"/>
    <s v="Miércoles"/>
    <n v="11"/>
    <x v="19"/>
    <s v="V800089"/>
    <x v="19"/>
    <n v="1"/>
    <n v="8"/>
    <n v="364.41"/>
    <n v="0"/>
    <n v="0"/>
    <n v="0"/>
    <n v="524.75"/>
    <n v="2915.28"/>
    <n v="3440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283244"/>
    <n v="0"/>
    <n v="0"/>
    <s v="NULL"/>
    <s v="NULL"/>
    <n v="0"/>
    <n v="0"/>
    <s v="CONTADO                                           "/>
    <n v="13"/>
    <n v="6376107"/>
    <s v="Almacenes"/>
    <s v="General"/>
  </r>
  <r>
    <n v="125"/>
    <s v="A Grande"/>
    <n v="3"/>
    <n v="6376107"/>
    <s v="Juan Rosario"/>
    <s v="Logistica y Distribucion"/>
    <n v="10205031"/>
    <d v="2026-05-21T00:00:00"/>
    <d v="2026-05-21T00:00:00"/>
    <n v="2026"/>
    <n v="5"/>
    <s v="T2"/>
    <n v="1"/>
    <s v="General"/>
    <s v="Santo Domnigo"/>
    <s v="NULL"/>
    <s v="NULL"/>
    <n v="21"/>
    <n v="21"/>
    <n v="36908"/>
    <n v="3"/>
    <s v="c036908"/>
    <s v="Asociacion De Detallistas Unidos De Mendoza"/>
    <s v="SUPERMERCADO"/>
    <s v="Miércoles"/>
    <s v="Miércoles"/>
    <n v="11"/>
    <x v="61"/>
    <s v="V101130"/>
    <x v="61"/>
    <n v="8.8888888888879997E-2"/>
    <n v="16"/>
    <n v="0"/>
    <n v="0"/>
    <n v="0"/>
    <n v="0"/>
    <n v="0"/>
    <n v="0"/>
    <n v="0"/>
    <n v="11"/>
    <s v="Yeuri Montaño"/>
    <s v="SDE1"/>
    <n v="10"/>
    <n v="111"/>
    <s v="Ofertas de Temporada"/>
    <n v="677001"/>
    <s v="CUIDADO FEMENINO"/>
    <s v="Continental de Negocios"/>
    <s v="S1"/>
    <s v="Ramon E. Pimentel (SDE)"/>
    <s v="P027"/>
    <s v="Santo Domingo Este"/>
    <s v="E320000283244"/>
    <n v="0"/>
    <n v="1"/>
    <n v="3600"/>
    <s v="Oferta Nosotras 2 Displays + 4/16"/>
    <n v="0"/>
    <n v="0"/>
    <s v="CONTADO                                           "/>
    <n v="13"/>
    <n v="6376107"/>
    <s v="Almacenes"/>
    <s v="General"/>
  </r>
  <r>
    <n v="223"/>
    <s v="A Grande"/>
    <n v="3"/>
    <n v="6380348"/>
    <s v="Martin Figueroa"/>
    <s v="Logistica y Distribucion"/>
    <n v="10209272"/>
    <d v="2026-05-25T00:00:00"/>
    <d v="2026-05-25T00:00:00"/>
    <n v="2026"/>
    <n v="5"/>
    <s v="T2"/>
    <n v="1"/>
    <s v="General"/>
    <s v="Santo Domnigo"/>
    <s v="NULL"/>
    <s v="NULL"/>
    <n v="22"/>
    <n v="25"/>
    <n v="14167"/>
    <n v="3"/>
    <s v="C014167"/>
    <s v="Mini Market Galvan"/>
    <s v="MINI MARKET"/>
    <s v="Lunes"/>
    <s v="Lunes"/>
    <n v="91"/>
    <x v="73"/>
    <s v="V960102"/>
    <x v="73"/>
    <n v="1"/>
    <n v="50"/>
    <n v="46.51"/>
    <n v="0"/>
    <n v="0"/>
    <n v="0"/>
    <n v="418.59"/>
    <n v="2325.5"/>
    <n v="2744"/>
    <n v="91"/>
    <s v="Enrrique Morillo (DN)"/>
    <s v="DN6"/>
    <n v="10"/>
    <n v="277"/>
    <s v="ILUMINACION"/>
    <n v="856801"/>
    <s v="USO DOMESTICO"/>
    <s v="AMPOULE"/>
    <s v="S5"/>
    <s v="Fernando Martinez  (DN)"/>
    <s v="DN013"/>
    <s v="Distrito Nacional"/>
    <s v="E320000287635"/>
    <n v="0"/>
    <n v="0"/>
    <s v="NULL"/>
    <s v="NULL"/>
    <n v="0"/>
    <n v="0"/>
    <s v="CONTADO                                           "/>
    <n v="13"/>
    <n v="6380348"/>
    <s v="Almacenes"/>
    <s v="General"/>
  </r>
  <r>
    <n v="119"/>
    <s v="A Grande"/>
    <n v="3"/>
    <n v="6381807"/>
    <s v="Mario Jose Martinez"/>
    <s v="Logistica y Distribucion"/>
    <n v="10210731"/>
    <d v="2026-05-26T00:00:00"/>
    <d v="2026-05-26T00:00:00"/>
    <n v="2026"/>
    <n v="5"/>
    <s v="T2"/>
    <n v="1"/>
    <s v="General"/>
    <s v="Santo Domnigo"/>
    <s v="NULL"/>
    <s v="NULL"/>
    <n v="22"/>
    <n v="26"/>
    <n v="36908"/>
    <n v="3"/>
    <s v="c036908"/>
    <s v="Asociacion De Detallistas Unidos De Mendoza"/>
    <s v="SUPERMERCADO"/>
    <s v="Miércoles"/>
    <s v="Miércoles"/>
    <n v="11"/>
    <x v="9"/>
    <s v="V201001"/>
    <x v="9"/>
    <n v="10"/>
    <n v="10"/>
    <n v="221.67"/>
    <n v="0"/>
    <n v="0"/>
    <n v="0"/>
    <n v="399.01"/>
    <n v="2216.6999999999998"/>
    <n v="2616"/>
    <n v="11"/>
    <s v="Yeuri Montaño"/>
    <s v="SDE1"/>
    <n v="10"/>
    <n v="113"/>
    <s v="REFISAL"/>
    <n v="82101"/>
    <s v="REFISAL PACA"/>
    <s v="Brinsa Dominicana"/>
    <s v="S1"/>
    <s v="Ramon E. Pimentel (SDE)"/>
    <s v="P027"/>
    <s v="Santo Domingo Este"/>
    <s v="E320000289048"/>
    <n v="0"/>
    <n v="0"/>
    <s v="NULL"/>
    <s v="NULL"/>
    <n v="0"/>
    <n v="0"/>
    <s v="CONTADO                                           "/>
    <n v="13"/>
    <n v="6381807"/>
    <s v="Almacenes"/>
    <s v="General"/>
  </r>
  <r>
    <n v="109"/>
    <s v="A Grande"/>
    <n v="3"/>
    <n v="6382073"/>
    <s v="Tony Vallejo"/>
    <s v="Logistica y Distribucion"/>
    <n v="10210997"/>
    <d v="2026-05-26T00:00:00"/>
    <d v="2026-05-26T00:00:00"/>
    <n v="2026"/>
    <n v="5"/>
    <s v="T2"/>
    <n v="1"/>
    <s v="General"/>
    <s v="Santo Domnigo"/>
    <s v="NULL"/>
    <s v="NULL"/>
    <n v="22"/>
    <n v="26"/>
    <n v="29579"/>
    <n v="3"/>
    <s v="C029579"/>
    <s v="Mini Market  Shairelys"/>
    <s v="MINI MARKET"/>
    <s v="Viernes"/>
    <s v="Viernes"/>
    <n v="60"/>
    <x v="14"/>
    <s v="V800088"/>
    <x v="14"/>
    <n v="1"/>
    <n v="8"/>
    <n v="364.41"/>
    <n v="0"/>
    <n v="0"/>
    <n v="0"/>
    <n v="524.75"/>
    <n v="2915.28"/>
    <n v="3440"/>
    <n v="60"/>
    <s v="Martina Ramirez"/>
    <s v="DN5"/>
    <n v="10"/>
    <n v="105"/>
    <s v="NOSOTRAS"/>
    <n v="677001"/>
    <s v="CUIDADO FEMENINO"/>
    <s v="Continental de Negocios"/>
    <s v="S5"/>
    <s v="Fernando Martinez  (DN)"/>
    <s v="P002"/>
    <s v="Distrito Nacional"/>
    <s v="E310000025453"/>
    <n v="0"/>
    <n v="0"/>
    <s v="NULL"/>
    <s v="NULL"/>
    <n v="0"/>
    <n v="0"/>
    <s v="CONTADO                                           "/>
    <n v="13"/>
    <n v="6382073"/>
    <s v="Almacenes"/>
    <s v="General"/>
  </r>
  <r>
    <n v="109"/>
    <s v="A Grande"/>
    <n v="3"/>
    <n v="6382073"/>
    <s v="Tony Vallejo"/>
    <s v="Logistica y Distribucion"/>
    <n v="10210997"/>
    <d v="2026-05-26T00:00:00"/>
    <d v="2026-05-26T00:00:00"/>
    <n v="2026"/>
    <n v="5"/>
    <s v="T2"/>
    <n v="1"/>
    <s v="General"/>
    <s v="Santo Domnigo"/>
    <s v="NULL"/>
    <s v="NULL"/>
    <n v="22"/>
    <n v="26"/>
    <n v="29579"/>
    <n v="3"/>
    <s v="C029579"/>
    <s v="Mini Market  Shairelys"/>
    <s v="MINI MARKET"/>
    <s v="Viernes"/>
    <s v="Viernes"/>
    <n v="60"/>
    <x v="13"/>
    <s v="v101038"/>
    <x v="13"/>
    <n v="1"/>
    <n v="10"/>
    <n v="364.41"/>
    <n v="0"/>
    <n v="0"/>
    <n v="0"/>
    <n v="655.94"/>
    <n v="3644.1"/>
    <n v="4300"/>
    <n v="60"/>
    <s v="Martina Ramirez"/>
    <s v="DN5"/>
    <n v="10"/>
    <n v="105"/>
    <s v="NOSOTRAS"/>
    <n v="677001"/>
    <s v="CUIDADO FEMENINO"/>
    <s v="Continental de Negocios"/>
    <s v="S5"/>
    <s v="Fernando Martinez  (DN)"/>
    <s v="P002"/>
    <s v="Distrito Nacional"/>
    <s v="E310000025453"/>
    <n v="0"/>
    <n v="0"/>
    <s v="NULL"/>
    <s v="NULL"/>
    <n v="0"/>
    <n v="0"/>
    <s v="CONTADO                                           "/>
    <n v="13"/>
    <n v="6382073"/>
    <s v="Almacenes"/>
    <s v="General"/>
  </r>
  <r>
    <n v="109"/>
    <s v="A Grande"/>
    <n v="3"/>
    <n v="6382073"/>
    <s v="Tony Vallejo"/>
    <s v="Logistica y Distribucion"/>
    <n v="10210997"/>
    <d v="2026-05-26T00:00:00"/>
    <d v="2026-05-26T00:00:00"/>
    <n v="2026"/>
    <n v="5"/>
    <s v="T2"/>
    <n v="1"/>
    <s v="General"/>
    <s v="Santo Domnigo"/>
    <s v="NULL"/>
    <s v="NULL"/>
    <n v="22"/>
    <n v="26"/>
    <n v="29579"/>
    <n v="3"/>
    <s v="C029579"/>
    <s v="Mini Market  Shairelys"/>
    <s v="MINI MARKET"/>
    <s v="Viernes"/>
    <s v="Viernes"/>
    <n v="60"/>
    <x v="61"/>
    <s v="V101130"/>
    <x v="61"/>
    <n v="8.8888888888879997E-2"/>
    <n v="16"/>
    <n v="0"/>
    <n v="0"/>
    <n v="0"/>
    <n v="0"/>
    <n v="0"/>
    <n v="0"/>
    <n v="0"/>
    <n v="60"/>
    <s v="Martina Ramirez"/>
    <s v="DN5"/>
    <n v="10"/>
    <n v="111"/>
    <s v="Ofertas de Temporada"/>
    <n v="677001"/>
    <s v="CUIDADO FEMENINO"/>
    <s v="Continental de Negocios"/>
    <s v="S5"/>
    <s v="Fernando Martinez  (DN)"/>
    <s v="P002"/>
    <s v="Distrito Nacional"/>
    <s v="E310000025453"/>
    <n v="0"/>
    <n v="1"/>
    <n v="3604"/>
    <s v="Oferta Nosotras 2 Displays + 4/8//16"/>
    <n v="0"/>
    <n v="0"/>
    <s v="CONTADO                                           "/>
    <n v="13"/>
    <n v="6382073"/>
    <s v="Almacenes"/>
    <s v="General"/>
  </r>
  <r>
    <n v="223"/>
    <s v="A Grande"/>
    <n v="3"/>
    <n v="6382145"/>
    <s v="Martin Figueroa"/>
    <s v="Logistica y Distribucion"/>
    <n v="10211069"/>
    <d v="2026-05-26T00:00:00"/>
    <d v="2026-05-26T00:00:00"/>
    <n v="2026"/>
    <n v="5"/>
    <s v="T2"/>
    <n v="1"/>
    <s v="Alimentos - Espejo"/>
    <s v="Santo Domnigo"/>
    <s v="NULL"/>
    <s v="NULL"/>
    <n v="22"/>
    <n v="26"/>
    <n v="12191"/>
    <n v="3"/>
    <s v="C012191"/>
    <s v="Super Mercado La Ballena"/>
    <s v="SUPERMERCADO"/>
    <s v="Lunes"/>
    <s v="Lunes"/>
    <n v="91"/>
    <x v="1"/>
    <s v="V930021"/>
    <x v="1"/>
    <n v="6.25E-2"/>
    <n v="1"/>
    <n v="91.09"/>
    <n v="0"/>
    <n v="0"/>
    <n v="0"/>
    <n v="16.399999999999999"/>
    <n v="91.09"/>
    <n v="107"/>
    <n v="91"/>
    <s v="Enrrique Morillo (DN)"/>
    <s v="DN6"/>
    <n v="10"/>
    <n v="208"/>
    <s v="CARAMELOS DUROS"/>
    <n v="0"/>
    <s v="NULL"/>
    <s v="COLOMBINA"/>
    <s v="S5"/>
    <s v="Fernando Martinez  (DN)"/>
    <s v="DN013"/>
    <s v="Distrito Nacional"/>
    <s v="E320000289372"/>
    <n v="0"/>
    <n v="0"/>
    <s v="NULL"/>
    <s v="NULL"/>
    <n v="0"/>
    <n v="0"/>
    <s v="CONTADO                                           "/>
    <n v="13"/>
    <n v="6382145"/>
    <s v="Almacenes"/>
    <s v="General"/>
  </r>
  <r>
    <n v="223"/>
    <s v="A Grande"/>
    <n v="3"/>
    <n v="6382145"/>
    <s v="Martin Figueroa"/>
    <s v="Logistica y Distribucion"/>
    <n v="10211069"/>
    <d v="2026-05-26T00:00:00"/>
    <d v="2026-05-26T00:00:00"/>
    <n v="2026"/>
    <n v="5"/>
    <s v="T2"/>
    <n v="1"/>
    <s v="General"/>
    <s v="Santo Domnigo"/>
    <s v="NULL"/>
    <s v="NULL"/>
    <n v="22"/>
    <n v="26"/>
    <n v="12191"/>
    <n v="3"/>
    <s v="C012191"/>
    <s v="Super Mercado La Ballena"/>
    <s v="SUPERMERCADO"/>
    <s v="Lunes"/>
    <s v="Lunes"/>
    <n v="91"/>
    <x v="9"/>
    <s v="V201001"/>
    <x v="9"/>
    <n v="5"/>
    <n v="5"/>
    <n v="221.67"/>
    <n v="0"/>
    <n v="0"/>
    <n v="0"/>
    <n v="199.5"/>
    <n v="1108.3499999999999"/>
    <n v="1308"/>
    <n v="91"/>
    <s v="Enrrique Morillo (DN)"/>
    <s v="DN6"/>
    <n v="10"/>
    <n v="113"/>
    <s v="REFISAL"/>
    <n v="82101"/>
    <s v="REFISAL PACA"/>
    <s v="Brinsa Dominicana"/>
    <s v="S5"/>
    <s v="Fernando Martinez  (DN)"/>
    <s v="DN013"/>
    <s v="Distrito Nacional"/>
    <s v="E320000289372"/>
    <n v="0"/>
    <n v="0"/>
    <s v="NULL"/>
    <s v="NULL"/>
    <n v="0"/>
    <n v="0"/>
    <s v="CONTADO                                           "/>
    <n v="13"/>
    <n v="6382145"/>
    <s v="Almacenes"/>
    <s v="General"/>
  </r>
  <r>
    <n v="119"/>
    <s v="A Grande"/>
    <n v="3"/>
    <n v="6384904"/>
    <s v="Mario Jose Martinez"/>
    <s v="Logistica y Distribucion"/>
    <n v="10213828"/>
    <d v="2026-05-28T00:00:00"/>
    <d v="2026-05-28T00:00:00"/>
    <n v="2026"/>
    <n v="5"/>
    <s v="T2"/>
    <n v="1"/>
    <s v="General"/>
    <s v="Santo Domnigo"/>
    <s v="NULL"/>
    <s v="NULL"/>
    <n v="22"/>
    <n v="28"/>
    <n v="36908"/>
    <n v="3"/>
    <s v="c036908"/>
    <s v="Asociacion De Detallistas Unidos De Mendoza"/>
    <s v="SUPERMERCADO"/>
    <s v="Miércoles"/>
    <s v="Miércoles"/>
    <n v="11"/>
    <x v="9"/>
    <s v="V201001"/>
    <x v="9"/>
    <n v="5"/>
    <n v="5"/>
    <n v="221.67"/>
    <n v="0"/>
    <n v="0"/>
    <n v="0"/>
    <n v="199.5"/>
    <n v="1108.3499999999999"/>
    <n v="1308"/>
    <n v="11"/>
    <s v="Yeuri Montaño"/>
    <s v="SDE1"/>
    <n v="10"/>
    <n v="113"/>
    <s v="REFISAL"/>
    <n v="82101"/>
    <s v="REFISAL PACA"/>
    <s v="Brinsa Dominicana"/>
    <s v="S1"/>
    <s v="Ramon E. Pimentel (SDE)"/>
    <s v="P027"/>
    <s v="Santo Domingo Este"/>
    <s v="E320000292037"/>
    <n v="0"/>
    <n v="0"/>
    <s v="NULL"/>
    <s v="NULL"/>
    <n v="0"/>
    <n v="0"/>
    <s v="CONTADO                                           "/>
    <n v="13"/>
    <n v="6384904"/>
    <s v="Almacenes"/>
    <s v="General"/>
  </r>
  <r>
    <n v="109"/>
    <s v="A Grande"/>
    <n v="3"/>
    <n v="6384981"/>
    <s v="Tony Vallejo"/>
    <s v="Logistica y Distribucion"/>
    <n v="10213905"/>
    <d v="2026-05-28T00:00:00"/>
    <d v="2026-05-28T00:00:00"/>
    <n v="2026"/>
    <n v="5"/>
    <s v="T2"/>
    <n v="1"/>
    <s v="General"/>
    <s v="Santo Domnigo"/>
    <s v="NULL"/>
    <s v="NULL"/>
    <n v="22"/>
    <n v="28"/>
    <n v="2280"/>
    <n v="3"/>
    <s v="C002280"/>
    <s v="Mini Market Familiar"/>
    <s v="MINI MARKET"/>
    <s v="Miércoles"/>
    <s v="Miércoles"/>
    <n v="14"/>
    <x v="4"/>
    <s v="V611052"/>
    <x v="4"/>
    <n v="1"/>
    <n v="24"/>
    <n v="20"/>
    <n v="0"/>
    <n v="0"/>
    <n v="0"/>
    <n v="86.4"/>
    <n v="480"/>
    <n v="566"/>
    <n v="14"/>
    <s v="Bernabet Reyes"/>
    <s v="DN4"/>
    <n v="10"/>
    <n v="114"/>
    <s v="BLANCOX"/>
    <n v="66102"/>
    <s v="BLANCOX BOTELLA"/>
    <s v="Brinsa Dominicana"/>
    <s v="S5"/>
    <s v="Fernando Martinez  (DN)"/>
    <s v="P030"/>
    <s v="Distrito Nacional"/>
    <s v="E320000292114"/>
    <n v="0"/>
    <n v="0"/>
    <s v="NULL"/>
    <s v="NULL"/>
    <n v="0"/>
    <n v="0"/>
    <s v="CONTADO                                           "/>
    <n v="13"/>
    <n v="6384981"/>
    <s v="Almacenes"/>
    <s v="General"/>
  </r>
  <r>
    <n v="109"/>
    <s v="A Grande"/>
    <n v="3"/>
    <n v="6384981"/>
    <s v="Tony Vallejo"/>
    <s v="Logistica y Distribucion"/>
    <n v="10213905"/>
    <d v="2026-05-28T00:00:00"/>
    <d v="2026-05-28T00:00:00"/>
    <n v="2026"/>
    <n v="5"/>
    <s v="T2"/>
    <n v="1"/>
    <s v="General"/>
    <s v="Santo Domnigo"/>
    <s v="NULL"/>
    <s v="NULL"/>
    <n v="22"/>
    <n v="28"/>
    <n v="2280"/>
    <n v="3"/>
    <s v="C002280"/>
    <s v="Mini Market Familiar"/>
    <s v="MINI MARKET"/>
    <s v="Miércoles"/>
    <s v="Miércoles"/>
    <n v="14"/>
    <x v="5"/>
    <s v="V611053"/>
    <x v="5"/>
    <n v="1"/>
    <n v="24"/>
    <n v="20"/>
    <n v="0"/>
    <n v="0"/>
    <n v="0"/>
    <n v="86.4"/>
    <n v="480"/>
    <n v="566"/>
    <n v="14"/>
    <s v="Bernabet Reyes"/>
    <s v="DN4"/>
    <n v="10"/>
    <n v="114"/>
    <s v="BLANCOX"/>
    <n v="66102"/>
    <s v="BLANCOX BOTELLA"/>
    <s v="Brinsa Dominicana"/>
    <s v="S5"/>
    <s v="Fernando Martinez  (DN)"/>
    <s v="P030"/>
    <s v="Distrito Nacional"/>
    <s v="E320000292114"/>
    <n v="0"/>
    <n v="0"/>
    <s v="NULL"/>
    <s v="NULL"/>
    <n v="0"/>
    <n v="0"/>
    <s v="CONTADO                                           "/>
    <n v="13"/>
    <n v="6384981"/>
    <s v="Almacenes"/>
    <s v="General"/>
  </r>
  <r>
    <n v="109"/>
    <s v="A Grande"/>
    <n v="3"/>
    <n v="6384981"/>
    <s v="Tony Vallejo"/>
    <s v="Logistica y Distribucion"/>
    <n v="10213905"/>
    <d v="2026-05-28T00:00:00"/>
    <d v="2026-05-28T00:00:00"/>
    <n v="2026"/>
    <n v="5"/>
    <s v="T2"/>
    <n v="1"/>
    <s v="General"/>
    <s v="Santo Domnigo"/>
    <s v="NULL"/>
    <s v="NULL"/>
    <n v="22"/>
    <n v="28"/>
    <n v="2280"/>
    <n v="3"/>
    <s v="C002280"/>
    <s v="Mini Market Familiar"/>
    <s v="MINI MARKET"/>
    <s v="Miércoles"/>
    <s v="Miércoles"/>
    <n v="14"/>
    <x v="0"/>
    <s v="V621008"/>
    <x v="0"/>
    <n v="1"/>
    <n v="12"/>
    <n v="186.87"/>
    <n v="0"/>
    <n v="0"/>
    <n v="0"/>
    <n v="403.64"/>
    <n v="2242.44"/>
    <n v="2646"/>
    <n v="14"/>
    <s v="Bernabet Reyes"/>
    <s v="DN4"/>
    <n v="10"/>
    <n v="138"/>
    <s v="INSECTICIDAS"/>
    <n v="73102"/>
    <s v="INSECTICIDA RAID"/>
    <s v="Comercial Fila"/>
    <s v="S5"/>
    <s v="Fernando Martinez  (DN)"/>
    <s v="P030"/>
    <s v="Distrito Nacional"/>
    <s v="E320000292114"/>
    <n v="0"/>
    <n v="0"/>
    <s v="NULL"/>
    <s v="NULL"/>
    <n v="0"/>
    <n v="0"/>
    <s v="CONTADO                                           "/>
    <n v="13"/>
    <n v="6384981"/>
    <s v="Almacenes"/>
    <s v="General"/>
  </r>
  <r>
    <n v="264"/>
    <s v="A Grande"/>
    <n v="3"/>
    <n v="6386125"/>
    <s v="Brailin Peña"/>
    <s v="Logistica y Distribucion"/>
    <n v="10215050"/>
    <d v="2026-05-29T00:00:00"/>
    <d v="2026-05-29T00:00:00"/>
    <n v="2026"/>
    <n v="5"/>
    <s v="T2"/>
    <n v="1"/>
    <s v="Alimentos - Espejo"/>
    <s v="Santo Domnigo"/>
    <s v="NULL"/>
    <s v="NULL"/>
    <n v="22"/>
    <n v="29"/>
    <n v="5474"/>
    <n v="3"/>
    <s v="C005474"/>
    <s v="Mini Market Gracia Divina"/>
    <s v="MINI MARKET"/>
    <s v="Jueves"/>
    <s v="SinAsignar"/>
    <n v="70"/>
    <x v="30"/>
    <s v="V930023"/>
    <x v="30"/>
    <n v="0.5"/>
    <n v="10"/>
    <n v="140.75"/>
    <n v="0"/>
    <n v="0"/>
    <n v="0"/>
    <n v="253.35"/>
    <n v="1407.5"/>
    <n v="1661"/>
    <n v="70"/>
    <s v="Dilcio Navarro"/>
    <s v="SDO2"/>
    <n v="10"/>
    <n v="208"/>
    <s v="CARAMELOS DUROS"/>
    <n v="0"/>
    <s v="NULL"/>
    <s v="COLOMBINA"/>
    <s v="S2"/>
    <s v="Fernando Martinez (SDO)"/>
    <s v="P006"/>
    <s v="Santo Domingo Oeste"/>
    <s v="E310000025967"/>
    <n v="0"/>
    <n v="0"/>
    <s v="NULL"/>
    <s v="NULL"/>
    <n v="0"/>
    <n v="0"/>
    <s v="CONTADO                                           "/>
    <n v="13"/>
    <n v="6386125"/>
    <s v="Almacenes"/>
    <s v="General"/>
  </r>
  <r>
    <n v="223"/>
    <s v="A Grande"/>
    <n v="3"/>
    <n v="6387476"/>
    <s v="Martin Figueroa"/>
    <s v="Logistica y Distribucion"/>
    <n v="10216401"/>
    <d v="2026-05-30T00:00:00"/>
    <d v="2026-05-30T00:00:00"/>
    <n v="2026"/>
    <n v="5"/>
    <s v="T2"/>
    <n v="1"/>
    <s v="General"/>
    <s v="Santo Domnigo"/>
    <s v="NULL"/>
    <s v="NULL"/>
    <n v="22"/>
    <n v="30"/>
    <n v="1019"/>
    <n v="3"/>
    <s v="C001019"/>
    <s v="Mini Market Shairelys SRL"/>
    <s v="MINI MARKET"/>
    <s v="Viernes"/>
    <s v="Viernes"/>
    <n v="60"/>
    <x v="6"/>
    <s v="V511005"/>
    <x v="6"/>
    <n v="1"/>
    <n v="12"/>
    <n v="64.44"/>
    <n v="0"/>
    <n v="0"/>
    <n v="0"/>
    <n v="139.19"/>
    <n v="773.28"/>
    <n v="912"/>
    <n v="60"/>
    <s v="Martina Ramirez"/>
    <s v="DN5"/>
    <n v="10"/>
    <n v="114"/>
    <s v="BLANCOX"/>
    <n v="66102"/>
    <s v="BLANCOX BOTELLA"/>
    <s v="Brinsa Dominicana"/>
    <s v="S5"/>
    <s v="Fernando Martinez  (DN)"/>
    <s v="P002"/>
    <s v="Distrito Nacional"/>
    <s v="E310000026097"/>
    <n v="0"/>
    <n v="0"/>
    <s v="NULL"/>
    <s v="NULL"/>
    <n v="0"/>
    <n v="0"/>
    <s v="CONTADO                                           "/>
    <n v="13"/>
    <n v="6387476"/>
    <s v="Almacenes"/>
    <s v="General"/>
  </r>
  <r>
    <n v="223"/>
    <s v="A Grande"/>
    <n v="3"/>
    <n v="6387476"/>
    <s v="Martin Figueroa"/>
    <s v="Logistica y Distribucion"/>
    <n v="10216401"/>
    <d v="2026-05-30T00:00:00"/>
    <d v="2026-05-30T00:00:00"/>
    <n v="2026"/>
    <n v="5"/>
    <s v="T2"/>
    <n v="1"/>
    <s v="General"/>
    <s v="Santo Domnigo"/>
    <s v="NULL"/>
    <s v="NULL"/>
    <n v="22"/>
    <n v="30"/>
    <n v="1019"/>
    <n v="3"/>
    <s v="C001019"/>
    <s v="Mini Market Shairelys SRL"/>
    <s v="MINI MARKET"/>
    <s v="Viernes"/>
    <s v="Viernes"/>
    <n v="60"/>
    <x v="28"/>
    <s v="V101028"/>
    <x v="28"/>
    <n v="1"/>
    <n v="18"/>
    <n v="98.4"/>
    <n v="0"/>
    <n v="0"/>
    <n v="0"/>
    <n v="318.82"/>
    <n v="1771.2"/>
    <n v="2090"/>
    <n v="60"/>
    <s v="Martina Ramirez"/>
    <s v="DN5"/>
    <n v="10"/>
    <n v="105"/>
    <s v="NOSOTRAS"/>
    <n v="677001"/>
    <s v="CUIDADO FEMENINO"/>
    <s v="Continental de Negocios"/>
    <s v="S5"/>
    <s v="Fernando Martinez  (DN)"/>
    <s v="P002"/>
    <s v="Distrito Nacional"/>
    <s v="E310000026097"/>
    <n v="0"/>
    <n v="0"/>
    <s v="NULL"/>
    <s v="NULL"/>
    <n v="0"/>
    <n v="0"/>
    <s v="CONTADO                                           "/>
    <n v="13"/>
    <n v="6387476"/>
    <s v="Almacenes"/>
    <s v="General"/>
  </r>
  <r>
    <n v="223"/>
    <s v="A Grande"/>
    <n v="3"/>
    <n v="6387481"/>
    <s v="Martin Figueroa"/>
    <s v="Logistica y Distribucion"/>
    <n v="10216406"/>
    <d v="2026-05-30T00:00:00"/>
    <d v="2026-05-30T00:00:00"/>
    <n v="2026"/>
    <n v="5"/>
    <s v="T2"/>
    <n v="1"/>
    <s v="Alimentos - Espejo"/>
    <s v="Santo Domnigo"/>
    <s v="NULL"/>
    <s v="NULL"/>
    <n v="22"/>
    <n v="30"/>
    <n v="29579"/>
    <n v="3"/>
    <s v="C029579"/>
    <s v="Mini Market  Shairelys"/>
    <s v="MINI MARKET"/>
    <s v="Viernes"/>
    <s v="Viernes"/>
    <n v="60"/>
    <x v="22"/>
    <s v="V930025"/>
    <x v="22"/>
    <n v="0.44444444444443998"/>
    <n v="16"/>
    <n v="0"/>
    <n v="0"/>
    <n v="0"/>
    <n v="0"/>
    <n v="0"/>
    <n v="0"/>
    <n v="0"/>
    <n v="60"/>
    <s v="Martina Ramirez"/>
    <s v="DN5"/>
    <n v="10"/>
    <n v="209"/>
    <s v="PALETAS"/>
    <n v="0"/>
    <s v="NULL"/>
    <s v="COLOMBINA"/>
    <s v="S5"/>
    <s v="Fernando Martinez  (DN)"/>
    <s v="P002"/>
    <s v="Distrito Nacional"/>
    <s v="E310000026098"/>
    <n v="0"/>
    <n v="1"/>
    <n v="3618"/>
    <s v="3 BBB Jumbo Fresa/Cherry/Clear + 1 PQ Tipitin Besos"/>
    <n v="0"/>
    <n v="0"/>
    <s v="CONTADO                                           "/>
    <n v="13"/>
    <n v="6387481"/>
    <s v="Almacenes"/>
    <s v="General"/>
  </r>
  <r>
    <n v="223"/>
    <s v="A Grande"/>
    <n v="3"/>
    <n v="6387481"/>
    <s v="Martin Figueroa"/>
    <s v="Logistica y Distribucion"/>
    <n v="10216406"/>
    <d v="2026-05-30T00:00:00"/>
    <d v="2026-05-30T00:00:00"/>
    <n v="2026"/>
    <n v="5"/>
    <s v="T2"/>
    <n v="1"/>
    <s v="Alimentos - Espejo"/>
    <s v="Santo Domnigo"/>
    <s v="NULL"/>
    <s v="NULL"/>
    <n v="22"/>
    <n v="30"/>
    <n v="29579"/>
    <n v="3"/>
    <s v="C029579"/>
    <s v="Mini Market  Shairelys"/>
    <s v="MINI MARKET"/>
    <s v="Viernes"/>
    <s v="Viernes"/>
    <n v="60"/>
    <x v="22"/>
    <s v="V930025"/>
    <x v="22"/>
    <n v="0.16666666666666"/>
    <n v="6"/>
    <n v="0"/>
    <n v="0"/>
    <n v="0"/>
    <n v="0"/>
    <n v="0"/>
    <n v="0"/>
    <n v="0"/>
    <n v="60"/>
    <s v="Martina Ramirez"/>
    <s v="DN5"/>
    <n v="10"/>
    <n v="209"/>
    <s v="PALETAS"/>
    <n v="0"/>
    <s v="NULL"/>
    <s v="COLOMBINA"/>
    <s v="S5"/>
    <s v="Fernando Martinez  (DN)"/>
    <s v="P002"/>
    <s v="Distrito Nacional"/>
    <s v="E310000026098"/>
    <n v="0"/>
    <n v="1"/>
    <n v="3619"/>
    <s v="5 PQ De Mentas Coffee/Mango/Sandia/Choco Mani/Xtime +1 PQ de Tipitin Besos de Oferta"/>
    <n v="0"/>
    <n v="0"/>
    <s v="CONTADO                                           "/>
    <n v="13"/>
    <n v="6387481"/>
    <s v="Almacenes"/>
    <s v="General"/>
  </r>
  <r>
    <n v="223"/>
    <s v="A Grande"/>
    <n v="3"/>
    <n v="6387481"/>
    <s v="Martin Figueroa"/>
    <s v="Logistica y Distribucion"/>
    <n v="10216406"/>
    <d v="2026-05-30T00:00:00"/>
    <d v="2026-05-30T00:00:00"/>
    <n v="2026"/>
    <n v="5"/>
    <s v="T2"/>
    <n v="1"/>
    <s v="Alimentos - Espejo"/>
    <s v="Santo Domnigo"/>
    <s v="NULL"/>
    <s v="NULL"/>
    <n v="22"/>
    <n v="30"/>
    <n v="29579"/>
    <n v="3"/>
    <s v="C029579"/>
    <s v="Mini Market  Shairelys"/>
    <s v="MINI MARKET"/>
    <s v="Viernes"/>
    <s v="Viernes"/>
    <n v="60"/>
    <x v="1"/>
    <s v="V930021"/>
    <x v="1"/>
    <n v="0.5"/>
    <n v="8"/>
    <n v="90.18"/>
    <n v="0"/>
    <n v="0"/>
    <n v="0"/>
    <n v="129.86000000000001"/>
    <n v="721.44"/>
    <n v="851"/>
    <n v="60"/>
    <s v="Martina Ramirez"/>
    <s v="DN5"/>
    <n v="10"/>
    <n v="208"/>
    <s v="CARAMELOS DUROS"/>
    <n v="0"/>
    <s v="NULL"/>
    <s v="COLOMBINA"/>
    <s v="S5"/>
    <s v="Fernando Martinez  (DN)"/>
    <s v="P002"/>
    <s v="Distrito Nacional"/>
    <s v="E310000026098"/>
    <n v="0"/>
    <n v="0"/>
    <s v="NULL"/>
    <s v="NULL"/>
    <n v="0"/>
    <n v="0"/>
    <s v="CONTADO                                           "/>
    <n v="13"/>
    <n v="6387481"/>
    <s v="Almacenes"/>
    <s v="General"/>
  </r>
  <r>
    <n v="223"/>
    <s v="A Grande"/>
    <n v="3"/>
    <n v="6387481"/>
    <s v="Martin Figueroa"/>
    <s v="Logistica y Distribucion"/>
    <n v="10216406"/>
    <d v="2026-05-30T00:00:00"/>
    <d v="2026-05-30T00:00:00"/>
    <n v="2026"/>
    <n v="5"/>
    <s v="T2"/>
    <n v="1"/>
    <s v="Alimentos - Espejo"/>
    <s v="Santo Domnigo"/>
    <s v="NULL"/>
    <s v="NULL"/>
    <n v="22"/>
    <n v="30"/>
    <n v="29579"/>
    <n v="3"/>
    <s v="C029579"/>
    <s v="Mini Market  Shairelys"/>
    <s v="MINI MARKET"/>
    <s v="Viernes"/>
    <s v="Viernes"/>
    <n v="60"/>
    <x v="63"/>
    <s v="V930022"/>
    <x v="63"/>
    <n v="0.5"/>
    <n v="8"/>
    <n v="90.18"/>
    <n v="0"/>
    <n v="0"/>
    <n v="0"/>
    <n v="129.86000000000001"/>
    <n v="721.44"/>
    <n v="851"/>
    <n v="60"/>
    <s v="Martina Ramirez"/>
    <s v="DN5"/>
    <n v="10"/>
    <n v="208"/>
    <s v="CARAMELOS DUROS"/>
    <n v="0"/>
    <s v="NULL"/>
    <s v="COLOMBINA"/>
    <s v="S5"/>
    <s v="Fernando Martinez  (DN)"/>
    <s v="P002"/>
    <s v="Distrito Nacional"/>
    <s v="E310000026098"/>
    <n v="0"/>
    <n v="0"/>
    <s v="NULL"/>
    <s v="NULL"/>
    <n v="0"/>
    <n v="0"/>
    <s v="CONTADO                                           "/>
    <n v="13"/>
    <n v="6387481"/>
    <s v="Almacenes"/>
    <s v="General"/>
  </r>
  <r>
    <n v="223"/>
    <s v="A Grande"/>
    <n v="3"/>
    <n v="6387481"/>
    <s v="Martin Figueroa"/>
    <s v="Logistica y Distribucion"/>
    <n v="10216406"/>
    <d v="2026-05-30T00:00:00"/>
    <d v="2026-05-30T00:00:00"/>
    <n v="2026"/>
    <n v="5"/>
    <s v="T2"/>
    <n v="1"/>
    <s v="Alimentos - Espejo"/>
    <s v="Santo Domnigo"/>
    <s v="NULL"/>
    <s v="NULL"/>
    <n v="22"/>
    <n v="30"/>
    <n v="29579"/>
    <n v="3"/>
    <s v="C029579"/>
    <s v="Mini Market  Shairelys"/>
    <s v="MINI MARKET"/>
    <s v="Viernes"/>
    <s v="Viernes"/>
    <n v="60"/>
    <x v="24"/>
    <s v="V930012"/>
    <x v="24"/>
    <n v="1"/>
    <n v="16"/>
    <n v="90.18"/>
    <n v="0"/>
    <n v="0"/>
    <n v="0"/>
    <n v="259.72000000000003"/>
    <n v="1442.88"/>
    <n v="1703"/>
    <n v="60"/>
    <s v="Martina Ramirez"/>
    <s v="DN5"/>
    <n v="10"/>
    <n v="208"/>
    <s v="CARAMELOS DUROS"/>
    <n v="0"/>
    <s v="NULL"/>
    <s v="COLOMBINA"/>
    <s v="S5"/>
    <s v="Fernando Martinez  (DN)"/>
    <s v="P002"/>
    <s v="Distrito Nacional"/>
    <s v="E310000026098"/>
    <n v="0"/>
    <n v="0"/>
    <s v="NULL"/>
    <s v="NULL"/>
    <n v="0"/>
    <n v="0"/>
    <s v="CONTADO                                           "/>
    <n v="13"/>
    <n v="6387481"/>
    <s v="Almacenes"/>
    <s v="General"/>
  </r>
  <r>
    <n v="223"/>
    <s v="A Grande"/>
    <n v="3"/>
    <n v="6387481"/>
    <s v="Martin Figueroa"/>
    <s v="Logistica y Distribucion"/>
    <n v="10216406"/>
    <d v="2026-05-30T00:00:00"/>
    <d v="2026-05-30T00:00:00"/>
    <n v="2026"/>
    <n v="5"/>
    <s v="T2"/>
    <n v="1"/>
    <s v="Alimentos - Espejo"/>
    <s v="Santo Domnigo"/>
    <s v="NULL"/>
    <s v="NULL"/>
    <n v="22"/>
    <n v="30"/>
    <n v="29579"/>
    <n v="3"/>
    <s v="C029579"/>
    <s v="Mini Market  Shairelys"/>
    <s v="MINI MARKET"/>
    <s v="Viernes"/>
    <s v="Viernes"/>
    <n v="60"/>
    <x v="21"/>
    <s v="V800792"/>
    <x v="21"/>
    <n v="1.48"/>
    <n v="37"/>
    <n v="151.58000000000001"/>
    <n v="0"/>
    <n v="0"/>
    <n v="0"/>
    <n v="1009.52"/>
    <n v="5608.46"/>
    <n v="6618"/>
    <n v="60"/>
    <s v="Martina Ramirez"/>
    <s v="DN5"/>
    <n v="10"/>
    <n v="207"/>
    <s v="BOLONES"/>
    <n v="65103"/>
    <s v="ALIMENTOS DULCES"/>
    <s v="COLOMBINA"/>
    <s v="S5"/>
    <s v="Fernando Martinez  (DN)"/>
    <s v="P002"/>
    <s v="Distrito Nacional"/>
    <s v="E310000026098"/>
    <n v="0"/>
    <n v="0"/>
    <s v="NULL"/>
    <s v="NULL"/>
    <n v="0"/>
    <n v="0"/>
    <s v="CONTADO                                           "/>
    <n v="13"/>
    <n v="6387481"/>
    <s v="Almacenes"/>
    <s v="General"/>
  </r>
  <r>
    <n v="223"/>
    <s v="A Grande"/>
    <n v="3"/>
    <n v="6387481"/>
    <s v="Martin Figueroa"/>
    <s v="Logistica y Distribucion"/>
    <n v="10216406"/>
    <d v="2026-05-30T00:00:00"/>
    <d v="2026-05-30T00:00:00"/>
    <n v="2026"/>
    <n v="5"/>
    <s v="T2"/>
    <n v="1"/>
    <s v="Alimentos - Espejo"/>
    <s v="Santo Domnigo"/>
    <s v="NULL"/>
    <s v="NULL"/>
    <n v="22"/>
    <n v="30"/>
    <n v="29579"/>
    <n v="3"/>
    <s v="C029579"/>
    <s v="Mini Market  Shairelys"/>
    <s v="MINI MARKET"/>
    <s v="Viernes"/>
    <s v="Viernes"/>
    <n v="60"/>
    <x v="40"/>
    <s v="V800793"/>
    <x v="40"/>
    <n v="0.52"/>
    <n v="13"/>
    <n v="151.58000000000001"/>
    <n v="0"/>
    <n v="0"/>
    <n v="0"/>
    <n v="354.7"/>
    <n v="1970.54"/>
    <n v="2325"/>
    <n v="60"/>
    <s v="Martina Ramirez"/>
    <s v="DN5"/>
    <n v="10"/>
    <n v="207"/>
    <s v="BOLONES"/>
    <n v="65103"/>
    <s v="ALIMENTOS DULCES"/>
    <s v="COLOMBINA"/>
    <s v="S5"/>
    <s v="Fernando Martinez  (DN)"/>
    <s v="P002"/>
    <s v="Distrito Nacional"/>
    <s v="E310000026098"/>
    <n v="0"/>
    <n v="0"/>
    <s v="NULL"/>
    <s v="NULL"/>
    <n v="0"/>
    <n v="0"/>
    <s v="CONTADO                                           "/>
    <n v="13"/>
    <n v="6387481"/>
    <s v="Almacenes"/>
    <s v="General"/>
  </r>
  <r>
    <n v="223"/>
    <s v="A Grande"/>
    <n v="3"/>
    <n v="6387493"/>
    <s v="Martin Figueroa"/>
    <s v="Logistica y Distribucion"/>
    <n v="10216418"/>
    <d v="2026-05-30T00:00:00"/>
    <d v="2026-05-30T00:00:00"/>
    <n v="2026"/>
    <n v="5"/>
    <s v="T2"/>
    <n v="1"/>
    <s v="General"/>
    <s v="Santo Domnigo"/>
    <s v="NULL"/>
    <s v="NULL"/>
    <n v="22"/>
    <n v="30"/>
    <n v="29579"/>
    <n v="3"/>
    <s v="C029579"/>
    <s v="Mini Market  Shairelys"/>
    <s v="MINI MARKET"/>
    <s v="Viernes"/>
    <s v="Viernes"/>
    <n v="60"/>
    <x v="19"/>
    <s v="V800089"/>
    <x v="19"/>
    <n v="0.5"/>
    <n v="4"/>
    <n v="364.41"/>
    <n v="0"/>
    <n v="0"/>
    <n v="0"/>
    <n v="262.38"/>
    <n v="1457.64"/>
    <n v="1720"/>
    <n v="60"/>
    <s v="Martina Ramirez"/>
    <s v="DN5"/>
    <n v="10"/>
    <n v="105"/>
    <s v="NOSOTRAS"/>
    <n v="677001"/>
    <s v="CUIDADO FEMENINO"/>
    <s v="Continental de Negocios"/>
    <s v="S5"/>
    <s v="Fernando Martinez  (DN)"/>
    <s v="P002"/>
    <s v="Distrito Nacional"/>
    <s v="E310000026099"/>
    <n v="0"/>
    <n v="0"/>
    <s v="NULL"/>
    <s v="NULL"/>
    <n v="0"/>
    <n v="0"/>
    <s v="CONTADO                                           "/>
    <n v="13"/>
    <n v="6387493"/>
    <s v="Almacenes"/>
    <s v="General"/>
  </r>
  <r>
    <n v="223"/>
    <s v="A Grande"/>
    <n v="3"/>
    <n v="6387493"/>
    <s v="Martin Figueroa"/>
    <s v="Logistica y Distribucion"/>
    <n v="10216418"/>
    <d v="2026-05-30T00:00:00"/>
    <d v="2026-05-30T00:00:00"/>
    <n v="2026"/>
    <n v="5"/>
    <s v="T2"/>
    <n v="1"/>
    <s v="General"/>
    <s v="Santo Domnigo"/>
    <s v="NULL"/>
    <s v="NULL"/>
    <n v="22"/>
    <n v="30"/>
    <n v="29579"/>
    <n v="3"/>
    <s v="C029579"/>
    <s v="Mini Market  Shairelys"/>
    <s v="MINI MARKET"/>
    <s v="Viernes"/>
    <s v="Viernes"/>
    <n v="60"/>
    <x v="14"/>
    <s v="V800088"/>
    <x v="14"/>
    <n v="0.5"/>
    <n v="4"/>
    <n v="364.41"/>
    <n v="0"/>
    <n v="0"/>
    <n v="0"/>
    <n v="262.38"/>
    <n v="1457.64"/>
    <n v="1720"/>
    <n v="60"/>
    <s v="Martina Ramirez"/>
    <s v="DN5"/>
    <n v="10"/>
    <n v="105"/>
    <s v="NOSOTRAS"/>
    <n v="677001"/>
    <s v="CUIDADO FEMENINO"/>
    <s v="Continental de Negocios"/>
    <s v="S5"/>
    <s v="Fernando Martinez  (DN)"/>
    <s v="P002"/>
    <s v="Distrito Nacional"/>
    <s v="E310000026099"/>
    <n v="0"/>
    <n v="0"/>
    <s v="NULL"/>
    <s v="NULL"/>
    <n v="0"/>
    <n v="0"/>
    <s v="CONTADO                                           "/>
    <n v="13"/>
    <n v="6387493"/>
    <s v="Almacenes"/>
    <s v="General"/>
  </r>
  <r>
    <n v="223"/>
    <s v="A Grande"/>
    <n v="3"/>
    <n v="6387493"/>
    <s v="Martin Figueroa"/>
    <s v="Logistica y Distribucion"/>
    <n v="10216418"/>
    <d v="2026-05-30T00:00:00"/>
    <d v="2026-05-30T00:00:00"/>
    <n v="2026"/>
    <n v="5"/>
    <s v="T2"/>
    <n v="1"/>
    <s v="General"/>
    <s v="Santo Domnigo"/>
    <s v="NULL"/>
    <s v="NULL"/>
    <n v="22"/>
    <n v="30"/>
    <n v="29579"/>
    <n v="3"/>
    <s v="C029579"/>
    <s v="Mini Market  Shairelys"/>
    <s v="MINI MARKET"/>
    <s v="Viernes"/>
    <s v="Viernes"/>
    <n v="60"/>
    <x v="61"/>
    <s v="V101130"/>
    <x v="61"/>
    <n v="8.8888888888879997E-2"/>
    <n v="16"/>
    <n v="0"/>
    <n v="0"/>
    <n v="0"/>
    <n v="0"/>
    <n v="0"/>
    <n v="0"/>
    <n v="0"/>
    <n v="60"/>
    <s v="Martina Ramirez"/>
    <s v="DN5"/>
    <n v="10"/>
    <n v="111"/>
    <s v="Ofertas de Temporada"/>
    <n v="677001"/>
    <s v="CUIDADO FEMENINO"/>
    <s v="Continental de Negocios"/>
    <s v="S5"/>
    <s v="Fernando Martinez  (DN)"/>
    <s v="P002"/>
    <s v="Distrito Nacional"/>
    <s v="E310000026099"/>
    <n v="0"/>
    <n v="1"/>
    <n v="3621"/>
    <s v="Oferta Nosotras 2 Displays + 4/8//16"/>
    <n v="0"/>
    <n v="0"/>
    <s v="CONTADO                                           "/>
    <n v="13"/>
    <n v="6387493"/>
    <s v="Almacenes"/>
    <s v="General"/>
  </r>
  <r>
    <n v="223"/>
    <s v="A Grande"/>
    <n v="3"/>
    <n v="6390100"/>
    <s v="Martin Figueroa"/>
    <s v="Logistica y Distribucion"/>
    <n v="10219025"/>
    <d v="2026-06-02T00:00:00"/>
    <d v="2026-06-02T00:00:00"/>
    <n v="2026"/>
    <n v="6"/>
    <s v="T2"/>
    <n v="1"/>
    <s v="General"/>
    <s v="Santo Domnigo"/>
    <s v="NULL"/>
    <s v="NULL"/>
    <n v="23"/>
    <n v="2"/>
    <n v="12191"/>
    <n v="3"/>
    <s v="C012191"/>
    <s v="Super Mercado La Ballena"/>
    <s v="SUPERMERCADO"/>
    <s v="Lunes"/>
    <s v="Lunes"/>
    <n v="91"/>
    <x v="19"/>
    <s v="V800089"/>
    <x v="19"/>
    <n v="0.25"/>
    <n v="2"/>
    <n v="364.41"/>
    <n v="0"/>
    <n v="0"/>
    <n v="0"/>
    <n v="131.19"/>
    <n v="728.82"/>
    <n v="86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296739"/>
    <n v="0"/>
    <n v="0"/>
    <s v="NULL"/>
    <s v="NULL"/>
    <n v="0"/>
    <n v="0"/>
    <s v="CONTADO                                           "/>
    <n v="13"/>
    <n v="6390100"/>
    <s v="Almacenes"/>
    <s v="General"/>
  </r>
  <r>
    <n v="223"/>
    <s v="A Grande"/>
    <n v="3"/>
    <n v="6390100"/>
    <s v="Martin Figueroa"/>
    <s v="Logistica y Distribucion"/>
    <n v="10219025"/>
    <d v="2026-06-02T00:00:00"/>
    <d v="2026-06-02T00:00:00"/>
    <n v="2026"/>
    <n v="6"/>
    <s v="T2"/>
    <n v="1"/>
    <s v="General"/>
    <s v="Santo Domnigo"/>
    <s v="NULL"/>
    <s v="NULL"/>
    <n v="23"/>
    <n v="2"/>
    <n v="12191"/>
    <n v="3"/>
    <s v="C012191"/>
    <s v="Super Mercado La Ballena"/>
    <s v="SUPERMERCADO"/>
    <s v="Lunes"/>
    <s v="Lunes"/>
    <n v="91"/>
    <x v="14"/>
    <s v="V800088"/>
    <x v="14"/>
    <n v="0.25"/>
    <n v="2"/>
    <n v="364.41"/>
    <n v="0"/>
    <n v="0"/>
    <n v="0"/>
    <n v="131.19"/>
    <n v="728.82"/>
    <n v="86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296739"/>
    <n v="0"/>
    <n v="0"/>
    <s v="NULL"/>
    <s v="NULL"/>
    <n v="0"/>
    <n v="0"/>
    <s v="CONTADO                                           "/>
    <n v="13"/>
    <n v="6390100"/>
    <s v="Almacenes"/>
    <s v="General"/>
  </r>
  <r>
    <n v="223"/>
    <s v="A Grande"/>
    <n v="3"/>
    <n v="6390100"/>
    <s v="Martin Figueroa"/>
    <s v="Logistica y Distribucion"/>
    <n v="10219025"/>
    <d v="2026-06-02T00:00:00"/>
    <d v="2026-06-02T00:00:00"/>
    <n v="2026"/>
    <n v="6"/>
    <s v="T2"/>
    <n v="1"/>
    <s v="General"/>
    <s v="Santo Domnigo"/>
    <s v="NULL"/>
    <s v="NULL"/>
    <n v="23"/>
    <n v="2"/>
    <n v="12191"/>
    <n v="3"/>
    <s v="C012191"/>
    <s v="Super Mercado La Ballena"/>
    <s v="SUPERMERCADO"/>
    <s v="Lunes"/>
    <s v="Lunes"/>
    <n v="91"/>
    <x v="13"/>
    <s v="v101038"/>
    <x v="13"/>
    <n v="0.4"/>
    <n v="4"/>
    <n v="364.41"/>
    <n v="0"/>
    <n v="0"/>
    <n v="0"/>
    <n v="262.38"/>
    <n v="1457.64"/>
    <n v="172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296739"/>
    <n v="0"/>
    <n v="0"/>
    <s v="NULL"/>
    <s v="NULL"/>
    <n v="0"/>
    <n v="0"/>
    <s v="CONTADO                                           "/>
    <n v="13"/>
    <n v="6390100"/>
    <s v="Almacenes"/>
    <s v="General"/>
  </r>
  <r>
    <n v="223"/>
    <s v="A Grande"/>
    <n v="3"/>
    <n v="6390100"/>
    <s v="Martin Figueroa"/>
    <s v="Logistica y Distribucion"/>
    <n v="10219025"/>
    <d v="2026-06-02T00:00:00"/>
    <d v="2026-06-02T00:00:00"/>
    <n v="2026"/>
    <n v="6"/>
    <s v="T2"/>
    <n v="1"/>
    <s v="General"/>
    <s v="Santo Domnigo"/>
    <s v="NULL"/>
    <s v="NULL"/>
    <n v="23"/>
    <n v="2"/>
    <n v="12191"/>
    <n v="3"/>
    <s v="C012191"/>
    <s v="Super Mercado La Ballena"/>
    <s v="SUPERMERCADO"/>
    <s v="Lunes"/>
    <s v="Lunes"/>
    <n v="91"/>
    <x v="9"/>
    <s v="V201001"/>
    <x v="9"/>
    <n v="5"/>
    <n v="5"/>
    <n v="221.67"/>
    <n v="0"/>
    <n v="0"/>
    <n v="0"/>
    <n v="199.5"/>
    <n v="1108.3499999999999"/>
    <n v="1308"/>
    <n v="91"/>
    <s v="Enrrique Morillo (DN)"/>
    <s v="DN6"/>
    <n v="10"/>
    <n v="113"/>
    <s v="REFISAL"/>
    <n v="82101"/>
    <s v="REFISAL PACA"/>
    <s v="Brinsa Dominicana"/>
    <s v="S5"/>
    <s v="Fernando Martinez  (DN)"/>
    <s v="DN013"/>
    <s v="Distrito Nacional"/>
    <s v="E320000296739"/>
    <n v="0"/>
    <n v="0"/>
    <s v="NULL"/>
    <s v="NULL"/>
    <n v="0"/>
    <n v="0"/>
    <s v="CONTADO                                           "/>
    <n v="13"/>
    <n v="6390100"/>
    <s v="Almacenes"/>
    <s v="General"/>
  </r>
  <r>
    <n v="289"/>
    <s v="A Grande"/>
    <n v="3"/>
    <n v="6392842"/>
    <s v="AMAURI GIRON OSORIA"/>
    <s v="Logistica y Distribucion"/>
    <n v="10221767"/>
    <d v="2026-06-04T00:00:00"/>
    <d v="2026-06-04T00:00:00"/>
    <n v="2026"/>
    <n v="6"/>
    <s v="T2"/>
    <n v="1"/>
    <s v="General"/>
    <s v="Santo Domnigo"/>
    <s v="NULL"/>
    <s v="NULL"/>
    <n v="23"/>
    <n v="4"/>
    <n v="37594"/>
    <n v="3"/>
    <s v="C037594"/>
    <s v="Mini Market El patron 3."/>
    <s v="MINI MARKET"/>
    <s v="Miércoles"/>
    <s v="Miércoles"/>
    <n v="72"/>
    <x v="44"/>
    <s v="V101026"/>
    <x v="44"/>
    <n v="0.5"/>
    <n v="18"/>
    <n v="32.729999999999997"/>
    <n v="0"/>
    <n v="0"/>
    <n v="0"/>
    <n v="106.05"/>
    <n v="589.14"/>
    <n v="695"/>
    <n v="72"/>
    <s v="Carla Valdez (WC)"/>
    <s v="SDO7"/>
    <n v="10"/>
    <n v="136"/>
    <s v="NOSOTRAS DIARIOS"/>
    <n v="677001"/>
    <s v="CUIDADO FEMENINO"/>
    <s v="Continental de Negocios"/>
    <s v="S2"/>
    <s v="Fernando Martinez (SDO)"/>
    <s v="P011"/>
    <s v="Santo Domingo Oeste"/>
    <s v="E310000026661"/>
    <n v="0"/>
    <n v="0"/>
    <s v="NULL"/>
    <s v="NULL"/>
    <n v="0"/>
    <n v="0"/>
    <s v="CONTADO                                           "/>
    <n v="3"/>
    <n v="6392842"/>
    <s v="Almacenes"/>
    <s v="General"/>
  </r>
  <r>
    <n v="289"/>
    <s v="A Grande"/>
    <n v="3"/>
    <n v="6392842"/>
    <s v="AMAURI GIRON OSORIA"/>
    <s v="Logistica y Distribucion"/>
    <n v="10221767"/>
    <d v="2026-06-04T00:00:00"/>
    <d v="2026-06-04T00:00:00"/>
    <n v="2026"/>
    <n v="6"/>
    <s v="T2"/>
    <n v="1"/>
    <s v="General"/>
    <s v="Santo Domnigo"/>
    <s v="NULL"/>
    <s v="NULL"/>
    <n v="23"/>
    <n v="4"/>
    <n v="37594"/>
    <n v="3"/>
    <s v="C037594"/>
    <s v="Mini Market El patron 3."/>
    <s v="MINI MARKET"/>
    <s v="Miércoles"/>
    <s v="Miércoles"/>
    <n v="72"/>
    <x v="28"/>
    <s v="V101028"/>
    <x v="28"/>
    <n v="1"/>
    <n v="18"/>
    <n v="97.42"/>
    <n v="0"/>
    <n v="0"/>
    <n v="0"/>
    <n v="315.64"/>
    <n v="1753.56"/>
    <n v="2069"/>
    <n v="72"/>
    <s v="Carla Valdez (WC)"/>
    <s v="SDO7"/>
    <n v="10"/>
    <n v="105"/>
    <s v="NOSOTRAS"/>
    <n v="677001"/>
    <s v="CUIDADO FEMENINO"/>
    <s v="Continental de Negocios"/>
    <s v="S2"/>
    <s v="Fernando Martinez (SDO)"/>
    <s v="P011"/>
    <s v="Santo Domingo Oeste"/>
    <s v="E310000026661"/>
    <n v="0"/>
    <n v="0"/>
    <s v="NULL"/>
    <s v="NULL"/>
    <n v="0"/>
    <n v="0"/>
    <s v="CONTADO                                           "/>
    <n v="3"/>
    <n v="6392842"/>
    <s v="Almacenes"/>
    <s v="General"/>
  </r>
  <r>
    <n v="289"/>
    <s v="A Grande"/>
    <n v="3"/>
    <n v="6392842"/>
    <s v="AMAURI GIRON OSORIA"/>
    <s v="Logistica y Distribucion"/>
    <n v="10221767"/>
    <d v="2026-06-04T00:00:00"/>
    <d v="2026-06-04T00:00:00"/>
    <n v="2026"/>
    <n v="6"/>
    <s v="T2"/>
    <n v="1"/>
    <s v="General"/>
    <s v="Santo Domnigo"/>
    <s v="NULL"/>
    <s v="NULL"/>
    <n v="23"/>
    <n v="4"/>
    <n v="37594"/>
    <n v="3"/>
    <s v="C037594"/>
    <s v="Mini Market El patron 3."/>
    <s v="MINI MARKET"/>
    <s v="Miércoles"/>
    <s v="Miércoles"/>
    <n v="72"/>
    <x v="27"/>
    <s v="V101027"/>
    <x v="27"/>
    <n v="0.5"/>
    <n v="12"/>
    <n v="72.680000000000007"/>
    <n v="0"/>
    <n v="0"/>
    <n v="0"/>
    <n v="156.99"/>
    <n v="872.16"/>
    <n v="1029"/>
    <n v="72"/>
    <s v="Carla Valdez (WC)"/>
    <s v="SDO7"/>
    <n v="10"/>
    <n v="105"/>
    <s v="NOSOTRAS"/>
    <n v="677001"/>
    <s v="CUIDADO FEMENINO"/>
    <s v="Continental de Negocios"/>
    <s v="S2"/>
    <s v="Fernando Martinez (SDO)"/>
    <s v="P011"/>
    <s v="Santo Domingo Oeste"/>
    <s v="E310000026661"/>
    <n v="0"/>
    <n v="0"/>
    <s v="NULL"/>
    <s v="NULL"/>
    <n v="0"/>
    <n v="0"/>
    <s v="CONTADO                                           "/>
    <n v="3"/>
    <n v="6392842"/>
    <s v="Almacenes"/>
    <s v="General"/>
  </r>
  <r>
    <n v="289"/>
    <s v="A Grande"/>
    <n v="3"/>
    <n v="6392842"/>
    <s v="AMAURI GIRON OSORIA"/>
    <s v="Logistica y Distribucion"/>
    <n v="10221767"/>
    <d v="2026-06-04T00:00:00"/>
    <d v="2026-06-04T00:00:00"/>
    <n v="2026"/>
    <n v="6"/>
    <s v="T2"/>
    <n v="1"/>
    <s v="General"/>
    <s v="Santo Domnigo"/>
    <s v="NULL"/>
    <s v="NULL"/>
    <n v="23"/>
    <n v="4"/>
    <n v="37594"/>
    <n v="3"/>
    <s v="C037594"/>
    <s v="Mini Market El patron 3."/>
    <s v="MINI MARKET"/>
    <s v="Miércoles"/>
    <s v="Miércoles"/>
    <n v="72"/>
    <x v="26"/>
    <s v="V101005"/>
    <x v="26"/>
    <n v="1"/>
    <n v="30"/>
    <n v="72.680000000000007"/>
    <n v="0"/>
    <n v="0"/>
    <n v="0"/>
    <n v="392.47"/>
    <n v="2180.4"/>
    <n v="2573"/>
    <n v="72"/>
    <s v="Carla Valdez (WC)"/>
    <s v="SDO7"/>
    <n v="10"/>
    <n v="105"/>
    <s v="NOSOTRAS"/>
    <n v="677001"/>
    <s v="CUIDADO FEMENINO"/>
    <s v="Continental de Negocios"/>
    <s v="S2"/>
    <s v="Fernando Martinez (SDO)"/>
    <s v="P011"/>
    <s v="Santo Domingo Oeste"/>
    <s v="E310000026661"/>
    <n v="0"/>
    <n v="0"/>
    <s v="NULL"/>
    <s v="NULL"/>
    <n v="0"/>
    <n v="0"/>
    <s v="CONTADO                                           "/>
    <n v="3"/>
    <n v="6392842"/>
    <s v="Almacenes"/>
    <s v="General"/>
  </r>
  <r>
    <n v="119"/>
    <s v="A Grande"/>
    <n v="3"/>
    <n v="6392967"/>
    <s v="Mario Jose Martinez"/>
    <s v="Logistica y Distribucion"/>
    <n v="10221892"/>
    <d v="2026-06-04T00:00:00"/>
    <d v="2026-06-04T00:00:00"/>
    <n v="2026"/>
    <n v="6"/>
    <s v="T2"/>
    <n v="1"/>
    <s v="General"/>
    <s v="Santo Domnigo"/>
    <s v="NULL"/>
    <s v="NULL"/>
    <n v="23"/>
    <n v="4"/>
    <n v="36908"/>
    <n v="3"/>
    <s v="c036908"/>
    <s v="Asociacion De Detallistas Unidos De Mendoza"/>
    <s v="SUPERMERCADO"/>
    <s v="Miércoles"/>
    <s v="Miércoles"/>
    <n v="11"/>
    <x v="13"/>
    <s v="v101038"/>
    <x v="13"/>
    <n v="2"/>
    <n v="20"/>
    <n v="353.48"/>
    <n v="0"/>
    <n v="0"/>
    <n v="0"/>
    <n v="1272.53"/>
    <n v="7069.6"/>
    <n v="8342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299361"/>
    <n v="0"/>
    <n v="0"/>
    <s v="NULL"/>
    <s v="NULL"/>
    <n v="0"/>
    <n v="0"/>
    <s v="CONTADO                                           "/>
    <n v="3"/>
    <n v="6392967"/>
    <s v="Almacenes"/>
    <s v="General"/>
  </r>
  <r>
    <n v="119"/>
    <s v="A Grande"/>
    <n v="3"/>
    <n v="6392967"/>
    <s v="Mario Jose Martinez"/>
    <s v="Logistica y Distribucion"/>
    <n v="10221892"/>
    <d v="2026-06-04T00:00:00"/>
    <d v="2026-06-04T00:00:00"/>
    <n v="2026"/>
    <n v="6"/>
    <s v="T2"/>
    <n v="1"/>
    <s v="General"/>
    <s v="Santo Domnigo"/>
    <s v="NULL"/>
    <s v="NULL"/>
    <n v="23"/>
    <n v="4"/>
    <n v="36908"/>
    <n v="3"/>
    <s v="c036908"/>
    <s v="Asociacion De Detallistas Unidos De Mendoza"/>
    <s v="SUPERMERCADO"/>
    <s v="Miércoles"/>
    <s v="Miércoles"/>
    <n v="11"/>
    <x v="19"/>
    <s v="V800089"/>
    <x v="19"/>
    <n v="1"/>
    <n v="8"/>
    <n v="353.48"/>
    <n v="0"/>
    <n v="0"/>
    <n v="0"/>
    <n v="509.01"/>
    <n v="2827.84"/>
    <n v="3337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299361"/>
    <n v="0"/>
    <n v="0"/>
    <s v="NULL"/>
    <s v="NULL"/>
    <n v="0"/>
    <n v="0"/>
    <s v="CONTADO                                           "/>
    <n v="3"/>
    <n v="6392967"/>
    <s v="Almacenes"/>
    <s v="General"/>
  </r>
  <r>
    <n v="119"/>
    <s v="A Grande"/>
    <n v="3"/>
    <n v="6392967"/>
    <s v="Mario Jose Martinez"/>
    <s v="Logistica y Distribucion"/>
    <n v="10221892"/>
    <d v="2026-06-04T00:00:00"/>
    <d v="2026-06-04T00:00:00"/>
    <n v="2026"/>
    <n v="6"/>
    <s v="T2"/>
    <n v="1"/>
    <s v="General"/>
    <s v="Santo Domnigo"/>
    <s v="NULL"/>
    <s v="NULL"/>
    <n v="23"/>
    <n v="4"/>
    <n v="36908"/>
    <n v="3"/>
    <s v="c036908"/>
    <s v="Asociacion De Detallistas Unidos De Mendoza"/>
    <s v="SUPERMERCADO"/>
    <s v="Miércoles"/>
    <s v="Miércoles"/>
    <n v="11"/>
    <x v="14"/>
    <s v="V800088"/>
    <x v="14"/>
    <n v="1"/>
    <n v="8"/>
    <n v="353.48"/>
    <n v="0"/>
    <n v="0"/>
    <n v="0"/>
    <n v="509.01"/>
    <n v="2827.84"/>
    <n v="3337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299361"/>
    <n v="0"/>
    <n v="0"/>
    <s v="NULL"/>
    <s v="NULL"/>
    <n v="0"/>
    <n v="0"/>
    <s v="CONTADO                                           "/>
    <n v="3"/>
    <n v="6392967"/>
    <s v="Almacenes"/>
    <s v="General"/>
  </r>
  <r>
    <n v="109"/>
    <s v="A Grande"/>
    <n v="3"/>
    <n v="6393277"/>
    <s v="Tony Vallejo"/>
    <s v="Logistica y Distribucion"/>
    <n v="10222202"/>
    <d v="2026-06-04T00:00:00"/>
    <d v="2026-06-04T00:00:00"/>
    <n v="2026"/>
    <n v="6"/>
    <s v="T2"/>
    <n v="1"/>
    <s v="General"/>
    <s v="Santo Domnigo"/>
    <s v="NULL"/>
    <s v="NULL"/>
    <n v="23"/>
    <n v="4"/>
    <n v="2280"/>
    <n v="3"/>
    <s v="C002280"/>
    <s v="Mini Market Familiar"/>
    <s v="MINI MARKET"/>
    <s v="Miércoles"/>
    <s v="Miércoles"/>
    <n v="14"/>
    <x v="9"/>
    <s v="V201001"/>
    <x v="9"/>
    <n v="3"/>
    <n v="3"/>
    <n v="221.67"/>
    <n v="0"/>
    <n v="0"/>
    <n v="0"/>
    <n v="119.7"/>
    <n v="665.01"/>
    <n v="785"/>
    <n v="14"/>
    <s v="Bernabet Reyes"/>
    <s v="DN4"/>
    <n v="10"/>
    <n v="113"/>
    <s v="REFISAL"/>
    <n v="82101"/>
    <s v="REFISAL PACA"/>
    <s v="Brinsa Dominicana"/>
    <s v="S5"/>
    <s v="Fernando Martinez  (DN)"/>
    <s v="P030"/>
    <s v="Distrito Nacional"/>
    <s v="E320000299660"/>
    <n v="0"/>
    <n v="0"/>
    <s v="NULL"/>
    <s v="NULL"/>
    <n v="0"/>
    <n v="0"/>
    <s v="CONTADO                                           "/>
    <n v="3"/>
    <n v="6393277"/>
    <s v="Almacenes"/>
    <s v="General"/>
  </r>
  <r>
    <n v="223"/>
    <s v="A Grande"/>
    <n v="3"/>
    <n v="6394286"/>
    <s v="Martin Figueroa"/>
    <s v="Logistica y Distribucion"/>
    <n v="10223211"/>
    <d v="2026-06-05T00:00:00"/>
    <d v="2026-06-05T00:00:00"/>
    <n v="2026"/>
    <n v="6"/>
    <s v="T2"/>
    <n v="1"/>
    <s v="General"/>
    <s v="Santo Domnigo"/>
    <s v="NULL"/>
    <s v="NULL"/>
    <n v="23"/>
    <n v="5"/>
    <n v="14167"/>
    <n v="3"/>
    <s v="C014167"/>
    <s v="Mini Market Galvan"/>
    <s v="MINI MARKET"/>
    <s v="Lunes"/>
    <s v="Lunes"/>
    <n v="91"/>
    <x v="19"/>
    <s v="V800089"/>
    <x v="19"/>
    <n v="1"/>
    <n v="8"/>
    <n v="364.41"/>
    <n v="0"/>
    <n v="0"/>
    <n v="0"/>
    <n v="524.75"/>
    <n v="2915.28"/>
    <n v="3440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300568"/>
    <n v="0"/>
    <n v="0"/>
    <s v="NULL"/>
    <s v="NULL"/>
    <n v="0"/>
    <n v="0"/>
    <s v="CONTADO                                           "/>
    <n v="3"/>
    <n v="6394286"/>
    <s v="Almacenes"/>
    <s v="General"/>
  </r>
  <r>
    <n v="119"/>
    <s v="A Grande"/>
    <n v="3"/>
    <n v="6395841"/>
    <s v="Mario Jose Martinez"/>
    <s v="Logistica y Distribucion"/>
    <n v="10224766"/>
    <d v="2026-06-06T00:00:00"/>
    <d v="2026-06-06T00:00:00"/>
    <n v="2026"/>
    <n v="6"/>
    <s v="T2"/>
    <n v="1"/>
    <s v="General"/>
    <s v="Santo Domnigo"/>
    <s v="NULL"/>
    <s v="NULL"/>
    <n v="23"/>
    <n v="6"/>
    <n v="36908"/>
    <n v="3"/>
    <s v="c036908"/>
    <s v="Asociacion De Detallistas Unidos De Mendoza"/>
    <s v="SUPERMERCADO"/>
    <s v="Miércoles"/>
    <s v="Miércoles"/>
    <n v="11"/>
    <x v="74"/>
    <s v="V621043"/>
    <x v="74"/>
    <n v="6.6666666666660004E-2"/>
    <n v="4"/>
    <n v="0"/>
    <n v="0"/>
    <n v="0"/>
    <n v="0"/>
    <n v="0"/>
    <n v="0"/>
    <n v="0"/>
    <n v="11"/>
    <s v="Yeuri Montaño"/>
    <s v="SDE1"/>
    <n v="10"/>
    <n v="138"/>
    <s v="INSECTICIDAS"/>
    <n v="0"/>
    <s v="NULL"/>
    <s v="Comercial Fila"/>
    <s v="S1"/>
    <s v="Ramon E. Pimentel (SDE)"/>
    <s v="P027"/>
    <s v="Santo Domingo Este"/>
    <s v="E320000302022"/>
    <n v="0"/>
    <n v="1"/>
    <n v="3645"/>
    <s v="3 Baygon 285 + gratis 1 Vela de Mosquito Baygon"/>
    <n v="0"/>
    <n v="0"/>
    <s v="CONTADO                                           "/>
    <n v="3"/>
    <n v="6395841"/>
    <s v="Almacenes"/>
    <s v="General"/>
  </r>
  <r>
    <n v="119"/>
    <s v="A Grande"/>
    <n v="3"/>
    <n v="6395841"/>
    <s v="Mario Jose Martinez"/>
    <s v="Logistica y Distribucion"/>
    <n v="10224766"/>
    <d v="2026-06-06T00:00:00"/>
    <d v="2026-06-06T00:00:00"/>
    <n v="2026"/>
    <n v="6"/>
    <s v="T2"/>
    <n v="1"/>
    <s v="General"/>
    <s v="Santo Domnigo"/>
    <s v="NULL"/>
    <s v="NULL"/>
    <n v="23"/>
    <n v="6"/>
    <n v="36908"/>
    <n v="3"/>
    <s v="c036908"/>
    <s v="Asociacion De Detallistas Unidos De Mendoza"/>
    <s v="SUPERMERCADO"/>
    <s v="Miércoles"/>
    <s v="Miércoles"/>
    <n v="11"/>
    <x v="14"/>
    <s v="V800088"/>
    <x v="14"/>
    <n v="1"/>
    <n v="8"/>
    <n v="360.77"/>
    <n v="0"/>
    <n v="0"/>
    <n v="0"/>
    <n v="519.51"/>
    <n v="2886.16"/>
    <n v="3406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302022"/>
    <n v="0"/>
    <n v="0"/>
    <s v="NULL"/>
    <s v="NULL"/>
    <n v="0"/>
    <n v="0"/>
    <s v="CONTADO                                           "/>
    <n v="3"/>
    <n v="6395841"/>
    <s v="Almacenes"/>
    <s v="General"/>
  </r>
  <r>
    <n v="119"/>
    <s v="A Grande"/>
    <n v="3"/>
    <n v="6395841"/>
    <s v="Mario Jose Martinez"/>
    <s v="Logistica y Distribucion"/>
    <n v="10224766"/>
    <d v="2026-06-06T00:00:00"/>
    <d v="2026-06-06T00:00:00"/>
    <n v="2026"/>
    <n v="6"/>
    <s v="T2"/>
    <n v="1"/>
    <s v="General"/>
    <s v="Santo Domnigo"/>
    <s v="NULL"/>
    <s v="NULL"/>
    <n v="23"/>
    <n v="6"/>
    <n v="36908"/>
    <n v="3"/>
    <s v="c036908"/>
    <s v="Asociacion De Detallistas Unidos De Mendoza"/>
    <s v="SUPERMERCADO"/>
    <s v="Miércoles"/>
    <s v="Miércoles"/>
    <n v="11"/>
    <x v="13"/>
    <s v="v101038"/>
    <x v="13"/>
    <n v="0.5"/>
    <n v="5"/>
    <n v="360.77"/>
    <n v="0"/>
    <n v="0"/>
    <n v="0"/>
    <n v="324.69"/>
    <n v="1803.85"/>
    <n v="2129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302022"/>
    <n v="0"/>
    <n v="0"/>
    <s v="NULL"/>
    <s v="NULL"/>
    <n v="0"/>
    <n v="0"/>
    <s v="CONTADO                                           "/>
    <n v="3"/>
    <n v="6395841"/>
    <s v="Almacenes"/>
    <s v="General"/>
  </r>
  <r>
    <n v="119"/>
    <s v="A Grande"/>
    <n v="3"/>
    <n v="6395841"/>
    <s v="Mario Jose Martinez"/>
    <s v="Logistica y Distribucion"/>
    <n v="10224766"/>
    <d v="2026-06-06T00:00:00"/>
    <d v="2026-06-06T00:00:00"/>
    <n v="2026"/>
    <n v="6"/>
    <s v="T2"/>
    <n v="1"/>
    <s v="General"/>
    <s v="Santo Domnigo"/>
    <s v="NULL"/>
    <s v="NULL"/>
    <n v="23"/>
    <n v="6"/>
    <n v="36908"/>
    <n v="3"/>
    <s v="c036908"/>
    <s v="Asociacion De Detallistas Unidos De Mendoza"/>
    <s v="SUPERMERCADO"/>
    <s v="Miércoles"/>
    <s v="Miércoles"/>
    <n v="11"/>
    <x v="2"/>
    <s v="V621045"/>
    <x v="2"/>
    <n v="1"/>
    <n v="12"/>
    <n v="160.33000000000001"/>
    <n v="0"/>
    <n v="0"/>
    <n v="0"/>
    <n v="346.31"/>
    <n v="1923.96"/>
    <n v="2270"/>
    <n v="11"/>
    <s v="Yeuri Montaño"/>
    <s v="SDE1"/>
    <n v="10"/>
    <n v="138"/>
    <s v="INSECTICIDAS"/>
    <n v="73101"/>
    <s v="INSECTICIDA BAIGON"/>
    <s v="Comercial Fila"/>
    <s v="S1"/>
    <s v="Ramon E. Pimentel (SDE)"/>
    <s v="P027"/>
    <s v="Santo Domingo Este"/>
    <s v="E320000302022"/>
    <n v="0"/>
    <n v="0"/>
    <s v="NULL"/>
    <s v="NULL"/>
    <n v="0"/>
    <n v="0"/>
    <s v="CONTADO                                           "/>
    <n v="3"/>
    <n v="6395841"/>
    <s v="Almacenes"/>
    <s v="General"/>
  </r>
  <r>
    <n v="223"/>
    <s v="A Grande"/>
    <n v="3"/>
    <n v="6397323"/>
    <s v="Martin Figueroa"/>
    <s v="Logistica y Distribucion"/>
    <n v="10226248"/>
    <d v="2026-06-08T00:00:00"/>
    <d v="2026-06-08T00:00:00"/>
    <n v="2026"/>
    <n v="6"/>
    <s v="T2"/>
    <n v="1"/>
    <s v="General"/>
    <s v="Santo Domnigo"/>
    <s v="NULL"/>
    <s v="NULL"/>
    <n v="24"/>
    <n v="8"/>
    <n v="14167"/>
    <n v="3"/>
    <s v="C014167"/>
    <s v="Mini Market Galvan"/>
    <s v="MINI MARKET"/>
    <s v="Lunes"/>
    <s v="Lunes"/>
    <n v="91"/>
    <x v="9"/>
    <s v="V201001"/>
    <x v="9"/>
    <n v="10"/>
    <n v="10"/>
    <n v="221.67"/>
    <n v="0"/>
    <n v="0"/>
    <n v="0"/>
    <n v="399.01"/>
    <n v="2216.6999999999998"/>
    <n v="2616"/>
    <n v="91"/>
    <s v="Enrrique Morillo (DN)"/>
    <s v="DN6"/>
    <n v="10"/>
    <n v="113"/>
    <s v="REFISAL"/>
    <n v="82101"/>
    <s v="REFISAL PACA"/>
    <s v="Brinsa Dominicana"/>
    <s v="S5"/>
    <s v="Fernando Martinez  (DN)"/>
    <s v="DN013"/>
    <s v="Distrito Nacional"/>
    <s v="E320000303404"/>
    <n v="0"/>
    <n v="0"/>
    <s v="NULL"/>
    <s v="NULL"/>
    <n v="0"/>
    <n v="0"/>
    <s v="CONTADO                                           "/>
    <n v="3"/>
    <n v="6397323"/>
    <s v="Almacenes"/>
    <s v="General"/>
  </r>
  <r>
    <n v="223"/>
    <s v="A Grande"/>
    <n v="3"/>
    <n v="6397323"/>
    <s v="Martin Figueroa"/>
    <s v="Logistica y Distribucion"/>
    <n v="10226248"/>
    <d v="2026-06-08T00:00:00"/>
    <d v="2026-06-08T00:00:00"/>
    <n v="2026"/>
    <n v="6"/>
    <s v="T2"/>
    <n v="1"/>
    <s v="General"/>
    <s v="Santo Domnigo"/>
    <s v="NULL"/>
    <s v="NULL"/>
    <n v="24"/>
    <n v="8"/>
    <n v="14167"/>
    <n v="3"/>
    <s v="C014167"/>
    <s v="Mini Market Galvan"/>
    <s v="MINI MARKET"/>
    <s v="Lunes"/>
    <s v="Lunes"/>
    <n v="91"/>
    <x v="2"/>
    <s v="V621045"/>
    <x v="2"/>
    <n v="1"/>
    <n v="12"/>
    <n v="161.94999999999999"/>
    <n v="0"/>
    <n v="0"/>
    <n v="0"/>
    <n v="349.81"/>
    <n v="1943.4"/>
    <n v="2293"/>
    <n v="91"/>
    <s v="Enrrique Morillo (DN)"/>
    <s v="DN6"/>
    <n v="10"/>
    <n v="138"/>
    <s v="INSECTICIDAS"/>
    <n v="73101"/>
    <s v="INSECTICIDA BAIGON"/>
    <s v="Comercial Fila"/>
    <s v="S5"/>
    <s v="Fernando Martinez  (DN)"/>
    <s v="DN013"/>
    <s v="Distrito Nacional"/>
    <s v="E320000303404"/>
    <n v="0"/>
    <n v="0"/>
    <s v="NULL"/>
    <s v="NULL"/>
    <n v="0"/>
    <n v="0"/>
    <s v="CONTADO                                           "/>
    <n v="3"/>
    <n v="6397323"/>
    <s v="Almacenes"/>
    <s v="General"/>
  </r>
  <r>
    <n v="223"/>
    <s v="A Grande"/>
    <n v="3"/>
    <n v="6397323"/>
    <s v="Martin Figueroa"/>
    <s v="Logistica y Distribucion"/>
    <n v="10226248"/>
    <d v="2026-06-08T00:00:00"/>
    <d v="2026-06-08T00:00:00"/>
    <n v="2026"/>
    <n v="6"/>
    <s v="T2"/>
    <n v="1"/>
    <s v="General"/>
    <s v="Santo Domnigo"/>
    <s v="NULL"/>
    <s v="NULL"/>
    <n v="24"/>
    <n v="8"/>
    <n v="14167"/>
    <n v="3"/>
    <s v="C014167"/>
    <s v="Mini Market Galvan"/>
    <s v="MINI MARKET"/>
    <s v="Lunes"/>
    <s v="Lunes"/>
    <n v="91"/>
    <x v="74"/>
    <s v="V621043"/>
    <x v="74"/>
    <n v="6.6666666666660004E-2"/>
    <n v="4"/>
    <n v="0"/>
    <n v="0"/>
    <n v="0"/>
    <n v="0"/>
    <n v="0"/>
    <n v="0"/>
    <n v="0"/>
    <n v="91"/>
    <s v="Enrrique Morillo (DN)"/>
    <s v="DN6"/>
    <n v="10"/>
    <n v="138"/>
    <s v="INSECTICIDAS"/>
    <n v="0"/>
    <s v="NULL"/>
    <s v="Comercial Fila"/>
    <s v="S5"/>
    <s v="Fernando Martinez  (DN)"/>
    <s v="DN013"/>
    <s v="Distrito Nacional"/>
    <s v="E320000303404"/>
    <n v="0"/>
    <n v="1"/>
    <n v="3645"/>
    <s v="3 Baygon 285 + gratis 1 Vela de Mosquito Baygon"/>
    <n v="0"/>
    <n v="0"/>
    <s v="CONTADO                                           "/>
    <n v="3"/>
    <n v="6397323"/>
    <s v="Almacenes"/>
    <s v="General"/>
  </r>
  <r>
    <n v="223"/>
    <s v="A Grande"/>
    <n v="3"/>
    <n v="6397328"/>
    <s v="Martin Figueroa"/>
    <s v="Logistica y Distribucion"/>
    <n v="10226253"/>
    <d v="2026-06-08T00:00:00"/>
    <d v="2026-06-08T00:00:00"/>
    <n v="2026"/>
    <n v="6"/>
    <s v="T2"/>
    <n v="1"/>
    <s v="General"/>
    <s v="Santo Domnigo"/>
    <s v="NULL"/>
    <s v="NULL"/>
    <n v="24"/>
    <n v="8"/>
    <n v="12191"/>
    <n v="3"/>
    <s v="C012191"/>
    <s v="Super Mercado La Ballena"/>
    <s v="SUPERMERCADO"/>
    <s v="Lunes"/>
    <s v="Lunes"/>
    <n v="91"/>
    <x v="14"/>
    <s v="V800088"/>
    <x v="14"/>
    <n v="1"/>
    <n v="8"/>
    <n v="360.77"/>
    <n v="0"/>
    <n v="0"/>
    <n v="0"/>
    <n v="519.51"/>
    <n v="2886.16"/>
    <n v="3406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303409"/>
    <n v="0"/>
    <n v="0"/>
    <s v="NULL"/>
    <s v="NULL"/>
    <n v="0"/>
    <n v="0"/>
    <s v="CONTADO                                           "/>
    <n v="3"/>
    <n v="6397328"/>
    <s v="Almacenes"/>
    <s v="General"/>
  </r>
  <r>
    <n v="223"/>
    <s v="A Grande"/>
    <n v="3"/>
    <n v="6397328"/>
    <s v="Martin Figueroa"/>
    <s v="Logistica y Distribucion"/>
    <n v="10226253"/>
    <d v="2026-06-08T00:00:00"/>
    <d v="2026-06-08T00:00:00"/>
    <n v="2026"/>
    <n v="6"/>
    <s v="T2"/>
    <n v="1"/>
    <s v="General"/>
    <s v="Santo Domnigo"/>
    <s v="NULL"/>
    <s v="NULL"/>
    <n v="24"/>
    <n v="8"/>
    <n v="12191"/>
    <n v="3"/>
    <s v="C012191"/>
    <s v="Super Mercado La Ballena"/>
    <s v="SUPERMERCADO"/>
    <s v="Lunes"/>
    <s v="Lunes"/>
    <n v="91"/>
    <x v="19"/>
    <s v="V800089"/>
    <x v="19"/>
    <n v="1"/>
    <n v="8"/>
    <n v="360.77"/>
    <n v="0"/>
    <n v="0"/>
    <n v="0"/>
    <n v="519.51"/>
    <n v="2886.16"/>
    <n v="3406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303409"/>
    <n v="0"/>
    <n v="0"/>
    <s v="NULL"/>
    <s v="NULL"/>
    <n v="0"/>
    <n v="0"/>
    <s v="CONTADO                                           "/>
    <n v="3"/>
    <n v="6397328"/>
    <s v="Almacenes"/>
    <s v="General"/>
  </r>
  <r>
    <n v="223"/>
    <s v="A Grande"/>
    <n v="3"/>
    <n v="6398438"/>
    <s v="Martin Figueroa"/>
    <s v="Logistica y Distribucion"/>
    <n v="10227363"/>
    <d v="2026-06-09T00:00:00"/>
    <d v="2026-06-09T00:00:00"/>
    <n v="2026"/>
    <n v="6"/>
    <s v="T2"/>
    <n v="1"/>
    <s v="General"/>
    <s v="Santo Domnigo"/>
    <s v="NULL"/>
    <s v="NULL"/>
    <n v="24"/>
    <n v="9"/>
    <n v="14167"/>
    <n v="3"/>
    <s v="C014167"/>
    <s v="Mini Market Galvan"/>
    <s v="MINI MARKET"/>
    <s v="Lunes"/>
    <s v="Lunes"/>
    <n v="91"/>
    <x v="13"/>
    <s v="v101038"/>
    <x v="13"/>
    <n v="1"/>
    <n v="10"/>
    <n v="360.77"/>
    <n v="0"/>
    <n v="0"/>
    <n v="0"/>
    <n v="649.39"/>
    <n v="3607.7"/>
    <n v="4257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304427"/>
    <n v="0"/>
    <n v="0"/>
    <s v="NULL"/>
    <s v="NULL"/>
    <n v="0"/>
    <n v="0"/>
    <s v="CONTADO                                           "/>
    <n v="3"/>
    <n v="6398438"/>
    <s v="Almacenes"/>
    <s v="General"/>
  </r>
  <r>
    <n v="223"/>
    <s v="A Grande"/>
    <n v="3"/>
    <n v="6398438"/>
    <s v="Martin Figueroa"/>
    <s v="Logistica y Distribucion"/>
    <n v="10227363"/>
    <d v="2026-06-09T00:00:00"/>
    <d v="2026-06-09T00:00:00"/>
    <n v="2026"/>
    <n v="6"/>
    <s v="T2"/>
    <n v="1"/>
    <s v="General"/>
    <s v="Santo Domnigo"/>
    <s v="NULL"/>
    <s v="NULL"/>
    <n v="24"/>
    <n v="9"/>
    <n v="14167"/>
    <n v="3"/>
    <s v="C014167"/>
    <s v="Mini Market Galvan"/>
    <s v="MINI MARKET"/>
    <s v="Lunes"/>
    <s v="Lunes"/>
    <n v="91"/>
    <x v="19"/>
    <s v="V800089"/>
    <x v="19"/>
    <n v="1"/>
    <n v="8"/>
    <n v="360.77"/>
    <n v="0"/>
    <n v="0"/>
    <n v="0"/>
    <n v="519.51"/>
    <n v="2886.16"/>
    <n v="3406"/>
    <n v="91"/>
    <s v="Enrrique Morillo (DN)"/>
    <s v="DN6"/>
    <n v="10"/>
    <n v="105"/>
    <s v="NOSOTRAS"/>
    <n v="677001"/>
    <s v="CUIDADO FEMENINO"/>
    <s v="Continental de Negocios"/>
    <s v="S5"/>
    <s v="Fernando Martinez  (DN)"/>
    <s v="DN013"/>
    <s v="Distrito Nacional"/>
    <s v="E320000304427"/>
    <n v="0"/>
    <n v="0"/>
    <s v="NULL"/>
    <s v="NULL"/>
    <n v="0"/>
    <n v="0"/>
    <s v="CONTADO                                           "/>
    <n v="3"/>
    <n v="6398438"/>
    <s v="Almacenes"/>
    <s v="General"/>
  </r>
  <r>
    <n v="289"/>
    <s v="A Grande"/>
    <n v="3"/>
    <n v="6401239"/>
    <s v="AMAURI GIRON OSORIA"/>
    <s v="Logistica y Distribucion"/>
    <n v="10230165"/>
    <d v="2026-06-11T00:00:00"/>
    <d v="2026-06-11T00:00:00"/>
    <n v="2026"/>
    <n v="6"/>
    <s v="T2"/>
    <n v="1"/>
    <s v="General"/>
    <s v="Santo Domnigo"/>
    <s v="NULL"/>
    <s v="NULL"/>
    <n v="24"/>
    <n v="11"/>
    <n v="37594"/>
    <n v="3"/>
    <s v="C037594"/>
    <s v="Mini Market El patron 3."/>
    <s v="MINI MARKET"/>
    <s v="Miércoles"/>
    <s v="Miércoles"/>
    <n v="72"/>
    <x v="13"/>
    <s v="v101038"/>
    <x v="13"/>
    <n v="0.1"/>
    <n v="1"/>
    <n v="360.77"/>
    <n v="0"/>
    <n v="0"/>
    <n v="0"/>
    <n v="64.94"/>
    <n v="360.77"/>
    <n v="426"/>
    <n v="72"/>
    <s v="Carla Valdez (WC)"/>
    <s v="SDO7"/>
    <n v="10"/>
    <n v="105"/>
    <s v="NOSOTRAS"/>
    <n v="677001"/>
    <s v="CUIDADO FEMENINO"/>
    <s v="Continental de Negocios"/>
    <s v="S2"/>
    <s v="Fernando Martinez (SDO)"/>
    <s v="P011"/>
    <s v="Santo Domingo Oeste"/>
    <s v="E310000027527"/>
    <n v="0"/>
    <n v="0"/>
    <s v="NULL"/>
    <s v="NULL"/>
    <n v="0"/>
    <n v="0"/>
    <s v="CONTADO                                           "/>
    <n v="3"/>
    <n v="6401239"/>
    <s v="Almacenes"/>
    <s v="General"/>
  </r>
  <r>
    <n v="289"/>
    <s v="A Grande"/>
    <n v="3"/>
    <n v="6401239"/>
    <s v="AMAURI GIRON OSORIA"/>
    <s v="Logistica y Distribucion"/>
    <n v="10230165"/>
    <d v="2026-06-11T00:00:00"/>
    <d v="2026-06-11T00:00:00"/>
    <n v="2026"/>
    <n v="6"/>
    <s v="T2"/>
    <n v="1"/>
    <s v="General"/>
    <s v="Santo Domnigo"/>
    <s v="NULL"/>
    <s v="NULL"/>
    <n v="24"/>
    <n v="11"/>
    <n v="37594"/>
    <n v="3"/>
    <s v="C037594"/>
    <s v="Mini Market El patron 3."/>
    <s v="MINI MARKET"/>
    <s v="Miércoles"/>
    <s v="Miércoles"/>
    <n v="72"/>
    <x v="14"/>
    <s v="V800088"/>
    <x v="14"/>
    <n v="0.125"/>
    <n v="1"/>
    <n v="360.77"/>
    <n v="0"/>
    <n v="0"/>
    <n v="0"/>
    <n v="64.94"/>
    <n v="360.77"/>
    <n v="426"/>
    <n v="72"/>
    <s v="Carla Valdez (WC)"/>
    <s v="SDO7"/>
    <n v="10"/>
    <n v="105"/>
    <s v="NOSOTRAS"/>
    <n v="677001"/>
    <s v="CUIDADO FEMENINO"/>
    <s v="Continental de Negocios"/>
    <s v="S2"/>
    <s v="Fernando Martinez (SDO)"/>
    <s v="P011"/>
    <s v="Santo Domingo Oeste"/>
    <s v="E310000027527"/>
    <n v="0"/>
    <n v="0"/>
    <s v="NULL"/>
    <s v="NULL"/>
    <n v="0"/>
    <n v="0"/>
    <s v="CONTADO                                           "/>
    <n v="3"/>
    <n v="6401239"/>
    <s v="Almacenes"/>
    <s v="General"/>
  </r>
  <r>
    <n v="289"/>
    <s v="A Grande"/>
    <n v="3"/>
    <n v="6401239"/>
    <s v="AMAURI GIRON OSORIA"/>
    <s v="Logistica y Distribucion"/>
    <n v="10230165"/>
    <d v="2026-06-11T00:00:00"/>
    <d v="2026-06-11T00:00:00"/>
    <n v="2026"/>
    <n v="6"/>
    <s v="T2"/>
    <n v="1"/>
    <s v="General"/>
    <s v="Santo Domnigo"/>
    <s v="NULL"/>
    <s v="NULL"/>
    <n v="24"/>
    <n v="11"/>
    <n v="37594"/>
    <n v="3"/>
    <s v="C037594"/>
    <s v="Mini Market El patron 3."/>
    <s v="MINI MARKET"/>
    <s v="Miércoles"/>
    <s v="Miércoles"/>
    <n v="72"/>
    <x v="19"/>
    <s v="V800089"/>
    <x v="19"/>
    <n v="0.125"/>
    <n v="1"/>
    <n v="360.77"/>
    <n v="0"/>
    <n v="0"/>
    <n v="0"/>
    <n v="64.94"/>
    <n v="360.77"/>
    <n v="426"/>
    <n v="72"/>
    <s v="Carla Valdez (WC)"/>
    <s v="SDO7"/>
    <n v="10"/>
    <n v="105"/>
    <s v="NOSOTRAS"/>
    <n v="677001"/>
    <s v="CUIDADO FEMENINO"/>
    <s v="Continental de Negocios"/>
    <s v="S2"/>
    <s v="Fernando Martinez (SDO)"/>
    <s v="P011"/>
    <s v="Santo Domingo Oeste"/>
    <s v="E310000027527"/>
    <n v="0"/>
    <n v="0"/>
    <s v="NULL"/>
    <s v="NULL"/>
    <n v="0"/>
    <n v="0"/>
    <s v="CONTADO                                           "/>
    <n v="3"/>
    <n v="6401239"/>
    <s v="Almacenes"/>
    <s v="General"/>
  </r>
  <r>
    <n v="289"/>
    <s v="A Grande"/>
    <n v="3"/>
    <n v="6401239"/>
    <s v="AMAURI GIRON OSORIA"/>
    <s v="Logistica y Distribucion"/>
    <n v="10230165"/>
    <d v="2026-06-11T00:00:00"/>
    <d v="2026-06-11T00:00:00"/>
    <n v="2026"/>
    <n v="6"/>
    <s v="T2"/>
    <n v="1"/>
    <s v="General"/>
    <s v="Santo Domnigo"/>
    <s v="NULL"/>
    <s v="NULL"/>
    <n v="24"/>
    <n v="11"/>
    <n v="37594"/>
    <n v="3"/>
    <s v="C037594"/>
    <s v="Mini Market El patron 3."/>
    <s v="MINI MARKET"/>
    <s v="Miércoles"/>
    <s v="Miércoles"/>
    <n v="72"/>
    <x v="16"/>
    <s v="V103001"/>
    <x v="16"/>
    <n v="3"/>
    <n v="144"/>
    <n v="21.15"/>
    <n v="0"/>
    <n v="0"/>
    <n v="0"/>
    <n v="548.21"/>
    <n v="3045.6"/>
    <n v="3594"/>
    <n v="72"/>
    <s v="Carla Valdez (WC)"/>
    <s v="SDO7"/>
    <n v="10"/>
    <n v="107"/>
    <s v="FAMILIA"/>
    <n v="6770651"/>
    <s v="CUIDADO FAMILIAR"/>
    <s v="Continental de Negocios"/>
    <s v="S2"/>
    <s v="Fernando Martinez (SDO)"/>
    <s v="P011"/>
    <s v="Santo Domingo Oeste"/>
    <s v="E310000027527"/>
    <n v="0"/>
    <n v="0"/>
    <s v="NULL"/>
    <s v="NULL"/>
    <n v="0"/>
    <n v="0"/>
    <s v="CONTADO                                           "/>
    <n v="3"/>
    <n v="6401239"/>
    <s v="Almacenes"/>
    <s v="General"/>
  </r>
  <r>
    <n v="289"/>
    <s v="A Grande"/>
    <n v="3"/>
    <n v="6401239"/>
    <s v="AMAURI GIRON OSORIA"/>
    <s v="Logistica y Distribucion"/>
    <n v="10230165"/>
    <d v="2026-06-11T00:00:00"/>
    <d v="2026-06-11T00:00:00"/>
    <n v="2026"/>
    <n v="6"/>
    <s v="T2"/>
    <n v="1"/>
    <s v="General"/>
    <s v="Santo Domnigo"/>
    <s v="NULL"/>
    <s v="NULL"/>
    <n v="24"/>
    <n v="11"/>
    <n v="37594"/>
    <n v="3"/>
    <s v="C037594"/>
    <s v="Mini Market El patron 3."/>
    <s v="MINI MARKET"/>
    <s v="Miércoles"/>
    <s v="Miércoles"/>
    <n v="72"/>
    <x v="75"/>
    <s v="v611507"/>
    <x v="75"/>
    <n v="0.5"/>
    <n v="24"/>
    <n v="0"/>
    <n v="0"/>
    <n v="0"/>
    <n v="0"/>
    <n v="0"/>
    <n v="0"/>
    <n v="0"/>
    <n v="72"/>
    <s v="Carla Valdez (WC)"/>
    <s v="SDO7"/>
    <n v="10"/>
    <n v="111"/>
    <s v="Ofertas de Temporada"/>
    <n v="70101"/>
    <s v="FAMILIA AROMA"/>
    <s v="Continental de Negocios"/>
    <s v="S2"/>
    <s v="Fernando Martinez (SDO)"/>
    <s v="P011"/>
    <s v="Santo Domingo Oeste"/>
    <s v="E310000027527"/>
    <n v="0"/>
    <n v="1"/>
    <n v="3668"/>
    <s v="PAPEL HIGIENICO FAMILIA AROMA 48+8 y 24+3 DE OFERTA"/>
    <n v="0"/>
    <n v="0"/>
    <s v="CONTADO                                           "/>
    <n v="3"/>
    <n v="6401239"/>
    <s v="Almacenes"/>
    <s v="General"/>
  </r>
  <r>
    <n v="223"/>
    <s v="A Grande"/>
    <n v="3"/>
    <n v="6401627"/>
    <s v="Martin Figueroa"/>
    <s v="Logistica y Distribucion"/>
    <n v="10230553"/>
    <d v="2026-06-11T00:00:00"/>
    <d v="2026-06-11T00:00:00"/>
    <n v="2026"/>
    <n v="6"/>
    <s v="T2"/>
    <n v="1"/>
    <s v="General"/>
    <s v="Santo Domnigo"/>
    <s v="NULL"/>
    <s v="NULL"/>
    <n v="24"/>
    <n v="11"/>
    <n v="19291"/>
    <n v="3"/>
    <s v="C019291"/>
    <s v="Mini Market Isamal Comercial"/>
    <s v="MINI MARKET"/>
    <s v="Miércoles"/>
    <s v="Miércoles"/>
    <n v="8"/>
    <x v="13"/>
    <s v="v101038"/>
    <x v="13"/>
    <n v="1"/>
    <n v="10"/>
    <n v="364.41"/>
    <n v="0"/>
    <n v="0"/>
    <n v="0"/>
    <n v="655.94"/>
    <n v="3644.1"/>
    <n v="4300"/>
    <n v="8"/>
    <s v="Daniel Gutierrez"/>
    <s v="DN3"/>
    <n v="10"/>
    <n v="105"/>
    <s v="NOSOTRAS"/>
    <n v="677001"/>
    <s v="CUIDADO FEMENINO"/>
    <s v="Continental de Negocios"/>
    <s v="S5"/>
    <s v="Fernando Martinez  (DN)"/>
    <s v="P016"/>
    <s v="Distrito Nacional"/>
    <s v="E320000307436"/>
    <n v="0"/>
    <n v="0"/>
    <s v="NULL"/>
    <s v="NULL"/>
    <n v="0"/>
    <n v="0"/>
    <s v="CONTADO                                           "/>
    <n v="3"/>
    <n v="6401627"/>
    <s v="Almacenes"/>
    <s v="General"/>
  </r>
  <r>
    <n v="119"/>
    <s v="A Grande"/>
    <n v="3"/>
    <n v="6402905"/>
    <s v="Mario Jose Martinez"/>
    <s v="Logistica y Distribucion"/>
    <n v="10231831"/>
    <d v="2026-06-12T00:00:00"/>
    <d v="2026-06-12T00:00:00"/>
    <n v="2026"/>
    <n v="6"/>
    <s v="T2"/>
    <n v="1"/>
    <s v="General"/>
    <s v="Santo Domnigo"/>
    <s v="NULL"/>
    <s v="NULL"/>
    <n v="24"/>
    <n v="12"/>
    <n v="36908"/>
    <n v="3"/>
    <s v="c036908"/>
    <s v="Asociacion De Detallistas Unidos De Mendoza"/>
    <s v="SUPERMERCADO"/>
    <s v="Miércoles"/>
    <s v="Miércoles"/>
    <n v="11"/>
    <x v="9"/>
    <s v="V201001"/>
    <x v="9"/>
    <n v="25"/>
    <n v="25"/>
    <n v="219.45"/>
    <n v="0"/>
    <n v="0"/>
    <n v="0"/>
    <n v="987.53"/>
    <n v="5486.25"/>
    <n v="6474"/>
    <n v="11"/>
    <s v="Yeuri Montaño"/>
    <s v="SDE1"/>
    <n v="10"/>
    <n v="113"/>
    <s v="REFISAL"/>
    <n v="82101"/>
    <s v="REFISAL PACA"/>
    <s v="Brinsa Dominicana"/>
    <s v="S1"/>
    <s v="Ramon E. Pimentel (SDE)"/>
    <s v="P027"/>
    <s v="Santo Domingo Este"/>
    <s v="E320000308617"/>
    <n v="0"/>
    <n v="0"/>
    <s v="NULL"/>
    <s v="NULL"/>
    <n v="0"/>
    <n v="0"/>
    <s v="CONTADO                                           "/>
    <n v="3"/>
    <n v="6402905"/>
    <s v="Almacenes"/>
    <s v="General"/>
  </r>
  <r>
    <n v="109"/>
    <s v="A Grande"/>
    <n v="3"/>
    <n v="6403774"/>
    <s v="Tony Vallejo"/>
    <s v="Logistica y Distribucion"/>
    <n v="10232700"/>
    <d v="2026-06-13T00:00:00"/>
    <d v="2026-06-13T00:00:00"/>
    <n v="2026"/>
    <n v="6"/>
    <s v="T2"/>
    <n v="1"/>
    <s v="General"/>
    <s v="Santo Domnigo"/>
    <s v="NULL"/>
    <s v="NULL"/>
    <n v="24"/>
    <n v="13"/>
    <n v="14167"/>
    <n v="3"/>
    <s v="C014167"/>
    <s v="Mini Market Galvan"/>
    <s v="MINI MARKET"/>
    <s v="Lunes"/>
    <s v="Lunes"/>
    <n v="91"/>
    <x v="9"/>
    <s v="V201001"/>
    <x v="9"/>
    <n v="10"/>
    <n v="10"/>
    <n v="221.67"/>
    <n v="0"/>
    <n v="0"/>
    <n v="0"/>
    <n v="399.01"/>
    <n v="2216.6999999999998"/>
    <n v="2616"/>
    <n v="91"/>
    <s v="Enrrique Morillo (DN)"/>
    <s v="DN6"/>
    <n v="10"/>
    <n v="113"/>
    <s v="REFISAL"/>
    <n v="82101"/>
    <s v="REFISAL PACA"/>
    <s v="Brinsa Dominicana"/>
    <s v="S5"/>
    <s v="Fernando Martinez  (DN)"/>
    <s v="DN013"/>
    <s v="Distrito Nacional"/>
    <s v="E320000309444"/>
    <n v="0"/>
    <n v="0"/>
    <s v="NULL"/>
    <s v="NULL"/>
    <n v="0"/>
    <n v="0"/>
    <s v="CONTADO                                           "/>
    <n v="3"/>
    <n v="6403774"/>
    <s v="Almacenes"/>
    <s v="General"/>
  </r>
  <r>
    <n v="119"/>
    <s v="A Grande"/>
    <n v="3"/>
    <n v="6404163"/>
    <s v="Mario Jose Martinez"/>
    <s v="Logistica y Distribucion"/>
    <n v="10233089"/>
    <d v="2026-06-13T00:00:00"/>
    <d v="2026-06-13T00:00:00"/>
    <n v="2026"/>
    <n v="6"/>
    <s v="T2"/>
    <n v="1"/>
    <s v="General"/>
    <s v="Santo Domnigo"/>
    <s v="NULL"/>
    <s v="NULL"/>
    <n v="24"/>
    <n v="13"/>
    <n v="36908"/>
    <n v="3"/>
    <s v="c036908"/>
    <s v="Asociacion De Detallistas Unidos De Mendoza"/>
    <s v="SUPERMERCADO"/>
    <s v="Miércoles"/>
    <s v="Miércoles"/>
    <n v="11"/>
    <x v="19"/>
    <s v="V800089"/>
    <x v="19"/>
    <n v="3"/>
    <n v="24"/>
    <n v="357.12"/>
    <n v="0"/>
    <n v="0"/>
    <n v="0"/>
    <n v="1542.76"/>
    <n v="8570.8799999999992"/>
    <n v="10114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309839"/>
    <n v="0"/>
    <n v="0"/>
    <s v="NULL"/>
    <s v="NULL"/>
    <n v="0"/>
    <n v="0"/>
    <s v="CONTADO                                           "/>
    <n v="3"/>
    <n v="6404163"/>
    <s v="Almacenes"/>
    <s v="General"/>
  </r>
  <r>
    <n v="119"/>
    <s v="A Grande"/>
    <n v="3"/>
    <n v="6404163"/>
    <s v="Mario Jose Martinez"/>
    <s v="Logistica y Distribucion"/>
    <n v="10233089"/>
    <d v="2026-06-13T00:00:00"/>
    <d v="2026-06-13T00:00:00"/>
    <n v="2026"/>
    <n v="6"/>
    <s v="T2"/>
    <n v="1"/>
    <s v="General"/>
    <s v="Santo Domnigo"/>
    <s v="NULL"/>
    <s v="NULL"/>
    <n v="24"/>
    <n v="13"/>
    <n v="36908"/>
    <n v="3"/>
    <s v="c036908"/>
    <s v="Asociacion De Detallistas Unidos De Mendoza"/>
    <s v="SUPERMERCADO"/>
    <s v="Miércoles"/>
    <s v="Miércoles"/>
    <n v="11"/>
    <x v="13"/>
    <s v="v101038"/>
    <x v="13"/>
    <n v="3"/>
    <n v="30"/>
    <n v="357.12"/>
    <n v="0"/>
    <n v="0"/>
    <n v="0"/>
    <n v="1928.45"/>
    <n v="10713.6"/>
    <n v="12642"/>
    <n v="11"/>
    <s v="Yeuri Montaño"/>
    <s v="SDE1"/>
    <n v="10"/>
    <n v="105"/>
    <s v="NOSOTRAS"/>
    <n v="677001"/>
    <s v="CUIDADO FEMENINO"/>
    <s v="Continental de Negocios"/>
    <s v="S1"/>
    <s v="Ramon E. Pimentel (SDE)"/>
    <s v="P027"/>
    <s v="Santo Domingo Este"/>
    <s v="E320000309839"/>
    <n v="0"/>
    <n v="0"/>
    <s v="NULL"/>
    <s v="NULL"/>
    <n v="0"/>
    <n v="0"/>
    <s v="CONTADO                                           "/>
    <n v="3"/>
    <n v="6404163"/>
    <s v="Almacenes"/>
    <s v="General"/>
  </r>
  <r>
    <n v="242"/>
    <s v="A Grande"/>
    <n v="3"/>
    <n v="6405363"/>
    <s v="Agustin Luna Valdez"/>
    <s v="Logistica y Distribucion"/>
    <n v="10234289"/>
    <d v="2026-06-15T00:00:00"/>
    <d v="2026-06-15T00:00:00"/>
    <n v="2026"/>
    <n v="6"/>
    <s v="T2"/>
    <n v="1"/>
    <s v="General"/>
    <s v="Santo Domnigo"/>
    <s v="NULL"/>
    <s v="NULL"/>
    <n v="25"/>
    <n v="15"/>
    <n v="29579"/>
    <n v="3"/>
    <s v="C029579"/>
    <s v="Mini Market  Shairelys"/>
    <s v="MINI MARKET"/>
    <s v="Viernes"/>
    <s v="Viernes"/>
    <n v="60"/>
    <x v="13"/>
    <s v="v101038"/>
    <x v="13"/>
    <n v="1"/>
    <n v="10"/>
    <n v="364.41"/>
    <n v="0"/>
    <n v="0"/>
    <n v="0"/>
    <n v="655.94"/>
    <n v="3644.1"/>
    <n v="4300"/>
    <n v="60"/>
    <s v="Martina Ramirez"/>
    <s v="DN5"/>
    <n v="10"/>
    <n v="105"/>
    <s v="NOSOTRAS"/>
    <n v="677001"/>
    <s v="CUIDADO FEMENINO"/>
    <s v="Continental de Negocios"/>
    <s v="S5"/>
    <s v="Fernando Martinez  (DN)"/>
    <s v="P002"/>
    <s v="Distrito Nacional"/>
    <s v="E310000027942"/>
    <n v="0"/>
    <n v="0"/>
    <s v="NULL"/>
    <s v="NULL"/>
    <n v="0"/>
    <n v="0"/>
    <s v="CONTADO                                           "/>
    <n v="3"/>
    <n v="6405363"/>
    <s v="Almacenes"/>
    <s v="General"/>
  </r>
  <r>
    <n v="223"/>
    <s v="A Grande"/>
    <n v="3"/>
    <n v="6405433"/>
    <s v="Martin Figueroa"/>
    <s v="Logistica y Distribucion"/>
    <n v="10234359"/>
    <d v="2026-06-15T00:00:00"/>
    <d v="2026-06-15T00:00:00"/>
    <n v="2026"/>
    <n v="6"/>
    <s v="T2"/>
    <n v="1"/>
    <s v="General"/>
    <s v="Santo Domnigo"/>
    <s v="NULL"/>
    <s v="NULL"/>
    <n v="25"/>
    <n v="15"/>
    <n v="14167"/>
    <n v="3"/>
    <s v="C014167"/>
    <s v="Mini Market Galvan"/>
    <s v="MINI MARKET"/>
    <s v="Lunes"/>
    <s v="Lunes"/>
    <n v="91"/>
    <x v="9"/>
    <s v="V201001"/>
    <x v="9"/>
    <n v="10"/>
    <n v="10"/>
    <n v="221.67"/>
    <n v="0"/>
    <n v="0"/>
    <n v="0"/>
    <n v="399.01"/>
    <n v="2216.6999999999998"/>
    <n v="2616"/>
    <n v="91"/>
    <s v="Enrrique Morillo (DN)"/>
    <s v="DN6"/>
    <n v="10"/>
    <n v="113"/>
    <s v="REFISAL"/>
    <n v="82101"/>
    <s v="REFISAL PACA"/>
    <s v="Brinsa Dominicana"/>
    <s v="S5"/>
    <s v="Fernando Martinez  (DN)"/>
    <s v="DN013"/>
    <s v="Distrito Nacional"/>
    <s v="E320000310988"/>
    <n v="0"/>
    <n v="0"/>
    <s v="NULL"/>
    <s v="NULL"/>
    <n v="0"/>
    <n v="0"/>
    <s v="CONTADO                                           "/>
    <n v="3"/>
    <n v="6405433"/>
    <s v="Almacenes"/>
    <s v="Gene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24B36-403A-4687-81E3-C542339FF360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C81" firstHeaderRow="2" firstDataRow="2" firstDataCol="2"/>
  <pivotFields count="6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7" outline="0" showAll="0"/>
    <pivotField compact="0" numFmtId="4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76">
        <item x="26"/>
        <item x="44"/>
        <item x="27"/>
        <item x="28"/>
        <item x="29"/>
        <item x="13"/>
        <item x="51"/>
        <item x="18"/>
        <item x="61"/>
        <item x="23"/>
        <item x="16"/>
        <item x="17"/>
        <item x="71"/>
        <item x="46"/>
        <item x="9"/>
        <item x="25"/>
        <item x="68"/>
        <item x="48"/>
        <item x="49"/>
        <item x="6"/>
        <item x="54"/>
        <item x="4"/>
        <item x="5"/>
        <item x="20"/>
        <item x="66"/>
        <item x="10"/>
        <item x="53"/>
        <item x="75"/>
        <item x="7"/>
        <item x="72"/>
        <item x="0"/>
        <item x="74"/>
        <item x="2"/>
        <item x="31"/>
        <item x="32"/>
        <item x="35"/>
        <item x="36"/>
        <item x="33"/>
        <item x="34"/>
        <item x="14"/>
        <item x="19"/>
        <item x="12"/>
        <item x="21"/>
        <item x="40"/>
        <item x="41"/>
        <item x="62"/>
        <item x="59"/>
        <item x="69"/>
        <item x="15"/>
        <item x="52"/>
        <item x="58"/>
        <item x="37"/>
        <item x="38"/>
        <item x="24"/>
        <item x="57"/>
        <item x="1"/>
        <item x="63"/>
        <item x="30"/>
        <item x="22"/>
        <item x="65"/>
        <item x="50"/>
        <item x="11"/>
        <item x="64"/>
        <item x="8"/>
        <item x="70"/>
        <item x="47"/>
        <item x="39"/>
        <item x="55"/>
        <item x="56"/>
        <item x="42"/>
        <item x="60"/>
        <item x="45"/>
        <item x="73"/>
        <item x="67"/>
        <item x="3"/>
        <item x="43"/>
      </items>
    </pivotField>
    <pivotField compact="0" outline="0" showAll="0"/>
    <pivotField axis="axisRow" compact="0" outline="0" showAll="0">
      <items count="77">
        <item x="38"/>
        <item x="37"/>
        <item x="7"/>
        <item x="2"/>
        <item x="41"/>
        <item x="21"/>
        <item x="12"/>
        <item x="40"/>
        <item x="25"/>
        <item x="6"/>
        <item x="4"/>
        <item x="5"/>
        <item x="20"/>
        <item x="42"/>
        <item x="43"/>
        <item x="24"/>
        <item x="39"/>
        <item x="47"/>
        <item x="64"/>
        <item x="17"/>
        <item x="62"/>
        <item x="8"/>
        <item x="53"/>
        <item x="0"/>
        <item x="72"/>
        <item x="68"/>
        <item x="71"/>
        <item x="57"/>
        <item x="34"/>
        <item x="32"/>
        <item x="35"/>
        <item x="36"/>
        <item x="33"/>
        <item x="31"/>
        <item x="56"/>
        <item x="3"/>
        <item x="67"/>
        <item x="73"/>
        <item x="48"/>
        <item x="49"/>
        <item x="63"/>
        <item x="1"/>
        <item x="11"/>
        <item x="26"/>
        <item x="28"/>
        <item x="13"/>
        <item x="29"/>
        <item x="44"/>
        <item x="14"/>
        <item x="27"/>
        <item x="19"/>
        <item x="23"/>
        <item x="50"/>
        <item x="52"/>
        <item x="61"/>
        <item x="74"/>
        <item x="75"/>
        <item x="69"/>
        <item x="10"/>
        <item x="66"/>
        <item x="18"/>
        <item x="46"/>
        <item x="51"/>
        <item x="16"/>
        <item x="54"/>
        <item x="9"/>
        <item x="15"/>
        <item x="58"/>
        <item x="59"/>
        <item x="22"/>
        <item x="65"/>
        <item x="55"/>
        <item x="45"/>
        <item x="30"/>
        <item x="70"/>
        <item x="6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7"/>
    <field x="29"/>
  </rowFields>
  <rowItems count="77">
    <i>
      <x/>
      <x v="43"/>
    </i>
    <i>
      <x v="1"/>
      <x v="47"/>
    </i>
    <i>
      <x v="2"/>
      <x v="49"/>
    </i>
    <i>
      <x v="3"/>
      <x v="44"/>
    </i>
    <i>
      <x v="4"/>
      <x v="46"/>
    </i>
    <i>
      <x v="5"/>
      <x v="45"/>
    </i>
    <i>
      <x v="6"/>
      <x v="62"/>
    </i>
    <i>
      <x v="7"/>
      <x v="60"/>
    </i>
    <i>
      <x v="8"/>
      <x v="54"/>
    </i>
    <i>
      <x v="9"/>
      <x v="51"/>
    </i>
    <i>
      <x v="10"/>
      <x v="63"/>
    </i>
    <i>
      <x v="11"/>
      <x v="19"/>
    </i>
    <i>
      <x v="12"/>
      <x v="26"/>
    </i>
    <i>
      <x v="13"/>
      <x v="61"/>
    </i>
    <i>
      <x v="14"/>
      <x v="65"/>
    </i>
    <i>
      <x v="15"/>
      <x v="8"/>
    </i>
    <i>
      <x v="16"/>
      <x v="25"/>
    </i>
    <i>
      <x v="17"/>
      <x v="38"/>
    </i>
    <i>
      <x v="18"/>
      <x v="39"/>
    </i>
    <i>
      <x v="19"/>
      <x v="9"/>
    </i>
    <i>
      <x v="20"/>
      <x v="64"/>
    </i>
    <i>
      <x v="21"/>
      <x v="10"/>
    </i>
    <i>
      <x v="22"/>
      <x v="11"/>
    </i>
    <i>
      <x v="23"/>
      <x v="12"/>
    </i>
    <i>
      <x v="24"/>
      <x v="59"/>
    </i>
    <i>
      <x v="25"/>
      <x v="58"/>
    </i>
    <i>
      <x v="26"/>
      <x v="22"/>
    </i>
    <i>
      <x v="27"/>
      <x v="56"/>
    </i>
    <i>
      <x v="28"/>
      <x v="2"/>
    </i>
    <i>
      <x v="29"/>
      <x v="24"/>
    </i>
    <i>
      <x v="30"/>
      <x v="23"/>
    </i>
    <i>
      <x v="31"/>
      <x v="55"/>
    </i>
    <i>
      <x v="32"/>
      <x v="3"/>
    </i>
    <i>
      <x v="33"/>
      <x v="33"/>
    </i>
    <i>
      <x v="34"/>
      <x v="29"/>
    </i>
    <i>
      <x v="35"/>
      <x v="30"/>
    </i>
    <i>
      <x v="36"/>
      <x v="31"/>
    </i>
    <i>
      <x v="37"/>
      <x v="32"/>
    </i>
    <i>
      <x v="38"/>
      <x v="28"/>
    </i>
    <i>
      <x v="39"/>
      <x v="48"/>
    </i>
    <i>
      <x v="40"/>
      <x v="50"/>
    </i>
    <i>
      <x v="41"/>
      <x v="6"/>
    </i>
    <i>
      <x v="42"/>
      <x v="5"/>
    </i>
    <i>
      <x v="43"/>
      <x v="7"/>
    </i>
    <i>
      <x v="44"/>
      <x v="4"/>
    </i>
    <i>
      <x v="45"/>
      <x v="20"/>
    </i>
    <i>
      <x v="46"/>
      <x v="68"/>
    </i>
    <i>
      <x v="47"/>
      <x v="57"/>
    </i>
    <i>
      <x v="48"/>
      <x v="66"/>
    </i>
    <i>
      <x v="49"/>
      <x v="53"/>
    </i>
    <i>
      <x v="50"/>
      <x v="67"/>
    </i>
    <i>
      <x v="51"/>
      <x v="1"/>
    </i>
    <i>
      <x v="52"/>
      <x/>
    </i>
    <i>
      <x v="53"/>
      <x v="15"/>
    </i>
    <i>
      <x v="54"/>
      <x v="27"/>
    </i>
    <i>
      <x v="55"/>
      <x v="41"/>
    </i>
    <i>
      <x v="56"/>
      <x v="40"/>
    </i>
    <i>
      <x v="57"/>
      <x v="73"/>
    </i>
    <i>
      <x v="58"/>
      <x v="69"/>
    </i>
    <i>
      <x v="59"/>
      <x v="70"/>
    </i>
    <i>
      <x v="60"/>
      <x v="52"/>
    </i>
    <i>
      <x v="61"/>
      <x v="42"/>
    </i>
    <i>
      <x v="62"/>
      <x v="18"/>
    </i>
    <i>
      <x v="63"/>
      <x v="21"/>
    </i>
    <i>
      <x v="64"/>
      <x v="74"/>
    </i>
    <i>
      <x v="65"/>
      <x v="17"/>
    </i>
    <i>
      <x v="66"/>
      <x v="16"/>
    </i>
    <i>
      <x v="67"/>
      <x v="71"/>
    </i>
    <i>
      <x v="68"/>
      <x v="34"/>
    </i>
    <i>
      <x v="69"/>
      <x v="13"/>
    </i>
    <i>
      <x v="70"/>
      <x v="75"/>
    </i>
    <i>
      <x v="71"/>
      <x v="72"/>
    </i>
    <i>
      <x v="72"/>
      <x v="37"/>
    </i>
    <i>
      <x v="73"/>
      <x v="36"/>
    </i>
    <i>
      <x v="74"/>
      <x v="35"/>
    </i>
    <i>
      <x v="75"/>
      <x v="14"/>
    </i>
    <i t="grand">
      <x/>
    </i>
  </rowItems>
  <colItems count="1">
    <i/>
  </colItems>
  <dataFields count="1">
    <dataField name="Suma de ValorBruto" fld="37" baseField="29" baseItem="4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showGridLines="0" workbookViewId="0">
      <pane ySplit="3" topLeftCell="A4" activePane="bottomLeft" state="frozen"/>
      <selection pane="bottomLeft" activeCell="D15" sqref="D15:D24"/>
    </sheetView>
  </sheetViews>
  <sheetFormatPr baseColWidth="10" defaultColWidth="8.88671875" defaultRowHeight="14.4" x14ac:dyDescent="0.3"/>
  <cols>
    <col min="1" max="1" width="12" customWidth="1"/>
    <col min="2" max="2" width="5" customWidth="1"/>
    <col min="3" max="3" width="25.21875" customWidth="1"/>
    <col min="4" max="4" width="32" customWidth="1"/>
    <col min="5" max="5" width="34.21875" customWidth="1"/>
    <col min="6" max="7" width="11" customWidth="1"/>
    <col min="8" max="8" width="13" customWidth="1"/>
    <col min="9" max="9" width="26" customWidth="1"/>
    <col min="10" max="10" width="13" customWidth="1"/>
    <col min="11" max="11" width="28" customWidth="1"/>
    <col min="12" max="13" width="10" customWidth="1"/>
    <col min="14" max="14" width="18" customWidth="1"/>
    <col min="15" max="15" width="10" customWidth="1"/>
  </cols>
  <sheetData>
    <row r="1" spans="1:15" ht="25.95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3">
      <c r="A2" s="30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ht="31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6.05" customHeight="1" x14ac:dyDescent="0.3">
      <c r="A4" s="2" t="s">
        <v>17</v>
      </c>
      <c r="B4" s="3">
        <v>1</v>
      </c>
      <c r="C4" s="3">
        <v>14167</v>
      </c>
      <c r="D4" s="4" t="s">
        <v>18</v>
      </c>
      <c r="E4" s="3" t="s">
        <v>19</v>
      </c>
      <c r="F4" s="3" t="s">
        <v>20</v>
      </c>
      <c r="G4" s="3" t="s">
        <v>20</v>
      </c>
      <c r="H4" s="3" t="s">
        <v>21</v>
      </c>
      <c r="I4" s="5" t="s">
        <v>22</v>
      </c>
      <c r="J4" s="3" t="s">
        <v>23</v>
      </c>
      <c r="K4" s="5" t="s">
        <v>24</v>
      </c>
      <c r="L4" s="3" t="s">
        <v>25</v>
      </c>
      <c r="M4" s="3" t="s">
        <v>26</v>
      </c>
      <c r="N4" s="6">
        <v>14794.6525</v>
      </c>
      <c r="O4" s="3">
        <v>4</v>
      </c>
    </row>
    <row r="5" spans="1:15" ht="16.05" customHeight="1" x14ac:dyDescent="0.3">
      <c r="A5" s="2" t="s">
        <v>17</v>
      </c>
      <c r="B5" s="3">
        <v>2</v>
      </c>
      <c r="C5" s="3">
        <v>12191</v>
      </c>
      <c r="D5" s="4" t="s">
        <v>27</v>
      </c>
      <c r="E5" s="3" t="s">
        <v>28</v>
      </c>
      <c r="F5" s="3" t="s">
        <v>20</v>
      </c>
      <c r="G5" s="3" t="s">
        <v>20</v>
      </c>
      <c r="H5" s="3" t="s">
        <v>21</v>
      </c>
      <c r="I5" s="5" t="s">
        <v>22</v>
      </c>
      <c r="J5" s="3" t="s">
        <v>23</v>
      </c>
      <c r="K5" s="5" t="s">
        <v>24</v>
      </c>
      <c r="L5" s="3" t="s">
        <v>25</v>
      </c>
      <c r="M5" s="3" t="s">
        <v>26</v>
      </c>
      <c r="N5" s="6">
        <v>4643.8525</v>
      </c>
      <c r="O5" s="3">
        <v>4</v>
      </c>
    </row>
    <row r="6" spans="1:15" ht="16.05" customHeight="1" x14ac:dyDescent="0.3">
      <c r="A6" s="2" t="s">
        <v>17</v>
      </c>
      <c r="B6" s="3">
        <v>3</v>
      </c>
      <c r="C6" s="3">
        <v>2280</v>
      </c>
      <c r="D6" s="4" t="s">
        <v>29</v>
      </c>
      <c r="E6" s="3" t="s">
        <v>19</v>
      </c>
      <c r="F6" s="3" t="s">
        <v>30</v>
      </c>
      <c r="G6" s="3" t="s">
        <v>30</v>
      </c>
      <c r="H6" s="3" t="s">
        <v>31</v>
      </c>
      <c r="I6" s="5" t="s">
        <v>32</v>
      </c>
      <c r="J6" s="3" t="s">
        <v>23</v>
      </c>
      <c r="K6" s="5" t="s">
        <v>24</v>
      </c>
      <c r="L6" s="3" t="s">
        <v>33</v>
      </c>
      <c r="M6" s="3" t="s">
        <v>34</v>
      </c>
      <c r="N6" s="6">
        <v>7609.6025</v>
      </c>
      <c r="O6" s="3">
        <v>4</v>
      </c>
    </row>
    <row r="7" spans="1:15" ht="16.05" customHeight="1" x14ac:dyDescent="0.3">
      <c r="A7" s="2" t="s">
        <v>17</v>
      </c>
      <c r="B7" s="3">
        <v>4</v>
      </c>
      <c r="C7" s="3">
        <v>19291</v>
      </c>
      <c r="D7" s="4" t="s">
        <v>35</v>
      </c>
      <c r="E7" s="3" t="s">
        <v>19</v>
      </c>
      <c r="F7" s="3" t="s">
        <v>30</v>
      </c>
      <c r="G7" s="3" t="s">
        <v>30</v>
      </c>
      <c r="H7" s="3" t="s">
        <v>36</v>
      </c>
      <c r="I7" s="5" t="s">
        <v>37</v>
      </c>
      <c r="J7" s="3" t="s">
        <v>23</v>
      </c>
      <c r="K7" s="5" t="s">
        <v>24</v>
      </c>
      <c r="L7" s="3" t="s">
        <v>38</v>
      </c>
      <c r="M7" s="3" t="s">
        <v>39</v>
      </c>
      <c r="N7" s="6">
        <v>13097.50666666667</v>
      </c>
      <c r="O7" s="3">
        <v>3</v>
      </c>
    </row>
    <row r="8" spans="1:15" ht="16.05" customHeight="1" x14ac:dyDescent="0.3">
      <c r="A8" s="2" t="s">
        <v>17</v>
      </c>
      <c r="B8" s="3">
        <v>5</v>
      </c>
      <c r="C8" s="3">
        <v>29579</v>
      </c>
      <c r="D8" s="4" t="s">
        <v>40</v>
      </c>
      <c r="E8" s="3" t="s">
        <v>19</v>
      </c>
      <c r="F8" s="3" t="s">
        <v>41</v>
      </c>
      <c r="G8" s="3" t="s">
        <v>41</v>
      </c>
      <c r="H8" s="3" t="s">
        <v>42</v>
      </c>
      <c r="I8" s="5" t="s">
        <v>43</v>
      </c>
      <c r="J8" s="3" t="s">
        <v>23</v>
      </c>
      <c r="K8" s="5" t="s">
        <v>24</v>
      </c>
      <c r="L8" s="3" t="s">
        <v>44</v>
      </c>
      <c r="M8" s="3" t="s">
        <v>45</v>
      </c>
      <c r="N8" s="6">
        <v>6723.36</v>
      </c>
      <c r="O8" s="3">
        <v>4</v>
      </c>
    </row>
    <row r="9" spans="1:15" ht="16.05" customHeight="1" x14ac:dyDescent="0.3">
      <c r="A9" s="2" t="s">
        <v>17</v>
      </c>
      <c r="B9" s="3">
        <v>6</v>
      </c>
      <c r="C9" s="3">
        <v>1019</v>
      </c>
      <c r="D9" s="4" t="s">
        <v>46</v>
      </c>
      <c r="E9" s="3" t="s">
        <v>19</v>
      </c>
      <c r="F9" s="3" t="s">
        <v>41</v>
      </c>
      <c r="G9" s="3" t="s">
        <v>41</v>
      </c>
      <c r="H9" s="3" t="s">
        <v>42</v>
      </c>
      <c r="I9" s="5" t="s">
        <v>43</v>
      </c>
      <c r="J9" s="3" t="s">
        <v>23</v>
      </c>
      <c r="K9" s="5" t="s">
        <v>24</v>
      </c>
      <c r="L9" s="3" t="s">
        <v>44</v>
      </c>
      <c r="M9" s="3" t="s">
        <v>45</v>
      </c>
      <c r="N9" s="6">
        <v>2819.5050000000001</v>
      </c>
      <c r="O9" s="3">
        <v>4</v>
      </c>
    </row>
    <row r="10" spans="1:15" ht="16.05" customHeight="1" x14ac:dyDescent="0.3">
      <c r="A10" s="2" t="s">
        <v>17</v>
      </c>
      <c r="B10" s="3">
        <v>7</v>
      </c>
      <c r="C10" s="3">
        <v>37594</v>
      </c>
      <c r="D10" s="4" t="s">
        <v>47</v>
      </c>
      <c r="E10" s="3" t="s">
        <v>19</v>
      </c>
      <c r="F10" s="3" t="s">
        <v>30</v>
      </c>
      <c r="G10" s="3" t="s">
        <v>30</v>
      </c>
      <c r="H10" s="3" t="s">
        <v>48</v>
      </c>
      <c r="I10" s="5" t="s">
        <v>49</v>
      </c>
      <c r="J10" s="3" t="s">
        <v>50</v>
      </c>
      <c r="K10" s="5" t="s">
        <v>51</v>
      </c>
      <c r="L10" s="3" t="s">
        <v>52</v>
      </c>
      <c r="M10" s="3" t="s">
        <v>53</v>
      </c>
      <c r="N10" s="6">
        <v>4519.8</v>
      </c>
      <c r="O10" s="3">
        <v>5</v>
      </c>
    </row>
    <row r="11" spans="1:15" ht="16.05" customHeight="1" x14ac:dyDescent="0.3">
      <c r="A11" s="7"/>
      <c r="B11" s="7">
        <v>8</v>
      </c>
      <c r="C11" s="7">
        <v>5474</v>
      </c>
      <c r="D11" s="8" t="s">
        <v>54</v>
      </c>
      <c r="E11" s="7" t="s">
        <v>19</v>
      </c>
      <c r="F11" s="7" t="s">
        <v>55</v>
      </c>
      <c r="G11" s="7" t="s">
        <v>56</v>
      </c>
      <c r="H11" s="7" t="s">
        <v>57</v>
      </c>
      <c r="I11" s="8" t="s">
        <v>58</v>
      </c>
      <c r="J11" s="7" t="s">
        <v>50</v>
      </c>
      <c r="K11" s="8" t="s">
        <v>51</v>
      </c>
      <c r="L11" s="7" t="s">
        <v>59</v>
      </c>
      <c r="M11" s="7" t="s">
        <v>60</v>
      </c>
      <c r="N11" s="9">
        <v>3644.1</v>
      </c>
      <c r="O11" s="7">
        <v>1</v>
      </c>
    </row>
    <row r="12" spans="1:15" ht="16.05" customHeight="1" x14ac:dyDescent="0.3">
      <c r="A12" s="10"/>
      <c r="B12" s="10">
        <v>9</v>
      </c>
      <c r="C12" s="10">
        <v>1161</v>
      </c>
      <c r="D12" s="11" t="s">
        <v>61</v>
      </c>
      <c r="E12" s="10" t="s">
        <v>19</v>
      </c>
      <c r="F12" s="10" t="s">
        <v>56</v>
      </c>
      <c r="G12" s="10" t="s">
        <v>62</v>
      </c>
      <c r="H12" s="10" t="s">
        <v>63</v>
      </c>
      <c r="I12" s="11" t="s">
        <v>64</v>
      </c>
      <c r="J12" s="10" t="s">
        <v>50</v>
      </c>
      <c r="K12" s="11" t="s">
        <v>51</v>
      </c>
      <c r="L12" s="10" t="s">
        <v>65</v>
      </c>
      <c r="M12" s="10" t="s">
        <v>66</v>
      </c>
      <c r="N12" s="12">
        <v>5922.72</v>
      </c>
      <c r="O12" s="10">
        <v>1</v>
      </c>
    </row>
    <row r="13" spans="1:15" ht="16.05" customHeight="1" x14ac:dyDescent="0.3">
      <c r="A13" s="2" t="s">
        <v>17</v>
      </c>
      <c r="B13" s="3">
        <v>10</v>
      </c>
      <c r="C13" s="3">
        <v>36908</v>
      </c>
      <c r="D13" s="4" t="s">
        <v>67</v>
      </c>
      <c r="E13" s="3" t="s">
        <v>28</v>
      </c>
      <c r="F13" s="3" t="s">
        <v>30</v>
      </c>
      <c r="G13" s="3" t="s">
        <v>30</v>
      </c>
      <c r="H13" s="3" t="s">
        <v>68</v>
      </c>
      <c r="I13" s="5" t="s">
        <v>69</v>
      </c>
      <c r="J13" s="3" t="s">
        <v>70</v>
      </c>
      <c r="K13" s="5" t="s">
        <v>71</v>
      </c>
      <c r="L13" s="3" t="s">
        <v>72</v>
      </c>
      <c r="M13" s="3" t="s">
        <v>73</v>
      </c>
      <c r="N13" s="6">
        <v>23922.485000000001</v>
      </c>
      <c r="O13" s="3">
        <v>6</v>
      </c>
    </row>
    <row r="15" spans="1:15" x14ac:dyDescent="0.3">
      <c r="D15" t="str">
        <f>+CONCATENATE("'",C4,"'",",")</f>
        <v>'14167',</v>
      </c>
    </row>
    <row r="16" spans="1:15" x14ac:dyDescent="0.3">
      <c r="D16" t="str">
        <f t="shared" ref="D16:D27" si="0">+CONCATENATE("'",C5,"'",",")</f>
        <v>'12191',</v>
      </c>
    </row>
    <row r="17" spans="4:4" x14ac:dyDescent="0.3">
      <c r="D17" t="str">
        <f t="shared" si="0"/>
        <v>'2280',</v>
      </c>
    </row>
    <row r="18" spans="4:4" x14ac:dyDescent="0.3">
      <c r="D18" t="str">
        <f t="shared" si="0"/>
        <v>'19291',</v>
      </c>
    </row>
    <row r="19" spans="4:4" x14ac:dyDescent="0.3">
      <c r="D19" t="str">
        <f t="shared" si="0"/>
        <v>'29579',</v>
      </c>
    </row>
    <row r="20" spans="4:4" x14ac:dyDescent="0.3">
      <c r="D20" t="str">
        <f t="shared" si="0"/>
        <v>'1019',</v>
      </c>
    </row>
    <row r="21" spans="4:4" x14ac:dyDescent="0.3">
      <c r="D21" t="str">
        <f t="shared" si="0"/>
        <v>'37594',</v>
      </c>
    </row>
    <row r="22" spans="4:4" x14ac:dyDescent="0.3">
      <c r="D22" t="str">
        <f t="shared" si="0"/>
        <v>'5474',</v>
      </c>
    </row>
    <row r="23" spans="4:4" x14ac:dyDescent="0.3">
      <c r="D23" t="str">
        <f t="shared" si="0"/>
        <v>'1161',</v>
      </c>
    </row>
    <row r="24" spans="4:4" x14ac:dyDescent="0.3">
      <c r="D24" t="str">
        <f t="shared" si="0"/>
        <v>'36908',</v>
      </c>
    </row>
    <row r="25" spans="4:4" x14ac:dyDescent="0.3">
      <c r="D25" t="str">
        <f t="shared" si="0"/>
        <v>'',</v>
      </c>
    </row>
    <row r="26" spans="4:4" x14ac:dyDescent="0.3">
      <c r="D26" t="str">
        <f t="shared" si="0"/>
        <v>'',</v>
      </c>
    </row>
    <row r="27" spans="4:4" x14ac:dyDescent="0.3">
      <c r="D27" t="str">
        <f t="shared" si="0"/>
        <v>'',</v>
      </c>
    </row>
  </sheetData>
  <mergeCells count="2">
    <mergeCell ref="A1:O1"/>
    <mergeCell ref="A2:O2"/>
  </mergeCells>
  <conditionalFormatting sqref="N4:N13">
    <cfRule type="colorScale" priority="1">
      <colorScale>
        <cfvo type="min"/>
        <cfvo type="percentile" val="50"/>
        <cfvo type="max"/>
        <color rgb="FFFFFFFF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95B9-4B3D-4CDC-B2F7-4C9F4FD783AB}">
  <dimension ref="A3:L81"/>
  <sheetViews>
    <sheetView tabSelected="1" topLeftCell="D1" workbookViewId="0">
      <selection activeCell="K11" sqref="K11:L13"/>
    </sheetView>
  </sheetViews>
  <sheetFormatPr baseColWidth="10" defaultRowHeight="14.4" x14ac:dyDescent="0.3"/>
  <cols>
    <col min="1" max="1" width="20.44140625" customWidth="1"/>
    <col min="2" max="2" width="65.77734375" bestFit="1" customWidth="1"/>
    <col min="3" max="3" width="7.5546875" bestFit="1" customWidth="1"/>
    <col min="6" max="6" width="17.33203125" bestFit="1" customWidth="1"/>
    <col min="7" max="7" width="65.77734375" bestFit="1" customWidth="1"/>
  </cols>
  <sheetData>
    <row r="3" spans="1:12" x14ac:dyDescent="0.3">
      <c r="A3" s="36" t="s">
        <v>613</v>
      </c>
    </row>
    <row r="4" spans="1:12" x14ac:dyDescent="0.3">
      <c r="A4" s="36" t="s">
        <v>150</v>
      </c>
      <c r="B4" s="36" t="s">
        <v>152</v>
      </c>
      <c r="C4" t="s">
        <v>614</v>
      </c>
      <c r="F4" s="38" t="s">
        <v>150</v>
      </c>
      <c r="G4" s="38" t="s">
        <v>152</v>
      </c>
      <c r="H4" s="38" t="s">
        <v>614</v>
      </c>
    </row>
    <row r="5" spans="1:12" x14ac:dyDescent="0.3">
      <c r="A5">
        <v>101005</v>
      </c>
      <c r="B5" t="s">
        <v>321</v>
      </c>
      <c r="C5" s="37">
        <v>25260.750000000004</v>
      </c>
      <c r="F5" t="s">
        <v>612</v>
      </c>
      <c r="H5">
        <v>801473.30999999982</v>
      </c>
    </row>
    <row r="6" spans="1:12" x14ac:dyDescent="0.3">
      <c r="A6">
        <v>101026</v>
      </c>
      <c r="B6" t="s">
        <v>373</v>
      </c>
      <c r="C6" s="37">
        <v>7772.4600000000009</v>
      </c>
      <c r="F6">
        <v>201001</v>
      </c>
      <c r="G6" t="s">
        <v>249</v>
      </c>
      <c r="H6" s="34">
        <v>195013.53000000009</v>
      </c>
    </row>
    <row r="7" spans="1:12" x14ac:dyDescent="0.3">
      <c r="A7">
        <v>101027</v>
      </c>
      <c r="B7" t="s">
        <v>324</v>
      </c>
      <c r="C7" s="37">
        <v>13627.979999999998</v>
      </c>
      <c r="F7">
        <v>101038</v>
      </c>
      <c r="G7" t="s">
        <v>272</v>
      </c>
      <c r="H7" s="34">
        <v>150665.98000000007</v>
      </c>
    </row>
    <row r="8" spans="1:12" x14ac:dyDescent="0.3">
      <c r="A8">
        <v>101028</v>
      </c>
      <c r="B8" t="s">
        <v>326</v>
      </c>
      <c r="C8" s="37">
        <v>33779.040000000001</v>
      </c>
      <c r="F8">
        <v>800089</v>
      </c>
      <c r="G8" t="s">
        <v>296</v>
      </c>
      <c r="H8" s="34">
        <v>57885.72</v>
      </c>
    </row>
    <row r="9" spans="1:12" x14ac:dyDescent="0.3">
      <c r="A9">
        <v>101034</v>
      </c>
      <c r="B9" t="s">
        <v>330</v>
      </c>
      <c r="C9" s="37">
        <v>13881.789999999999</v>
      </c>
      <c r="F9">
        <v>800088</v>
      </c>
      <c r="G9" t="s">
        <v>277</v>
      </c>
      <c r="H9" s="34">
        <v>57784.859999999993</v>
      </c>
    </row>
    <row r="10" spans="1:12" x14ac:dyDescent="0.3">
      <c r="A10">
        <v>101038</v>
      </c>
      <c r="B10" t="s">
        <v>272</v>
      </c>
      <c r="C10" s="37">
        <v>150665.98000000007</v>
      </c>
      <c r="F10">
        <v>103001</v>
      </c>
      <c r="G10" t="s">
        <v>287</v>
      </c>
      <c r="H10" s="34">
        <v>51226.399999999994</v>
      </c>
    </row>
    <row r="11" spans="1:12" x14ac:dyDescent="0.3">
      <c r="A11">
        <v>101072</v>
      </c>
      <c r="B11" t="s">
        <v>412</v>
      </c>
      <c r="C11" s="37">
        <v>2090.4</v>
      </c>
      <c r="E11">
        <v>101028</v>
      </c>
      <c r="F11">
        <v>101028</v>
      </c>
      <c r="G11" t="s">
        <v>326</v>
      </c>
      <c r="H11" s="34">
        <v>33779.040000000001</v>
      </c>
      <c r="K11">
        <v>101028</v>
      </c>
      <c r="L11" t="s">
        <v>326</v>
      </c>
    </row>
    <row r="12" spans="1:12" x14ac:dyDescent="0.3">
      <c r="A12">
        <v>101124</v>
      </c>
      <c r="B12" t="s">
        <v>293</v>
      </c>
      <c r="C12" s="37">
        <v>3611.3</v>
      </c>
      <c r="E12">
        <v>101005</v>
      </c>
      <c r="F12">
        <v>621045</v>
      </c>
      <c r="G12" t="s">
        <v>210</v>
      </c>
      <c r="H12" s="34">
        <v>26177.579999999998</v>
      </c>
      <c r="K12">
        <v>101005</v>
      </c>
      <c r="L12" t="s">
        <v>321</v>
      </c>
    </row>
    <row r="13" spans="1:12" x14ac:dyDescent="0.3">
      <c r="A13">
        <v>101130</v>
      </c>
      <c r="B13" t="s">
        <v>509</v>
      </c>
      <c r="C13" s="37">
        <v>0</v>
      </c>
      <c r="E13">
        <v>101027</v>
      </c>
      <c r="F13">
        <v>101005</v>
      </c>
      <c r="G13" t="s">
        <v>321</v>
      </c>
      <c r="H13" s="34">
        <v>25260.750000000004</v>
      </c>
      <c r="K13">
        <v>101027</v>
      </c>
      <c r="L13" t="s">
        <v>324</v>
      </c>
    </row>
    <row r="14" spans="1:12" x14ac:dyDescent="0.3">
      <c r="A14">
        <v>101135</v>
      </c>
      <c r="B14" t="s">
        <v>309</v>
      </c>
      <c r="C14" s="37">
        <v>698.56</v>
      </c>
      <c r="F14">
        <v>501000</v>
      </c>
      <c r="G14" t="s">
        <v>317</v>
      </c>
      <c r="H14" s="34">
        <v>24198.080000000002</v>
      </c>
    </row>
    <row r="15" spans="1:12" x14ac:dyDescent="0.3">
      <c r="A15">
        <v>103001</v>
      </c>
      <c r="B15" t="s">
        <v>287</v>
      </c>
      <c r="C15" s="37">
        <v>51226.399999999994</v>
      </c>
      <c r="F15">
        <v>800791</v>
      </c>
      <c r="G15" t="s">
        <v>263</v>
      </c>
      <c r="H15" s="34">
        <v>16054.849999999999</v>
      </c>
    </row>
    <row r="16" spans="1:12" x14ac:dyDescent="0.3">
      <c r="A16">
        <v>103113</v>
      </c>
      <c r="B16" t="s">
        <v>291</v>
      </c>
      <c r="C16" s="37">
        <v>0</v>
      </c>
      <c r="F16">
        <v>101034</v>
      </c>
      <c r="G16" t="s">
        <v>330</v>
      </c>
      <c r="H16" s="34">
        <v>13881.789999999999</v>
      </c>
    </row>
    <row r="17" spans="1:8" x14ac:dyDescent="0.3">
      <c r="A17">
        <v>103202</v>
      </c>
      <c r="B17" t="s">
        <v>569</v>
      </c>
      <c r="C17" s="37">
        <v>1161.1199999999999</v>
      </c>
      <c r="F17">
        <v>101027</v>
      </c>
      <c r="G17" t="s">
        <v>324</v>
      </c>
      <c r="H17" s="34">
        <v>13627.979999999998</v>
      </c>
    </row>
    <row r="18" spans="1:8" x14ac:dyDescent="0.3">
      <c r="A18">
        <v>104023</v>
      </c>
      <c r="B18" t="s">
        <v>387</v>
      </c>
      <c r="C18" s="37">
        <v>2367.04</v>
      </c>
      <c r="F18">
        <v>800792</v>
      </c>
      <c r="G18" t="s">
        <v>305</v>
      </c>
      <c r="H18" s="34">
        <v>13211.84</v>
      </c>
    </row>
    <row r="19" spans="1:8" x14ac:dyDescent="0.3">
      <c r="A19">
        <v>201001</v>
      </c>
      <c r="B19" t="s">
        <v>249</v>
      </c>
      <c r="C19" s="37">
        <v>195013.53000000009</v>
      </c>
      <c r="F19">
        <v>611055</v>
      </c>
      <c r="G19" t="s">
        <v>301</v>
      </c>
      <c r="H19" s="34">
        <v>12296.239999999998</v>
      </c>
    </row>
    <row r="20" spans="1:8" x14ac:dyDescent="0.3">
      <c r="A20">
        <v>501000</v>
      </c>
      <c r="B20" t="s">
        <v>317</v>
      </c>
      <c r="C20" s="37">
        <v>24198.080000000002</v>
      </c>
      <c r="F20">
        <v>925064</v>
      </c>
      <c r="G20" t="s">
        <v>282</v>
      </c>
      <c r="H20" s="34">
        <v>9364.9599999999991</v>
      </c>
    </row>
    <row r="21" spans="1:8" x14ac:dyDescent="0.3">
      <c r="A21">
        <v>501125</v>
      </c>
      <c r="B21" t="s">
        <v>529</v>
      </c>
      <c r="C21" s="37">
        <v>559.32000000000005</v>
      </c>
      <c r="F21">
        <v>621004</v>
      </c>
      <c r="G21" t="s">
        <v>236</v>
      </c>
      <c r="H21" s="34">
        <v>9263.73</v>
      </c>
    </row>
    <row r="22" spans="1:8" x14ac:dyDescent="0.3">
      <c r="A22">
        <v>501137</v>
      </c>
      <c r="B22" t="s">
        <v>394</v>
      </c>
      <c r="C22" s="37">
        <v>594.72</v>
      </c>
      <c r="F22">
        <v>925050</v>
      </c>
      <c r="G22" t="s">
        <v>480</v>
      </c>
      <c r="H22" s="34">
        <v>8778.9599999999991</v>
      </c>
    </row>
    <row r="23" spans="1:8" x14ac:dyDescent="0.3">
      <c r="A23">
        <v>501139</v>
      </c>
      <c r="B23" t="s">
        <v>396</v>
      </c>
      <c r="C23" s="37">
        <v>297.39999999999998</v>
      </c>
      <c r="F23">
        <v>101026</v>
      </c>
      <c r="G23" t="s">
        <v>373</v>
      </c>
      <c r="H23" s="34">
        <v>7772.4600000000009</v>
      </c>
    </row>
    <row r="24" spans="1:8" x14ac:dyDescent="0.3">
      <c r="A24">
        <v>511005</v>
      </c>
      <c r="B24" t="s">
        <v>232</v>
      </c>
      <c r="C24" s="37">
        <v>4639.6799999999994</v>
      </c>
      <c r="F24">
        <v>930023</v>
      </c>
      <c r="G24" t="s">
        <v>333</v>
      </c>
      <c r="H24" s="34">
        <v>7595.95</v>
      </c>
    </row>
    <row r="25" spans="1:8" x14ac:dyDescent="0.3">
      <c r="A25">
        <v>611049</v>
      </c>
      <c r="B25" t="s">
        <v>438</v>
      </c>
      <c r="C25" s="37">
        <v>1998.72</v>
      </c>
      <c r="F25">
        <v>930012</v>
      </c>
      <c r="G25" t="s">
        <v>313</v>
      </c>
      <c r="H25" s="34">
        <v>5783.8600000000006</v>
      </c>
    </row>
    <row r="26" spans="1:8" x14ac:dyDescent="0.3">
      <c r="A26">
        <v>611052</v>
      </c>
      <c r="B26" t="s">
        <v>226</v>
      </c>
      <c r="C26" s="37">
        <v>2160</v>
      </c>
      <c r="F26">
        <v>511005</v>
      </c>
      <c r="G26" t="s">
        <v>232</v>
      </c>
      <c r="H26" s="34">
        <v>4639.6799999999994</v>
      </c>
    </row>
    <row r="27" spans="1:8" x14ac:dyDescent="0.3">
      <c r="A27">
        <v>611053</v>
      </c>
      <c r="B27" t="s">
        <v>230</v>
      </c>
      <c r="C27" s="37">
        <v>4080</v>
      </c>
      <c r="F27">
        <v>611053</v>
      </c>
      <c r="G27" t="s">
        <v>230</v>
      </c>
      <c r="H27" s="34">
        <v>4080</v>
      </c>
    </row>
    <row r="28" spans="1:8" x14ac:dyDescent="0.3">
      <c r="A28">
        <v>611055</v>
      </c>
      <c r="B28" t="s">
        <v>301</v>
      </c>
      <c r="C28" s="37">
        <v>12296.239999999998</v>
      </c>
      <c r="F28">
        <v>101124</v>
      </c>
      <c r="G28" t="s">
        <v>293</v>
      </c>
      <c r="H28" s="34">
        <v>3611.3</v>
      </c>
    </row>
    <row r="29" spans="1:8" x14ac:dyDescent="0.3">
      <c r="A29">
        <v>611092</v>
      </c>
      <c r="B29" t="s">
        <v>525</v>
      </c>
      <c r="C29" s="37">
        <v>385.94</v>
      </c>
      <c r="F29">
        <v>621008</v>
      </c>
      <c r="G29" t="s">
        <v>195</v>
      </c>
      <c r="H29" s="34">
        <v>3528.09</v>
      </c>
    </row>
    <row r="30" spans="1:8" x14ac:dyDescent="0.3">
      <c r="A30">
        <v>611221</v>
      </c>
      <c r="B30" t="s">
        <v>256</v>
      </c>
      <c r="C30" s="37">
        <v>192.97</v>
      </c>
      <c r="F30">
        <v>930076</v>
      </c>
      <c r="G30" t="s">
        <v>245</v>
      </c>
      <c r="H30" s="34">
        <v>2900.88</v>
      </c>
    </row>
    <row r="31" spans="1:8" x14ac:dyDescent="0.3">
      <c r="A31">
        <v>611306</v>
      </c>
      <c r="B31" t="s">
        <v>431</v>
      </c>
      <c r="C31" s="37">
        <v>838.98</v>
      </c>
      <c r="F31">
        <v>800793</v>
      </c>
      <c r="G31" t="s">
        <v>362</v>
      </c>
      <c r="H31">
        <v>2887.67</v>
      </c>
    </row>
    <row r="32" spans="1:8" x14ac:dyDescent="0.3">
      <c r="A32">
        <v>611507</v>
      </c>
      <c r="B32" t="s">
        <v>603</v>
      </c>
      <c r="C32" s="37">
        <v>0</v>
      </c>
      <c r="F32">
        <v>982005</v>
      </c>
      <c r="G32" t="s">
        <v>368</v>
      </c>
      <c r="H32">
        <v>2832</v>
      </c>
    </row>
    <row r="33" spans="1:8" x14ac:dyDescent="0.3">
      <c r="A33">
        <v>621004</v>
      </c>
      <c r="B33" t="s">
        <v>236</v>
      </c>
      <c r="C33" s="37">
        <v>9263.73</v>
      </c>
      <c r="F33">
        <v>104023</v>
      </c>
      <c r="G33" t="s">
        <v>387</v>
      </c>
      <c r="H33">
        <v>2367.04</v>
      </c>
    </row>
    <row r="34" spans="1:8" x14ac:dyDescent="0.3">
      <c r="A34">
        <v>621006</v>
      </c>
      <c r="B34" t="s">
        <v>571</v>
      </c>
      <c r="C34" s="37">
        <v>2220</v>
      </c>
      <c r="F34">
        <v>960102</v>
      </c>
      <c r="G34" t="s">
        <v>576</v>
      </c>
      <c r="H34">
        <v>2325.5</v>
      </c>
    </row>
    <row r="35" spans="1:8" x14ac:dyDescent="0.3">
      <c r="A35">
        <v>621008</v>
      </c>
      <c r="B35" t="s">
        <v>195</v>
      </c>
      <c r="C35" s="37">
        <v>3528.09</v>
      </c>
      <c r="F35">
        <v>621006</v>
      </c>
      <c r="G35" t="s">
        <v>571</v>
      </c>
      <c r="H35">
        <v>2220</v>
      </c>
    </row>
    <row r="36" spans="1:8" x14ac:dyDescent="0.3">
      <c r="A36">
        <v>621043</v>
      </c>
      <c r="B36" t="s">
        <v>595</v>
      </c>
      <c r="C36" s="37">
        <v>0</v>
      </c>
      <c r="F36">
        <v>930025</v>
      </c>
      <c r="G36" t="s">
        <v>307</v>
      </c>
      <c r="H36">
        <v>2197.3199999999997</v>
      </c>
    </row>
    <row r="37" spans="1:8" x14ac:dyDescent="0.3">
      <c r="A37">
        <v>621045</v>
      </c>
      <c r="B37" t="s">
        <v>210</v>
      </c>
      <c r="C37" s="37">
        <v>26177.579999999998</v>
      </c>
      <c r="F37">
        <v>611052</v>
      </c>
      <c r="G37" t="s">
        <v>226</v>
      </c>
      <c r="H37">
        <v>2160</v>
      </c>
    </row>
    <row r="38" spans="1:8" x14ac:dyDescent="0.3">
      <c r="A38">
        <v>621049</v>
      </c>
      <c r="B38" t="s">
        <v>336</v>
      </c>
      <c r="C38" s="37">
        <v>297.8</v>
      </c>
      <c r="F38">
        <v>101072</v>
      </c>
      <c r="G38" t="s">
        <v>412</v>
      </c>
      <c r="H38">
        <v>2090.4</v>
      </c>
    </row>
    <row r="39" spans="1:8" x14ac:dyDescent="0.3">
      <c r="A39">
        <v>621050</v>
      </c>
      <c r="B39" t="s">
        <v>340</v>
      </c>
      <c r="C39" s="37">
        <v>446.70000000000005</v>
      </c>
      <c r="F39">
        <v>611049</v>
      </c>
      <c r="G39" t="s">
        <v>438</v>
      </c>
      <c r="H39">
        <v>1998.72</v>
      </c>
    </row>
    <row r="40" spans="1:8" x14ac:dyDescent="0.3">
      <c r="A40">
        <v>621051</v>
      </c>
      <c r="B40" t="s">
        <v>346</v>
      </c>
      <c r="C40" s="37">
        <v>297.8</v>
      </c>
      <c r="F40">
        <v>925076</v>
      </c>
      <c r="G40" t="s">
        <v>477</v>
      </c>
      <c r="H40">
        <v>1913.76</v>
      </c>
    </row>
    <row r="41" spans="1:8" x14ac:dyDescent="0.3">
      <c r="A41">
        <v>621052</v>
      </c>
      <c r="B41" t="s">
        <v>348</v>
      </c>
      <c r="C41" s="37">
        <v>446.70000000000005</v>
      </c>
      <c r="F41">
        <v>930039</v>
      </c>
      <c r="G41" t="s">
        <v>400</v>
      </c>
      <c r="H41">
        <v>1656.16</v>
      </c>
    </row>
    <row r="42" spans="1:8" x14ac:dyDescent="0.3">
      <c r="A42">
        <v>621053</v>
      </c>
      <c r="B42" t="s">
        <v>342</v>
      </c>
      <c r="C42" s="37">
        <v>297.8</v>
      </c>
      <c r="F42">
        <v>930188</v>
      </c>
      <c r="G42" t="s">
        <v>375</v>
      </c>
      <c r="H42">
        <v>1521.72</v>
      </c>
    </row>
    <row r="43" spans="1:8" x14ac:dyDescent="0.3">
      <c r="A43">
        <v>621054</v>
      </c>
      <c r="B43" t="s">
        <v>344</v>
      </c>
      <c r="C43" s="37">
        <v>297.8</v>
      </c>
      <c r="F43">
        <v>103202</v>
      </c>
      <c r="G43" t="s">
        <v>569</v>
      </c>
      <c r="H43">
        <v>1161.1199999999999</v>
      </c>
    </row>
    <row r="44" spans="1:8" x14ac:dyDescent="0.3">
      <c r="A44">
        <v>800088</v>
      </c>
      <c r="B44" t="s">
        <v>277</v>
      </c>
      <c r="C44" s="37">
        <v>57784.859999999993</v>
      </c>
      <c r="F44">
        <v>925094</v>
      </c>
      <c r="G44" t="s">
        <v>350</v>
      </c>
      <c r="H44">
        <v>1105.92</v>
      </c>
    </row>
    <row r="45" spans="1:8" x14ac:dyDescent="0.3">
      <c r="A45">
        <v>800089</v>
      </c>
      <c r="B45" t="s">
        <v>296</v>
      </c>
      <c r="C45" s="37">
        <v>57885.72</v>
      </c>
      <c r="F45">
        <v>925095</v>
      </c>
      <c r="G45" t="s">
        <v>352</v>
      </c>
      <c r="H45">
        <v>1105.92</v>
      </c>
    </row>
    <row r="46" spans="1:8" x14ac:dyDescent="0.3">
      <c r="A46">
        <v>800791</v>
      </c>
      <c r="B46" t="s">
        <v>263</v>
      </c>
      <c r="C46" s="37">
        <v>16054.849999999999</v>
      </c>
      <c r="F46">
        <v>930153</v>
      </c>
      <c r="G46" t="s">
        <v>366</v>
      </c>
      <c r="H46">
        <v>1068.71</v>
      </c>
    </row>
    <row r="47" spans="1:8" x14ac:dyDescent="0.3">
      <c r="A47">
        <v>800792</v>
      </c>
      <c r="B47" t="s">
        <v>305</v>
      </c>
      <c r="C47" s="37">
        <v>13211.84</v>
      </c>
      <c r="F47">
        <v>930021</v>
      </c>
      <c r="G47" t="s">
        <v>206</v>
      </c>
      <c r="H47">
        <v>993.80000000000007</v>
      </c>
    </row>
    <row r="48" spans="1:8" x14ac:dyDescent="0.3">
      <c r="A48">
        <v>800793</v>
      </c>
      <c r="B48" t="s">
        <v>362</v>
      </c>
      <c r="C48" s="37">
        <v>2887.67</v>
      </c>
      <c r="F48">
        <v>930022</v>
      </c>
      <c r="G48" t="s">
        <v>519</v>
      </c>
      <c r="H48">
        <v>993.80000000000007</v>
      </c>
    </row>
    <row r="49" spans="1:8" x14ac:dyDescent="0.3">
      <c r="A49">
        <v>800796</v>
      </c>
      <c r="B49" t="s">
        <v>364</v>
      </c>
      <c r="C49" s="37">
        <v>764.0200000000001</v>
      </c>
      <c r="F49">
        <v>611306</v>
      </c>
      <c r="G49" t="s">
        <v>431</v>
      </c>
      <c r="H49">
        <v>838.98</v>
      </c>
    </row>
    <row r="50" spans="1:8" x14ac:dyDescent="0.3">
      <c r="A50">
        <v>910123</v>
      </c>
      <c r="B50" t="s">
        <v>517</v>
      </c>
      <c r="C50" s="37">
        <v>677.52</v>
      </c>
      <c r="F50">
        <v>800796</v>
      </c>
      <c r="G50" t="s">
        <v>364</v>
      </c>
      <c r="H50">
        <v>764.0200000000001</v>
      </c>
    </row>
    <row r="51" spans="1:8" x14ac:dyDescent="0.3">
      <c r="A51">
        <v>925050</v>
      </c>
      <c r="B51" t="s">
        <v>480</v>
      </c>
      <c r="C51" s="37">
        <v>8778.9599999999991</v>
      </c>
      <c r="F51">
        <v>930112</v>
      </c>
      <c r="G51" t="s">
        <v>392</v>
      </c>
      <c r="H51">
        <v>762.65</v>
      </c>
    </row>
    <row r="52" spans="1:8" x14ac:dyDescent="0.3">
      <c r="A52">
        <v>925059</v>
      </c>
      <c r="B52" t="s">
        <v>531</v>
      </c>
      <c r="C52" s="37">
        <v>0</v>
      </c>
      <c r="F52">
        <v>101135</v>
      </c>
      <c r="G52" t="s">
        <v>309</v>
      </c>
      <c r="H52">
        <v>698.56</v>
      </c>
    </row>
    <row r="53" spans="1:8" x14ac:dyDescent="0.3">
      <c r="A53">
        <v>925064</v>
      </c>
      <c r="B53" t="s">
        <v>282</v>
      </c>
      <c r="C53" s="37">
        <v>9364.9599999999991</v>
      </c>
      <c r="F53">
        <v>930121</v>
      </c>
      <c r="G53" t="s">
        <v>442</v>
      </c>
      <c r="H53">
        <v>696.76</v>
      </c>
    </row>
    <row r="54" spans="1:8" x14ac:dyDescent="0.3">
      <c r="A54">
        <v>925065</v>
      </c>
      <c r="B54" t="s">
        <v>415</v>
      </c>
      <c r="C54" s="37">
        <v>0</v>
      </c>
      <c r="F54">
        <v>910123</v>
      </c>
      <c r="G54" t="s">
        <v>517</v>
      </c>
      <c r="H54">
        <v>677.52</v>
      </c>
    </row>
    <row r="55" spans="1:8" x14ac:dyDescent="0.3">
      <c r="A55">
        <v>925076</v>
      </c>
      <c r="B55" t="s">
        <v>477</v>
      </c>
      <c r="C55" s="37">
        <v>1913.76</v>
      </c>
      <c r="F55">
        <v>960103</v>
      </c>
      <c r="G55" t="s">
        <v>527</v>
      </c>
      <c r="H55">
        <v>635.88</v>
      </c>
    </row>
    <row r="56" spans="1:8" x14ac:dyDescent="0.3">
      <c r="A56">
        <v>925094</v>
      </c>
      <c r="B56" t="s">
        <v>350</v>
      </c>
      <c r="C56" s="37">
        <v>1105.92</v>
      </c>
      <c r="F56">
        <v>501137</v>
      </c>
      <c r="G56" t="s">
        <v>394</v>
      </c>
      <c r="H56">
        <v>594.72</v>
      </c>
    </row>
    <row r="57" spans="1:8" x14ac:dyDescent="0.3">
      <c r="A57">
        <v>925095</v>
      </c>
      <c r="B57" t="s">
        <v>352</v>
      </c>
      <c r="C57" s="37">
        <v>1105.92</v>
      </c>
      <c r="F57">
        <v>501125</v>
      </c>
      <c r="G57" t="s">
        <v>529</v>
      </c>
      <c r="H57">
        <v>559.32000000000005</v>
      </c>
    </row>
    <row r="58" spans="1:8" x14ac:dyDescent="0.3">
      <c r="A58">
        <v>930012</v>
      </c>
      <c r="B58" t="s">
        <v>313</v>
      </c>
      <c r="C58" s="37">
        <v>5783.8600000000006</v>
      </c>
      <c r="F58">
        <v>621050</v>
      </c>
      <c r="G58" t="s">
        <v>340</v>
      </c>
      <c r="H58">
        <v>446.70000000000005</v>
      </c>
    </row>
    <row r="59" spans="1:8" x14ac:dyDescent="0.3">
      <c r="A59">
        <v>930016</v>
      </c>
      <c r="B59" t="s">
        <v>460</v>
      </c>
      <c r="C59" s="37">
        <v>108.02</v>
      </c>
      <c r="F59">
        <v>621052</v>
      </c>
      <c r="G59" t="s">
        <v>348</v>
      </c>
      <c r="H59">
        <v>446.70000000000005</v>
      </c>
    </row>
    <row r="60" spans="1:8" x14ac:dyDescent="0.3">
      <c r="A60">
        <v>930021</v>
      </c>
      <c r="B60" t="s">
        <v>206</v>
      </c>
      <c r="C60" s="37">
        <v>993.80000000000007</v>
      </c>
      <c r="F60">
        <v>960105</v>
      </c>
      <c r="G60" t="s">
        <v>217</v>
      </c>
      <c r="H60">
        <v>394.22</v>
      </c>
    </row>
    <row r="61" spans="1:8" x14ac:dyDescent="0.3">
      <c r="A61">
        <v>930022</v>
      </c>
      <c r="B61" t="s">
        <v>519</v>
      </c>
      <c r="C61" s="37">
        <v>993.80000000000007</v>
      </c>
      <c r="F61">
        <v>611092</v>
      </c>
      <c r="G61" t="s">
        <v>525</v>
      </c>
      <c r="H61">
        <v>385.94</v>
      </c>
    </row>
    <row r="62" spans="1:8" x14ac:dyDescent="0.3">
      <c r="A62">
        <v>930023</v>
      </c>
      <c r="B62" t="s">
        <v>333</v>
      </c>
      <c r="C62" s="37">
        <v>7595.95</v>
      </c>
      <c r="F62">
        <v>930113</v>
      </c>
      <c r="G62" t="s">
        <v>359</v>
      </c>
      <c r="H62">
        <v>306.60000000000002</v>
      </c>
    </row>
    <row r="63" spans="1:8" x14ac:dyDescent="0.3">
      <c r="A63">
        <v>930025</v>
      </c>
      <c r="B63" t="s">
        <v>307</v>
      </c>
      <c r="C63" s="37">
        <v>2197.3199999999997</v>
      </c>
      <c r="F63">
        <v>621049</v>
      </c>
      <c r="G63" t="s">
        <v>336</v>
      </c>
      <c r="H63">
        <v>297.8</v>
      </c>
    </row>
    <row r="64" spans="1:8" x14ac:dyDescent="0.3">
      <c r="A64">
        <v>930026</v>
      </c>
      <c r="B64" t="s">
        <v>523</v>
      </c>
      <c r="C64" s="37">
        <v>115.16</v>
      </c>
      <c r="F64">
        <v>621051</v>
      </c>
      <c r="G64" t="s">
        <v>346</v>
      </c>
      <c r="H64">
        <v>297.8</v>
      </c>
    </row>
    <row r="65" spans="1:8" x14ac:dyDescent="0.3">
      <c r="A65">
        <v>930039</v>
      </c>
      <c r="B65" t="s">
        <v>400</v>
      </c>
      <c r="C65" s="37">
        <v>1656.16</v>
      </c>
      <c r="F65">
        <v>621053</v>
      </c>
      <c r="G65" t="s">
        <v>342</v>
      </c>
      <c r="H65">
        <v>297.8</v>
      </c>
    </row>
    <row r="66" spans="1:8" x14ac:dyDescent="0.3">
      <c r="A66">
        <v>930045</v>
      </c>
      <c r="B66" t="s">
        <v>259</v>
      </c>
      <c r="C66" s="37">
        <v>0</v>
      </c>
      <c r="F66">
        <v>621054</v>
      </c>
      <c r="G66" t="s">
        <v>344</v>
      </c>
      <c r="H66">
        <v>297.8</v>
      </c>
    </row>
    <row r="67" spans="1:8" x14ac:dyDescent="0.3">
      <c r="A67">
        <v>930060</v>
      </c>
      <c r="B67" t="s">
        <v>521</v>
      </c>
      <c r="C67" s="37">
        <v>154.07</v>
      </c>
      <c r="F67">
        <v>501139</v>
      </c>
      <c r="G67" t="s">
        <v>396</v>
      </c>
      <c r="H67">
        <v>297.39999999999998</v>
      </c>
    </row>
    <row r="68" spans="1:8" x14ac:dyDescent="0.3">
      <c r="A68">
        <v>930076</v>
      </c>
      <c r="B68" t="s">
        <v>245</v>
      </c>
      <c r="C68" s="37">
        <v>2900.88</v>
      </c>
      <c r="F68">
        <v>611221</v>
      </c>
      <c r="G68" t="s">
        <v>256</v>
      </c>
      <c r="H68">
        <v>192.97</v>
      </c>
    </row>
    <row r="69" spans="1:8" x14ac:dyDescent="0.3">
      <c r="A69">
        <v>930104</v>
      </c>
      <c r="B69" t="s">
        <v>554</v>
      </c>
      <c r="C69" s="37">
        <v>87.25</v>
      </c>
      <c r="F69">
        <v>930060</v>
      </c>
      <c r="G69" t="s">
        <v>521</v>
      </c>
      <c r="H69">
        <v>154.07</v>
      </c>
    </row>
    <row r="70" spans="1:8" x14ac:dyDescent="0.3">
      <c r="A70">
        <v>930112</v>
      </c>
      <c r="B70" t="s">
        <v>392</v>
      </c>
      <c r="C70" s="37">
        <v>762.65</v>
      </c>
      <c r="F70">
        <v>930145</v>
      </c>
      <c r="G70" t="s">
        <v>458</v>
      </c>
      <c r="H70">
        <v>134.6</v>
      </c>
    </row>
    <row r="71" spans="1:8" x14ac:dyDescent="0.3">
      <c r="A71">
        <v>930113</v>
      </c>
      <c r="B71" t="s">
        <v>359</v>
      </c>
      <c r="C71" s="37">
        <v>306.60000000000002</v>
      </c>
      <c r="F71">
        <v>930026</v>
      </c>
      <c r="G71" t="s">
        <v>523</v>
      </c>
      <c r="H71">
        <v>115.16</v>
      </c>
    </row>
    <row r="72" spans="1:8" x14ac:dyDescent="0.3">
      <c r="A72">
        <v>930121</v>
      </c>
      <c r="B72" t="s">
        <v>442</v>
      </c>
      <c r="C72" s="37">
        <v>696.76</v>
      </c>
      <c r="F72">
        <v>930016</v>
      </c>
      <c r="G72" t="s">
        <v>460</v>
      </c>
      <c r="H72">
        <v>108.02</v>
      </c>
    </row>
    <row r="73" spans="1:8" x14ac:dyDescent="0.3">
      <c r="A73">
        <v>930145</v>
      </c>
      <c r="B73" t="s">
        <v>458</v>
      </c>
      <c r="C73" s="37">
        <v>134.6</v>
      </c>
      <c r="F73">
        <v>930104</v>
      </c>
      <c r="G73" t="s">
        <v>554</v>
      </c>
      <c r="H73">
        <v>87.25</v>
      </c>
    </row>
    <row r="74" spans="1:8" x14ac:dyDescent="0.3">
      <c r="A74">
        <v>930153</v>
      </c>
      <c r="B74" t="s">
        <v>366</v>
      </c>
      <c r="C74" s="37">
        <v>1068.71</v>
      </c>
      <c r="F74">
        <v>101130</v>
      </c>
      <c r="G74" t="s">
        <v>509</v>
      </c>
      <c r="H74">
        <v>0</v>
      </c>
    </row>
    <row r="75" spans="1:8" x14ac:dyDescent="0.3">
      <c r="A75">
        <v>930154</v>
      </c>
      <c r="B75" t="s">
        <v>501</v>
      </c>
      <c r="C75" s="37">
        <v>0</v>
      </c>
      <c r="F75">
        <v>103113</v>
      </c>
      <c r="G75" t="s">
        <v>291</v>
      </c>
      <c r="H75">
        <v>0</v>
      </c>
    </row>
    <row r="76" spans="1:8" x14ac:dyDescent="0.3">
      <c r="A76">
        <v>930188</v>
      </c>
      <c r="B76" t="s">
        <v>375</v>
      </c>
      <c r="C76" s="37">
        <v>1521.72</v>
      </c>
      <c r="F76">
        <v>611507</v>
      </c>
      <c r="G76" t="s">
        <v>603</v>
      </c>
      <c r="H76">
        <v>0</v>
      </c>
    </row>
    <row r="77" spans="1:8" x14ac:dyDescent="0.3">
      <c r="A77">
        <v>960102</v>
      </c>
      <c r="B77" t="s">
        <v>576</v>
      </c>
      <c r="C77" s="37">
        <v>2325.5</v>
      </c>
      <c r="F77">
        <v>621043</v>
      </c>
      <c r="G77" t="s">
        <v>595</v>
      </c>
      <c r="H77">
        <v>0</v>
      </c>
    </row>
    <row r="78" spans="1:8" x14ac:dyDescent="0.3">
      <c r="A78">
        <v>960103</v>
      </c>
      <c r="B78" t="s">
        <v>527</v>
      </c>
      <c r="C78" s="37">
        <v>635.88</v>
      </c>
      <c r="F78">
        <v>925059</v>
      </c>
      <c r="G78" t="s">
        <v>531</v>
      </c>
      <c r="H78">
        <v>0</v>
      </c>
    </row>
    <row r="79" spans="1:8" x14ac:dyDescent="0.3">
      <c r="A79">
        <v>960105</v>
      </c>
      <c r="B79" t="s">
        <v>217</v>
      </c>
      <c r="C79" s="37">
        <v>394.22</v>
      </c>
      <c r="F79">
        <v>925065</v>
      </c>
      <c r="G79" t="s">
        <v>415</v>
      </c>
      <c r="H79">
        <v>0</v>
      </c>
    </row>
    <row r="80" spans="1:8" x14ac:dyDescent="0.3">
      <c r="A80">
        <v>982005</v>
      </c>
      <c r="B80" t="s">
        <v>368</v>
      </c>
      <c r="C80" s="37">
        <v>2832</v>
      </c>
      <c r="F80">
        <v>930045</v>
      </c>
      <c r="G80" t="s">
        <v>259</v>
      </c>
      <c r="H80">
        <v>0</v>
      </c>
    </row>
    <row r="81" spans="1:8" x14ac:dyDescent="0.3">
      <c r="A81" t="s">
        <v>612</v>
      </c>
      <c r="C81" s="37">
        <v>801473.30999999982</v>
      </c>
      <c r="F81">
        <v>930154</v>
      </c>
      <c r="G81" t="s">
        <v>501</v>
      </c>
      <c r="H81">
        <v>0</v>
      </c>
    </row>
  </sheetData>
  <autoFilter ref="F4:H80" xr:uid="{A2A195B9-4B3D-4CDC-B2F7-4C9F4FD783AB}"/>
  <sortState xmlns:xlrd2="http://schemas.microsoft.com/office/spreadsheetml/2017/richdata2" ref="F5:H81">
    <sortCondition descending="1" ref="H5:H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E5CE-F2D4-446F-92E1-6838EB135B04}">
  <dimension ref="A1:BL482"/>
  <sheetViews>
    <sheetView workbookViewId="0">
      <selection sqref="A1:BL482"/>
    </sheetView>
  </sheetViews>
  <sheetFormatPr baseColWidth="10" defaultRowHeight="14.4" x14ac:dyDescent="0.3"/>
  <sheetData>
    <row r="1" spans="1:64" x14ac:dyDescent="0.3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  <c r="AB1" t="s">
        <v>150</v>
      </c>
      <c r="AC1" t="s">
        <v>151</v>
      </c>
      <c r="AD1" t="s">
        <v>152</v>
      </c>
      <c r="AE1" t="s">
        <v>153</v>
      </c>
      <c r="AF1" t="s">
        <v>154</v>
      </c>
      <c r="AG1" t="s">
        <v>155</v>
      </c>
      <c r="AH1" t="s">
        <v>156</v>
      </c>
      <c r="AI1" t="s">
        <v>157</v>
      </c>
      <c r="AJ1" t="s">
        <v>158</v>
      </c>
      <c r="AK1" t="s">
        <v>159</v>
      </c>
      <c r="AL1" t="s">
        <v>160</v>
      </c>
      <c r="AM1" t="s">
        <v>161</v>
      </c>
      <c r="AN1" t="s">
        <v>162</v>
      </c>
      <c r="AO1" t="s">
        <v>163</v>
      </c>
      <c r="AP1" t="s">
        <v>164</v>
      </c>
      <c r="AQ1" t="s">
        <v>165</v>
      </c>
      <c r="AR1" t="s">
        <v>166</v>
      </c>
      <c r="AS1" t="s">
        <v>167</v>
      </c>
      <c r="AT1" t="s">
        <v>168</v>
      </c>
      <c r="AU1" t="s">
        <v>169</v>
      </c>
      <c r="AV1" t="s">
        <v>76</v>
      </c>
      <c r="AW1" t="s">
        <v>170</v>
      </c>
      <c r="AX1" t="s">
        <v>171</v>
      </c>
      <c r="AY1" t="s">
        <v>172</v>
      </c>
      <c r="AZ1" t="s">
        <v>173</v>
      </c>
      <c r="BA1" t="s">
        <v>174</v>
      </c>
      <c r="BB1" t="s">
        <v>175</v>
      </c>
      <c r="BC1" t="s">
        <v>176</v>
      </c>
      <c r="BD1" t="s">
        <v>177</v>
      </c>
      <c r="BE1" t="s">
        <v>178</v>
      </c>
      <c r="BF1" t="s">
        <v>179</v>
      </c>
      <c r="BG1" t="s">
        <v>180</v>
      </c>
      <c r="BH1" t="s">
        <v>181</v>
      </c>
      <c r="BI1" t="s">
        <v>182</v>
      </c>
      <c r="BJ1" t="s">
        <v>183</v>
      </c>
      <c r="BK1" t="s">
        <v>184</v>
      </c>
      <c r="BL1" t="s">
        <v>185</v>
      </c>
    </row>
    <row r="2" spans="1:64" x14ac:dyDescent="0.3">
      <c r="A2">
        <v>109</v>
      </c>
      <c r="B2" t="s">
        <v>186</v>
      </c>
      <c r="C2">
        <v>3</v>
      </c>
      <c r="D2">
        <v>2026432</v>
      </c>
      <c r="E2" t="s">
        <v>187</v>
      </c>
      <c r="F2" t="s">
        <v>188</v>
      </c>
      <c r="G2">
        <v>-5590789</v>
      </c>
      <c r="H2" s="35">
        <v>46171</v>
      </c>
      <c r="I2" s="35">
        <v>46171</v>
      </c>
      <c r="J2">
        <v>2026</v>
      </c>
      <c r="K2">
        <v>5</v>
      </c>
      <c r="L2" t="s">
        <v>189</v>
      </c>
      <c r="M2">
        <v>-1</v>
      </c>
      <c r="N2" t="s">
        <v>190</v>
      </c>
      <c r="O2" t="s">
        <v>191</v>
      </c>
      <c r="P2">
        <v>10</v>
      </c>
      <c r="Q2" t="s">
        <v>192</v>
      </c>
      <c r="R2">
        <v>22</v>
      </c>
      <c r="S2">
        <v>29</v>
      </c>
      <c r="T2">
        <v>2280</v>
      </c>
      <c r="U2">
        <v>3</v>
      </c>
      <c r="V2" t="s">
        <v>193</v>
      </c>
      <c r="W2" t="s">
        <v>29</v>
      </c>
      <c r="X2" t="s">
        <v>19</v>
      </c>
      <c r="Y2" t="s">
        <v>30</v>
      </c>
      <c r="Z2" t="s">
        <v>30</v>
      </c>
      <c r="AA2">
        <v>14</v>
      </c>
      <c r="AB2">
        <v>621008</v>
      </c>
      <c r="AC2" t="s">
        <v>194</v>
      </c>
      <c r="AD2" t="s">
        <v>195</v>
      </c>
      <c r="AE2">
        <v>-1</v>
      </c>
      <c r="AF2">
        <v>-12</v>
      </c>
      <c r="AG2">
        <v>186.87</v>
      </c>
      <c r="AH2">
        <v>0</v>
      </c>
      <c r="AI2">
        <v>0</v>
      </c>
      <c r="AJ2">
        <v>0</v>
      </c>
      <c r="AK2">
        <v>-403.64</v>
      </c>
      <c r="AL2">
        <v>-2242.44</v>
      </c>
      <c r="AM2">
        <v>-2646</v>
      </c>
      <c r="AN2">
        <v>14</v>
      </c>
      <c r="AO2" t="s">
        <v>32</v>
      </c>
      <c r="AP2" t="s">
        <v>34</v>
      </c>
      <c r="AQ2">
        <v>10</v>
      </c>
      <c r="AR2">
        <v>138</v>
      </c>
      <c r="AS2" t="s">
        <v>90</v>
      </c>
      <c r="AT2">
        <v>73102</v>
      </c>
      <c r="AU2" t="s">
        <v>196</v>
      </c>
      <c r="AV2" t="s">
        <v>91</v>
      </c>
      <c r="AW2" t="s">
        <v>23</v>
      </c>
      <c r="AX2" t="s">
        <v>24</v>
      </c>
      <c r="AY2" t="s">
        <v>33</v>
      </c>
      <c r="AZ2" t="s">
        <v>197</v>
      </c>
      <c r="BA2" t="s">
        <v>198</v>
      </c>
      <c r="BB2">
        <v>0</v>
      </c>
      <c r="BC2">
        <v>0</v>
      </c>
      <c r="BD2" t="s">
        <v>199</v>
      </c>
      <c r="BE2" t="s">
        <v>199</v>
      </c>
      <c r="BF2">
        <v>0</v>
      </c>
      <c r="BG2">
        <v>0</v>
      </c>
      <c r="BH2" t="s">
        <v>200</v>
      </c>
      <c r="BI2">
        <v>3</v>
      </c>
      <c r="BJ2">
        <v>2026432</v>
      </c>
      <c r="BK2" t="s">
        <v>201</v>
      </c>
      <c r="BL2" t="s">
        <v>190</v>
      </c>
    </row>
    <row r="3" spans="1:64" x14ac:dyDescent="0.3">
      <c r="A3">
        <v>223</v>
      </c>
      <c r="B3" t="s">
        <v>186</v>
      </c>
      <c r="C3">
        <v>3</v>
      </c>
      <c r="D3">
        <v>2026185</v>
      </c>
      <c r="E3" t="s">
        <v>202</v>
      </c>
      <c r="F3" t="s">
        <v>188</v>
      </c>
      <c r="G3">
        <v>-5590527</v>
      </c>
      <c r="H3" s="35">
        <v>46169</v>
      </c>
      <c r="I3" s="35">
        <v>46169</v>
      </c>
      <c r="J3">
        <v>2026</v>
      </c>
      <c r="K3">
        <v>5</v>
      </c>
      <c r="L3" t="s">
        <v>189</v>
      </c>
      <c r="M3">
        <v>-1</v>
      </c>
      <c r="N3" t="s">
        <v>203</v>
      </c>
      <c r="O3" t="s">
        <v>191</v>
      </c>
      <c r="P3">
        <v>10</v>
      </c>
      <c r="Q3" t="s">
        <v>192</v>
      </c>
      <c r="R3">
        <v>22</v>
      </c>
      <c r="S3">
        <v>27</v>
      </c>
      <c r="T3">
        <v>12191</v>
      </c>
      <c r="U3">
        <v>3</v>
      </c>
      <c r="V3" t="s">
        <v>204</v>
      </c>
      <c r="W3" t="s">
        <v>27</v>
      </c>
      <c r="X3" t="s">
        <v>28</v>
      </c>
      <c r="Y3" t="s">
        <v>20</v>
      </c>
      <c r="Z3" t="s">
        <v>20</v>
      </c>
      <c r="AA3">
        <v>91</v>
      </c>
      <c r="AB3">
        <v>930021</v>
      </c>
      <c r="AC3" t="s">
        <v>205</v>
      </c>
      <c r="AD3" t="s">
        <v>206</v>
      </c>
      <c r="AE3">
        <v>-6.25E-2</v>
      </c>
      <c r="AF3">
        <v>-1</v>
      </c>
      <c r="AG3">
        <v>91.09</v>
      </c>
      <c r="AH3">
        <v>0</v>
      </c>
      <c r="AI3">
        <v>0</v>
      </c>
      <c r="AJ3">
        <v>0</v>
      </c>
      <c r="AK3">
        <v>-16.399999999999999</v>
      </c>
      <c r="AL3">
        <v>-91.09</v>
      </c>
      <c r="AM3">
        <v>-107</v>
      </c>
      <c r="AN3">
        <v>91</v>
      </c>
      <c r="AO3" t="s">
        <v>22</v>
      </c>
      <c r="AP3" t="s">
        <v>26</v>
      </c>
      <c r="AQ3">
        <v>10</v>
      </c>
      <c r="AR3">
        <v>208</v>
      </c>
      <c r="AS3" t="s">
        <v>92</v>
      </c>
      <c r="AT3">
        <v>0</v>
      </c>
      <c r="AU3" t="s">
        <v>199</v>
      </c>
      <c r="AV3" t="s">
        <v>82</v>
      </c>
      <c r="AW3" t="s">
        <v>23</v>
      </c>
      <c r="AX3" t="s">
        <v>24</v>
      </c>
      <c r="AY3" t="s">
        <v>25</v>
      </c>
      <c r="AZ3" t="s">
        <v>197</v>
      </c>
      <c r="BA3" t="s">
        <v>207</v>
      </c>
      <c r="BB3">
        <v>0</v>
      </c>
      <c r="BC3">
        <v>0</v>
      </c>
      <c r="BD3" t="s">
        <v>199</v>
      </c>
      <c r="BE3" t="s">
        <v>199</v>
      </c>
      <c r="BF3">
        <v>0</v>
      </c>
      <c r="BG3">
        <v>0</v>
      </c>
      <c r="BH3" t="s">
        <v>200</v>
      </c>
      <c r="BI3">
        <v>3</v>
      </c>
      <c r="BJ3">
        <v>2026185</v>
      </c>
      <c r="BK3" t="s">
        <v>201</v>
      </c>
      <c r="BL3" t="s">
        <v>190</v>
      </c>
    </row>
    <row r="4" spans="1:64" x14ac:dyDescent="0.3">
      <c r="A4">
        <v>223</v>
      </c>
      <c r="B4" t="s">
        <v>186</v>
      </c>
      <c r="C4">
        <v>3</v>
      </c>
      <c r="D4">
        <v>2025201</v>
      </c>
      <c r="E4" t="s">
        <v>202</v>
      </c>
      <c r="F4" t="s">
        <v>188</v>
      </c>
      <c r="G4">
        <v>-5589504</v>
      </c>
      <c r="H4" s="35">
        <v>46162</v>
      </c>
      <c r="I4" s="35">
        <v>46162</v>
      </c>
      <c r="J4">
        <v>2026</v>
      </c>
      <c r="K4">
        <v>5</v>
      </c>
      <c r="L4" t="s">
        <v>189</v>
      </c>
      <c r="M4">
        <v>-1</v>
      </c>
      <c r="N4" t="s">
        <v>190</v>
      </c>
      <c r="O4" t="s">
        <v>191</v>
      </c>
      <c r="P4">
        <v>10</v>
      </c>
      <c r="Q4" t="s">
        <v>192</v>
      </c>
      <c r="R4">
        <v>21</v>
      </c>
      <c r="S4">
        <v>20</v>
      </c>
      <c r="T4">
        <v>14167</v>
      </c>
      <c r="U4">
        <v>3</v>
      </c>
      <c r="V4" t="s">
        <v>208</v>
      </c>
      <c r="W4" t="s">
        <v>18</v>
      </c>
      <c r="X4" t="s">
        <v>19</v>
      </c>
      <c r="Y4" t="s">
        <v>20</v>
      </c>
      <c r="Z4" t="s">
        <v>20</v>
      </c>
      <c r="AA4">
        <v>91</v>
      </c>
      <c r="AB4">
        <v>621045</v>
      </c>
      <c r="AC4" t="s">
        <v>209</v>
      </c>
      <c r="AD4" t="s">
        <v>210</v>
      </c>
      <c r="AE4">
        <v>-0.5</v>
      </c>
      <c r="AF4">
        <v>-6</v>
      </c>
      <c r="AG4">
        <v>161.94999999999999</v>
      </c>
      <c r="AH4">
        <v>0</v>
      </c>
      <c r="AI4">
        <v>0</v>
      </c>
      <c r="AJ4">
        <v>0</v>
      </c>
      <c r="AK4">
        <v>-174.91</v>
      </c>
      <c r="AL4">
        <v>-971.7</v>
      </c>
      <c r="AM4">
        <v>-1147</v>
      </c>
      <c r="AN4">
        <v>91</v>
      </c>
      <c r="AO4" t="s">
        <v>22</v>
      </c>
      <c r="AP4" t="s">
        <v>26</v>
      </c>
      <c r="AQ4">
        <v>10</v>
      </c>
      <c r="AR4">
        <v>138</v>
      </c>
      <c r="AS4" t="s">
        <v>90</v>
      </c>
      <c r="AT4">
        <v>73101</v>
      </c>
      <c r="AU4" t="s">
        <v>211</v>
      </c>
      <c r="AV4" t="s">
        <v>91</v>
      </c>
      <c r="AW4" t="s">
        <v>23</v>
      </c>
      <c r="AX4" t="s">
        <v>24</v>
      </c>
      <c r="AY4" t="s">
        <v>25</v>
      </c>
      <c r="AZ4" t="s">
        <v>197</v>
      </c>
      <c r="BA4" t="s">
        <v>212</v>
      </c>
      <c r="BB4">
        <v>0</v>
      </c>
      <c r="BC4">
        <v>0</v>
      </c>
      <c r="BD4" t="s">
        <v>199</v>
      </c>
      <c r="BE4" t="s">
        <v>199</v>
      </c>
      <c r="BF4">
        <v>0</v>
      </c>
      <c r="BG4">
        <v>0</v>
      </c>
      <c r="BH4" t="s">
        <v>200</v>
      </c>
      <c r="BI4">
        <v>3</v>
      </c>
      <c r="BJ4">
        <v>2025201</v>
      </c>
      <c r="BK4" t="s">
        <v>201</v>
      </c>
      <c r="BL4" t="s">
        <v>190</v>
      </c>
    </row>
    <row r="5" spans="1:64" x14ac:dyDescent="0.3">
      <c r="A5">
        <v>125</v>
      </c>
      <c r="B5" t="s">
        <v>186</v>
      </c>
      <c r="C5">
        <v>3</v>
      </c>
      <c r="D5">
        <v>2021583</v>
      </c>
      <c r="E5" t="s">
        <v>213</v>
      </c>
      <c r="F5" t="s">
        <v>188</v>
      </c>
      <c r="G5">
        <v>-5585789</v>
      </c>
      <c r="H5" s="35">
        <v>46136</v>
      </c>
      <c r="I5" s="35">
        <v>46136</v>
      </c>
      <c r="J5">
        <v>2026</v>
      </c>
      <c r="K5">
        <v>4</v>
      </c>
      <c r="L5" t="s">
        <v>189</v>
      </c>
      <c r="M5">
        <v>-1</v>
      </c>
      <c r="N5" t="s">
        <v>190</v>
      </c>
      <c r="O5" t="s">
        <v>191</v>
      </c>
      <c r="P5">
        <v>19</v>
      </c>
      <c r="Q5" t="s">
        <v>214</v>
      </c>
      <c r="R5">
        <v>17</v>
      </c>
      <c r="S5">
        <v>24</v>
      </c>
      <c r="T5">
        <v>36908</v>
      </c>
      <c r="U5">
        <v>3</v>
      </c>
      <c r="V5" t="s">
        <v>215</v>
      </c>
      <c r="W5" t="s">
        <v>67</v>
      </c>
      <c r="X5" t="s">
        <v>28</v>
      </c>
      <c r="Y5" t="s">
        <v>30</v>
      </c>
      <c r="Z5" t="s">
        <v>30</v>
      </c>
      <c r="AA5">
        <v>11</v>
      </c>
      <c r="AB5">
        <v>960105</v>
      </c>
      <c r="AC5" t="s">
        <v>216</v>
      </c>
      <c r="AD5" t="s">
        <v>217</v>
      </c>
      <c r="AE5">
        <v>-0.1</v>
      </c>
      <c r="AF5">
        <v>-5</v>
      </c>
      <c r="AG5">
        <v>197.11</v>
      </c>
      <c r="AH5">
        <v>0</v>
      </c>
      <c r="AI5">
        <v>0</v>
      </c>
      <c r="AJ5">
        <v>0</v>
      </c>
      <c r="AK5">
        <v>-177.4</v>
      </c>
      <c r="AL5">
        <v>-985.55</v>
      </c>
      <c r="AM5">
        <v>-1163</v>
      </c>
      <c r="AN5">
        <v>199</v>
      </c>
      <c r="AO5" t="s">
        <v>218</v>
      </c>
      <c r="AP5" t="s">
        <v>219</v>
      </c>
      <c r="AQ5">
        <v>10</v>
      </c>
      <c r="AR5">
        <v>277</v>
      </c>
      <c r="AS5" t="s">
        <v>106</v>
      </c>
      <c r="AT5">
        <v>856801</v>
      </c>
      <c r="AU5" t="s">
        <v>112</v>
      </c>
      <c r="AV5" t="s">
        <v>107</v>
      </c>
      <c r="AW5" t="s">
        <v>70</v>
      </c>
      <c r="AX5" t="s">
        <v>71</v>
      </c>
      <c r="AY5" t="s">
        <v>220</v>
      </c>
      <c r="AZ5" t="s">
        <v>221</v>
      </c>
      <c r="BA5" t="s">
        <v>222</v>
      </c>
      <c r="BB5">
        <v>0</v>
      </c>
      <c r="BC5">
        <v>0</v>
      </c>
      <c r="BD5" t="s">
        <v>199</v>
      </c>
      <c r="BE5" t="s">
        <v>199</v>
      </c>
      <c r="BF5">
        <v>0</v>
      </c>
      <c r="BG5">
        <v>0</v>
      </c>
      <c r="BH5" t="s">
        <v>200</v>
      </c>
      <c r="BI5">
        <v>3</v>
      </c>
      <c r="BJ5">
        <v>2021583</v>
      </c>
      <c r="BK5" t="s">
        <v>201</v>
      </c>
      <c r="BL5" t="s">
        <v>190</v>
      </c>
    </row>
    <row r="6" spans="1:64" x14ac:dyDescent="0.3">
      <c r="A6">
        <v>223</v>
      </c>
      <c r="B6" t="s">
        <v>186</v>
      </c>
      <c r="C6">
        <v>3</v>
      </c>
      <c r="D6">
        <v>2020909</v>
      </c>
      <c r="E6" t="s">
        <v>202</v>
      </c>
      <c r="F6" t="s">
        <v>188</v>
      </c>
      <c r="G6">
        <v>-5585089</v>
      </c>
      <c r="H6" s="35">
        <v>46132</v>
      </c>
      <c r="I6" s="35">
        <v>46132</v>
      </c>
      <c r="J6">
        <v>2026</v>
      </c>
      <c r="K6">
        <v>4</v>
      </c>
      <c r="L6" t="s">
        <v>189</v>
      </c>
      <c r="M6">
        <v>-1</v>
      </c>
      <c r="N6" t="s">
        <v>190</v>
      </c>
      <c r="O6" t="s">
        <v>191</v>
      </c>
      <c r="P6">
        <v>1</v>
      </c>
      <c r="Q6" t="s">
        <v>223</v>
      </c>
      <c r="R6">
        <v>17</v>
      </c>
      <c r="S6">
        <v>20</v>
      </c>
      <c r="T6">
        <v>29579</v>
      </c>
      <c r="U6">
        <v>3</v>
      </c>
      <c r="V6" t="s">
        <v>224</v>
      </c>
      <c r="W6" t="s">
        <v>40</v>
      </c>
      <c r="X6" t="s">
        <v>19</v>
      </c>
      <c r="Y6" t="s">
        <v>41</v>
      </c>
      <c r="Z6" t="s">
        <v>41</v>
      </c>
      <c r="AA6">
        <v>60</v>
      </c>
      <c r="AB6">
        <v>611052</v>
      </c>
      <c r="AC6" t="s">
        <v>225</v>
      </c>
      <c r="AD6" t="s">
        <v>226</v>
      </c>
      <c r="AE6">
        <v>-0.5</v>
      </c>
      <c r="AF6">
        <v>-12</v>
      </c>
      <c r="AG6">
        <v>20</v>
      </c>
      <c r="AH6">
        <v>0</v>
      </c>
      <c r="AI6">
        <v>0</v>
      </c>
      <c r="AJ6">
        <v>0</v>
      </c>
      <c r="AK6">
        <v>-43.2</v>
      </c>
      <c r="AL6">
        <v>-240</v>
      </c>
      <c r="AM6">
        <v>-283</v>
      </c>
      <c r="AN6">
        <v>60</v>
      </c>
      <c r="AO6" t="s">
        <v>43</v>
      </c>
      <c r="AP6" t="s">
        <v>45</v>
      </c>
      <c r="AQ6">
        <v>10</v>
      </c>
      <c r="AR6">
        <v>114</v>
      </c>
      <c r="AS6" t="s">
        <v>79</v>
      </c>
      <c r="AT6">
        <v>66102</v>
      </c>
      <c r="AU6" t="s">
        <v>227</v>
      </c>
      <c r="AV6" t="s">
        <v>80</v>
      </c>
      <c r="AW6" t="s">
        <v>23</v>
      </c>
      <c r="AX6" t="s">
        <v>24</v>
      </c>
      <c r="AY6" t="s">
        <v>44</v>
      </c>
      <c r="AZ6" t="s">
        <v>197</v>
      </c>
      <c r="BA6" t="s">
        <v>228</v>
      </c>
      <c r="BB6">
        <v>0</v>
      </c>
      <c r="BC6">
        <v>0</v>
      </c>
      <c r="BD6" t="s">
        <v>199</v>
      </c>
      <c r="BE6" t="s">
        <v>199</v>
      </c>
      <c r="BF6">
        <v>0</v>
      </c>
      <c r="BG6">
        <v>0</v>
      </c>
      <c r="BH6" t="s">
        <v>200</v>
      </c>
      <c r="BI6">
        <v>3</v>
      </c>
      <c r="BJ6">
        <v>2020909</v>
      </c>
      <c r="BK6" t="s">
        <v>201</v>
      </c>
      <c r="BL6" t="s">
        <v>190</v>
      </c>
    </row>
    <row r="7" spans="1:64" x14ac:dyDescent="0.3">
      <c r="A7">
        <v>223</v>
      </c>
      <c r="B7" t="s">
        <v>186</v>
      </c>
      <c r="C7">
        <v>3</v>
      </c>
      <c r="D7">
        <v>2020909</v>
      </c>
      <c r="E7" t="s">
        <v>202</v>
      </c>
      <c r="F7" t="s">
        <v>188</v>
      </c>
      <c r="G7">
        <v>-5585089</v>
      </c>
      <c r="H7" s="35">
        <v>46132</v>
      </c>
      <c r="I7" s="35">
        <v>46132</v>
      </c>
      <c r="J7">
        <v>2026</v>
      </c>
      <c r="K7">
        <v>4</v>
      </c>
      <c r="L7" t="s">
        <v>189</v>
      </c>
      <c r="M7">
        <v>-1</v>
      </c>
      <c r="N7" t="s">
        <v>190</v>
      </c>
      <c r="O7" t="s">
        <v>191</v>
      </c>
      <c r="P7">
        <v>1</v>
      </c>
      <c r="Q7" t="s">
        <v>223</v>
      </c>
      <c r="R7">
        <v>17</v>
      </c>
      <c r="S7">
        <v>20</v>
      </c>
      <c r="T7">
        <v>29579</v>
      </c>
      <c r="U7">
        <v>3</v>
      </c>
      <c r="V7" t="s">
        <v>224</v>
      </c>
      <c r="W7" t="s">
        <v>40</v>
      </c>
      <c r="X7" t="s">
        <v>19</v>
      </c>
      <c r="Y7" t="s">
        <v>41</v>
      </c>
      <c r="Z7" t="s">
        <v>41</v>
      </c>
      <c r="AA7">
        <v>60</v>
      </c>
      <c r="AB7">
        <v>611053</v>
      </c>
      <c r="AC7" t="s">
        <v>229</v>
      </c>
      <c r="AD7" t="s">
        <v>230</v>
      </c>
      <c r="AE7">
        <v>-0.5</v>
      </c>
      <c r="AF7">
        <v>-12</v>
      </c>
      <c r="AG7">
        <v>20</v>
      </c>
      <c r="AH7">
        <v>0</v>
      </c>
      <c r="AI7">
        <v>0</v>
      </c>
      <c r="AJ7">
        <v>0</v>
      </c>
      <c r="AK7">
        <v>-43.2</v>
      </c>
      <c r="AL7">
        <v>-240</v>
      </c>
      <c r="AM7">
        <v>-283</v>
      </c>
      <c r="AN7">
        <v>60</v>
      </c>
      <c r="AO7" t="s">
        <v>43</v>
      </c>
      <c r="AP7" t="s">
        <v>45</v>
      </c>
      <c r="AQ7">
        <v>10</v>
      </c>
      <c r="AR7">
        <v>114</v>
      </c>
      <c r="AS7" t="s">
        <v>79</v>
      </c>
      <c r="AT7">
        <v>66102</v>
      </c>
      <c r="AU7" t="s">
        <v>227</v>
      </c>
      <c r="AV7" t="s">
        <v>80</v>
      </c>
      <c r="AW7" t="s">
        <v>23</v>
      </c>
      <c r="AX7" t="s">
        <v>24</v>
      </c>
      <c r="AY7" t="s">
        <v>44</v>
      </c>
      <c r="AZ7" t="s">
        <v>197</v>
      </c>
      <c r="BA7" t="s">
        <v>228</v>
      </c>
      <c r="BB7">
        <v>0</v>
      </c>
      <c r="BC7">
        <v>0</v>
      </c>
      <c r="BD7" t="s">
        <v>199</v>
      </c>
      <c r="BE7" t="s">
        <v>199</v>
      </c>
      <c r="BF7">
        <v>0</v>
      </c>
      <c r="BG7">
        <v>0</v>
      </c>
      <c r="BH7" t="s">
        <v>200</v>
      </c>
      <c r="BI7">
        <v>3</v>
      </c>
      <c r="BJ7">
        <v>2020909</v>
      </c>
      <c r="BK7" t="s">
        <v>201</v>
      </c>
      <c r="BL7" t="s">
        <v>190</v>
      </c>
    </row>
    <row r="8" spans="1:64" x14ac:dyDescent="0.3">
      <c r="A8">
        <v>223</v>
      </c>
      <c r="B8" t="s">
        <v>186</v>
      </c>
      <c r="C8">
        <v>3</v>
      </c>
      <c r="D8">
        <v>2020909</v>
      </c>
      <c r="E8" t="s">
        <v>202</v>
      </c>
      <c r="F8" t="s">
        <v>188</v>
      </c>
      <c r="G8">
        <v>-5585089</v>
      </c>
      <c r="H8" s="35">
        <v>46132</v>
      </c>
      <c r="I8" s="35">
        <v>46132</v>
      </c>
      <c r="J8">
        <v>2026</v>
      </c>
      <c r="K8">
        <v>4</v>
      </c>
      <c r="L8" t="s">
        <v>189</v>
      </c>
      <c r="M8">
        <v>-1</v>
      </c>
      <c r="N8" t="s">
        <v>190</v>
      </c>
      <c r="O8" t="s">
        <v>191</v>
      </c>
      <c r="P8">
        <v>1</v>
      </c>
      <c r="Q8" t="s">
        <v>223</v>
      </c>
      <c r="R8">
        <v>17</v>
      </c>
      <c r="S8">
        <v>20</v>
      </c>
      <c r="T8">
        <v>29579</v>
      </c>
      <c r="U8">
        <v>3</v>
      </c>
      <c r="V8" t="s">
        <v>224</v>
      </c>
      <c r="W8" t="s">
        <v>40</v>
      </c>
      <c r="X8" t="s">
        <v>19</v>
      </c>
      <c r="Y8" t="s">
        <v>41</v>
      </c>
      <c r="Z8" t="s">
        <v>41</v>
      </c>
      <c r="AA8">
        <v>60</v>
      </c>
      <c r="AB8">
        <v>511005</v>
      </c>
      <c r="AC8" t="s">
        <v>231</v>
      </c>
      <c r="AD8" t="s">
        <v>232</v>
      </c>
      <c r="AE8">
        <v>-1</v>
      </c>
      <c r="AF8">
        <v>-12</v>
      </c>
      <c r="AG8">
        <v>64.44</v>
      </c>
      <c r="AH8">
        <v>0</v>
      </c>
      <c r="AI8">
        <v>0</v>
      </c>
      <c r="AJ8">
        <v>0</v>
      </c>
      <c r="AK8">
        <v>-139.19</v>
      </c>
      <c r="AL8">
        <v>-773.28</v>
      </c>
      <c r="AM8">
        <v>-912</v>
      </c>
      <c r="AN8">
        <v>60</v>
      </c>
      <c r="AO8" t="s">
        <v>43</v>
      </c>
      <c r="AP8" t="s">
        <v>45</v>
      </c>
      <c r="AQ8">
        <v>10</v>
      </c>
      <c r="AR8">
        <v>114</v>
      </c>
      <c r="AS8" t="s">
        <v>79</v>
      </c>
      <c r="AT8">
        <v>66102</v>
      </c>
      <c r="AU8" t="s">
        <v>227</v>
      </c>
      <c r="AV8" t="s">
        <v>80</v>
      </c>
      <c r="AW8" t="s">
        <v>23</v>
      </c>
      <c r="AX8" t="s">
        <v>24</v>
      </c>
      <c r="AY8" t="s">
        <v>44</v>
      </c>
      <c r="AZ8" t="s">
        <v>197</v>
      </c>
      <c r="BA8" t="s">
        <v>228</v>
      </c>
      <c r="BB8">
        <v>0</v>
      </c>
      <c r="BC8">
        <v>0</v>
      </c>
      <c r="BD8" t="s">
        <v>199</v>
      </c>
      <c r="BE8" t="s">
        <v>199</v>
      </c>
      <c r="BF8">
        <v>0</v>
      </c>
      <c r="BG8">
        <v>0</v>
      </c>
      <c r="BH8" t="s">
        <v>200</v>
      </c>
      <c r="BI8">
        <v>3</v>
      </c>
      <c r="BJ8">
        <v>2020909</v>
      </c>
      <c r="BK8" t="s">
        <v>201</v>
      </c>
      <c r="BL8" t="s">
        <v>190</v>
      </c>
    </row>
    <row r="9" spans="1:64" x14ac:dyDescent="0.3">
      <c r="A9">
        <v>264</v>
      </c>
      <c r="B9" t="s">
        <v>186</v>
      </c>
      <c r="C9">
        <v>3</v>
      </c>
      <c r="D9">
        <v>2018430</v>
      </c>
      <c r="E9" t="s">
        <v>233</v>
      </c>
      <c r="F9" t="s">
        <v>188</v>
      </c>
      <c r="G9">
        <v>-5582551</v>
      </c>
      <c r="H9" s="35">
        <v>46114</v>
      </c>
      <c r="I9" s="35">
        <v>46114</v>
      </c>
      <c r="J9">
        <v>2026</v>
      </c>
      <c r="K9">
        <v>4</v>
      </c>
      <c r="L9" t="s">
        <v>189</v>
      </c>
      <c r="M9">
        <v>-1</v>
      </c>
      <c r="N9" t="s">
        <v>190</v>
      </c>
      <c r="O9" t="s">
        <v>191</v>
      </c>
      <c r="P9">
        <v>10</v>
      </c>
      <c r="Q9" t="s">
        <v>192</v>
      </c>
      <c r="R9">
        <v>14</v>
      </c>
      <c r="S9">
        <v>2</v>
      </c>
      <c r="T9">
        <v>37594</v>
      </c>
      <c r="U9">
        <v>3</v>
      </c>
      <c r="V9" t="s">
        <v>234</v>
      </c>
      <c r="W9" t="s">
        <v>47</v>
      </c>
      <c r="X9" t="s">
        <v>19</v>
      </c>
      <c r="Y9" t="s">
        <v>30</v>
      </c>
      <c r="Z9" t="s">
        <v>30</v>
      </c>
      <c r="AA9">
        <v>72</v>
      </c>
      <c r="AB9">
        <v>621004</v>
      </c>
      <c r="AC9" t="s">
        <v>235</v>
      </c>
      <c r="AD9" t="s">
        <v>236</v>
      </c>
      <c r="AE9">
        <v>-8.3333333333329998E-2</v>
      </c>
      <c r="AF9">
        <v>-1</v>
      </c>
      <c r="AG9">
        <v>265.58999999999997</v>
      </c>
      <c r="AH9">
        <v>0</v>
      </c>
      <c r="AI9">
        <v>0</v>
      </c>
      <c r="AJ9">
        <v>0</v>
      </c>
      <c r="AK9">
        <v>-47.81</v>
      </c>
      <c r="AL9">
        <v>-265.58999999999997</v>
      </c>
      <c r="AM9">
        <v>-313</v>
      </c>
      <c r="AN9">
        <v>95</v>
      </c>
      <c r="AO9" t="s">
        <v>237</v>
      </c>
      <c r="AP9" t="s">
        <v>238</v>
      </c>
      <c r="AQ9">
        <v>10</v>
      </c>
      <c r="AR9">
        <v>138</v>
      </c>
      <c r="AS9" t="s">
        <v>90</v>
      </c>
      <c r="AT9">
        <v>73101</v>
      </c>
      <c r="AU9" t="s">
        <v>211</v>
      </c>
      <c r="AV9" t="s">
        <v>91</v>
      </c>
      <c r="AW9" t="s">
        <v>50</v>
      </c>
      <c r="AX9" t="s">
        <v>51</v>
      </c>
      <c r="AY9" t="s">
        <v>239</v>
      </c>
      <c r="AZ9" t="s">
        <v>240</v>
      </c>
      <c r="BA9" t="s">
        <v>241</v>
      </c>
      <c r="BB9">
        <v>0</v>
      </c>
      <c r="BC9">
        <v>0</v>
      </c>
      <c r="BD9" t="s">
        <v>199</v>
      </c>
      <c r="BE9" t="s">
        <v>199</v>
      </c>
      <c r="BF9">
        <v>0</v>
      </c>
      <c r="BG9">
        <v>0</v>
      </c>
      <c r="BH9" t="s">
        <v>200</v>
      </c>
      <c r="BI9">
        <v>3</v>
      </c>
      <c r="BJ9">
        <v>2018430</v>
      </c>
      <c r="BK9" t="s">
        <v>201</v>
      </c>
      <c r="BL9" t="s">
        <v>190</v>
      </c>
    </row>
    <row r="10" spans="1:64" x14ac:dyDescent="0.3">
      <c r="A10">
        <v>223</v>
      </c>
      <c r="B10" t="s">
        <v>186</v>
      </c>
      <c r="C10">
        <v>3</v>
      </c>
      <c r="D10">
        <v>2011886</v>
      </c>
      <c r="E10" t="s">
        <v>202</v>
      </c>
      <c r="F10" t="s">
        <v>188</v>
      </c>
      <c r="G10">
        <v>-5575805</v>
      </c>
      <c r="H10" s="35">
        <v>46069</v>
      </c>
      <c r="I10" s="35">
        <v>46069</v>
      </c>
      <c r="J10">
        <v>2026</v>
      </c>
      <c r="K10">
        <v>2</v>
      </c>
      <c r="L10" t="s">
        <v>242</v>
      </c>
      <c r="M10">
        <v>-1</v>
      </c>
      <c r="N10" t="s">
        <v>203</v>
      </c>
      <c r="O10" t="s">
        <v>191</v>
      </c>
      <c r="P10">
        <v>20</v>
      </c>
      <c r="Q10" t="s">
        <v>243</v>
      </c>
      <c r="R10">
        <v>8</v>
      </c>
      <c r="S10">
        <v>16</v>
      </c>
      <c r="T10">
        <v>29579</v>
      </c>
      <c r="U10">
        <v>3</v>
      </c>
      <c r="V10" t="s">
        <v>224</v>
      </c>
      <c r="W10" t="s">
        <v>40</v>
      </c>
      <c r="X10" t="s">
        <v>19</v>
      </c>
      <c r="Y10" t="s">
        <v>41</v>
      </c>
      <c r="Z10" t="s">
        <v>41</v>
      </c>
      <c r="AA10">
        <v>60</v>
      </c>
      <c r="AB10">
        <v>930076</v>
      </c>
      <c r="AC10" t="s">
        <v>244</v>
      </c>
      <c r="AD10" t="s">
        <v>245</v>
      </c>
      <c r="AE10">
        <v>-1</v>
      </c>
      <c r="AF10">
        <v>-24</v>
      </c>
      <c r="AG10">
        <v>40.29</v>
      </c>
      <c r="AH10">
        <v>0</v>
      </c>
      <c r="AI10">
        <v>0</v>
      </c>
      <c r="AJ10">
        <v>0</v>
      </c>
      <c r="AK10">
        <v>-174.05</v>
      </c>
      <c r="AL10">
        <v>-966.96</v>
      </c>
      <c r="AM10">
        <v>-1141</v>
      </c>
      <c r="AN10">
        <v>8</v>
      </c>
      <c r="AO10" t="s">
        <v>37</v>
      </c>
      <c r="AP10" t="s">
        <v>39</v>
      </c>
      <c r="AQ10">
        <v>10</v>
      </c>
      <c r="AR10">
        <v>204</v>
      </c>
      <c r="AS10" t="s">
        <v>84</v>
      </c>
      <c r="AT10">
        <v>0</v>
      </c>
      <c r="AU10" t="s">
        <v>199</v>
      </c>
      <c r="AV10" t="s">
        <v>82</v>
      </c>
      <c r="AW10" t="s">
        <v>23</v>
      </c>
      <c r="AX10" t="s">
        <v>24</v>
      </c>
      <c r="AY10" t="s">
        <v>38</v>
      </c>
      <c r="AZ10" t="s">
        <v>197</v>
      </c>
      <c r="BA10" t="s">
        <v>246</v>
      </c>
      <c r="BB10">
        <v>0</v>
      </c>
      <c r="BC10">
        <v>0</v>
      </c>
      <c r="BD10" t="s">
        <v>199</v>
      </c>
      <c r="BE10" t="s">
        <v>199</v>
      </c>
      <c r="BF10">
        <v>0</v>
      </c>
      <c r="BG10">
        <v>0</v>
      </c>
      <c r="BH10" t="s">
        <v>200</v>
      </c>
      <c r="BI10">
        <v>3</v>
      </c>
      <c r="BJ10">
        <v>2011886</v>
      </c>
      <c r="BK10" t="s">
        <v>201</v>
      </c>
      <c r="BL10" t="s">
        <v>190</v>
      </c>
    </row>
    <row r="11" spans="1:64" x14ac:dyDescent="0.3">
      <c r="A11">
        <v>109</v>
      </c>
      <c r="B11" t="s">
        <v>186</v>
      </c>
      <c r="C11">
        <v>3</v>
      </c>
      <c r="D11">
        <v>2009443</v>
      </c>
      <c r="E11" t="s">
        <v>187</v>
      </c>
      <c r="F11" t="s">
        <v>188</v>
      </c>
      <c r="G11">
        <v>-5573299</v>
      </c>
      <c r="H11" s="35">
        <v>46055</v>
      </c>
      <c r="I11" s="35">
        <v>46055</v>
      </c>
      <c r="J11">
        <v>2026</v>
      </c>
      <c r="K11">
        <v>2</v>
      </c>
      <c r="L11" t="s">
        <v>242</v>
      </c>
      <c r="M11">
        <v>-1</v>
      </c>
      <c r="N11" t="s">
        <v>190</v>
      </c>
      <c r="O11" t="s">
        <v>191</v>
      </c>
      <c r="P11">
        <v>26</v>
      </c>
      <c r="Q11" t="s">
        <v>247</v>
      </c>
      <c r="R11">
        <v>6</v>
      </c>
      <c r="S11">
        <v>2</v>
      </c>
      <c r="T11">
        <v>2280</v>
      </c>
      <c r="U11">
        <v>3</v>
      </c>
      <c r="V11" t="s">
        <v>193</v>
      </c>
      <c r="W11" t="s">
        <v>29</v>
      </c>
      <c r="X11" t="s">
        <v>19</v>
      </c>
      <c r="Y11" t="s">
        <v>30</v>
      </c>
      <c r="Z11" t="s">
        <v>30</v>
      </c>
      <c r="AA11">
        <v>14</v>
      </c>
      <c r="AB11">
        <v>201001</v>
      </c>
      <c r="AC11" t="s">
        <v>248</v>
      </c>
      <c r="AD11" t="s">
        <v>249</v>
      </c>
      <c r="AE11">
        <v>-10</v>
      </c>
      <c r="AF11">
        <v>-10</v>
      </c>
      <c r="AG11">
        <v>221.67</v>
      </c>
      <c r="AH11">
        <v>0</v>
      </c>
      <c r="AI11">
        <v>0</v>
      </c>
      <c r="AJ11">
        <v>0</v>
      </c>
      <c r="AK11">
        <v>-399.01</v>
      </c>
      <c r="AL11">
        <v>-2216.6999999999998</v>
      </c>
      <c r="AM11">
        <v>-2616</v>
      </c>
      <c r="AN11">
        <v>93</v>
      </c>
      <c r="AO11" t="s">
        <v>250</v>
      </c>
      <c r="AP11" t="s">
        <v>251</v>
      </c>
      <c r="AQ11">
        <v>10</v>
      </c>
      <c r="AR11">
        <v>113</v>
      </c>
      <c r="AS11" t="s">
        <v>89</v>
      </c>
      <c r="AT11">
        <v>82101</v>
      </c>
      <c r="AU11" t="s">
        <v>252</v>
      </c>
      <c r="AV11" t="s">
        <v>80</v>
      </c>
      <c r="AW11" t="s">
        <v>23</v>
      </c>
      <c r="AX11" t="s">
        <v>24</v>
      </c>
      <c r="AY11" t="s">
        <v>253</v>
      </c>
      <c r="AZ11" t="s">
        <v>197</v>
      </c>
      <c r="BA11" t="s">
        <v>254</v>
      </c>
      <c r="BB11">
        <v>0</v>
      </c>
      <c r="BC11">
        <v>0</v>
      </c>
      <c r="BD11" t="s">
        <v>199</v>
      </c>
      <c r="BE11" t="s">
        <v>199</v>
      </c>
      <c r="BF11">
        <v>0</v>
      </c>
      <c r="BG11">
        <v>0</v>
      </c>
      <c r="BH11" t="s">
        <v>200</v>
      </c>
      <c r="BI11">
        <v>3</v>
      </c>
      <c r="BJ11">
        <v>2009443</v>
      </c>
      <c r="BK11" t="s">
        <v>201</v>
      </c>
      <c r="BL11" t="s">
        <v>190</v>
      </c>
    </row>
    <row r="12" spans="1:64" x14ac:dyDescent="0.3">
      <c r="A12">
        <v>109</v>
      </c>
      <c r="B12" t="s">
        <v>186</v>
      </c>
      <c r="C12">
        <v>3</v>
      </c>
      <c r="D12">
        <v>2009443</v>
      </c>
      <c r="E12" t="s">
        <v>187</v>
      </c>
      <c r="F12" t="s">
        <v>188</v>
      </c>
      <c r="G12">
        <v>-5573299</v>
      </c>
      <c r="H12" s="35">
        <v>46055</v>
      </c>
      <c r="I12" s="35">
        <v>46055</v>
      </c>
      <c r="J12">
        <v>2026</v>
      </c>
      <c r="K12">
        <v>2</v>
      </c>
      <c r="L12" t="s">
        <v>242</v>
      </c>
      <c r="M12">
        <v>-1</v>
      </c>
      <c r="N12" t="s">
        <v>203</v>
      </c>
      <c r="O12" t="s">
        <v>191</v>
      </c>
      <c r="P12">
        <v>26</v>
      </c>
      <c r="Q12" t="s">
        <v>247</v>
      </c>
      <c r="R12">
        <v>6</v>
      </c>
      <c r="S12">
        <v>2</v>
      </c>
      <c r="T12">
        <v>2280</v>
      </c>
      <c r="U12">
        <v>3</v>
      </c>
      <c r="V12" t="s">
        <v>193</v>
      </c>
      <c r="W12" t="s">
        <v>29</v>
      </c>
      <c r="X12" t="s">
        <v>19</v>
      </c>
      <c r="Y12" t="s">
        <v>30</v>
      </c>
      <c r="Z12" t="s">
        <v>30</v>
      </c>
      <c r="AA12">
        <v>14</v>
      </c>
      <c r="AB12">
        <v>611221</v>
      </c>
      <c r="AC12" t="s">
        <v>255</v>
      </c>
      <c r="AD12" t="s">
        <v>256</v>
      </c>
      <c r="AE12">
        <v>-1</v>
      </c>
      <c r="AF12">
        <v>-1</v>
      </c>
      <c r="AG12">
        <v>194.92</v>
      </c>
      <c r="AH12">
        <v>0</v>
      </c>
      <c r="AI12">
        <v>0</v>
      </c>
      <c r="AJ12">
        <v>0</v>
      </c>
      <c r="AK12">
        <v>-35.090000000000003</v>
      </c>
      <c r="AL12">
        <v>-194.92</v>
      </c>
      <c r="AM12">
        <v>-230</v>
      </c>
      <c r="AN12">
        <v>93</v>
      </c>
      <c r="AO12" t="s">
        <v>250</v>
      </c>
      <c r="AP12" t="s">
        <v>251</v>
      </c>
      <c r="AQ12">
        <v>10</v>
      </c>
      <c r="AR12">
        <v>193</v>
      </c>
      <c r="AS12" t="s">
        <v>98</v>
      </c>
      <c r="AT12">
        <v>65105</v>
      </c>
      <c r="AU12" t="s">
        <v>257</v>
      </c>
      <c r="AV12" t="s">
        <v>99</v>
      </c>
      <c r="AW12" t="s">
        <v>23</v>
      </c>
      <c r="AX12" t="s">
        <v>24</v>
      </c>
      <c r="AY12" t="s">
        <v>253</v>
      </c>
      <c r="AZ12" t="s">
        <v>197</v>
      </c>
      <c r="BA12" t="s">
        <v>254</v>
      </c>
      <c r="BB12">
        <v>0</v>
      </c>
      <c r="BC12">
        <v>0</v>
      </c>
      <c r="BD12" t="s">
        <v>199</v>
      </c>
      <c r="BE12" t="s">
        <v>199</v>
      </c>
      <c r="BF12">
        <v>0</v>
      </c>
      <c r="BG12">
        <v>0</v>
      </c>
      <c r="BH12" t="s">
        <v>200</v>
      </c>
      <c r="BI12">
        <v>3</v>
      </c>
      <c r="BJ12">
        <v>2009443</v>
      </c>
      <c r="BK12" t="s">
        <v>201</v>
      </c>
      <c r="BL12" t="s">
        <v>190</v>
      </c>
    </row>
    <row r="13" spans="1:64" x14ac:dyDescent="0.3">
      <c r="A13">
        <v>109</v>
      </c>
      <c r="B13" t="s">
        <v>186</v>
      </c>
      <c r="C13">
        <v>3</v>
      </c>
      <c r="D13">
        <v>2009443</v>
      </c>
      <c r="E13" t="s">
        <v>187</v>
      </c>
      <c r="F13" t="s">
        <v>188</v>
      </c>
      <c r="G13">
        <v>-5573299</v>
      </c>
      <c r="H13" s="35">
        <v>46055</v>
      </c>
      <c r="I13" s="35">
        <v>46055</v>
      </c>
      <c r="J13">
        <v>2026</v>
      </c>
      <c r="K13">
        <v>2</v>
      </c>
      <c r="L13" t="s">
        <v>242</v>
      </c>
      <c r="M13">
        <v>-1</v>
      </c>
      <c r="N13" t="s">
        <v>203</v>
      </c>
      <c r="O13" t="s">
        <v>191</v>
      </c>
      <c r="P13">
        <v>26</v>
      </c>
      <c r="Q13" t="s">
        <v>247</v>
      </c>
      <c r="R13">
        <v>6</v>
      </c>
      <c r="S13">
        <v>2</v>
      </c>
      <c r="T13">
        <v>2280</v>
      </c>
      <c r="U13">
        <v>3</v>
      </c>
      <c r="V13" t="s">
        <v>193</v>
      </c>
      <c r="W13" t="s">
        <v>29</v>
      </c>
      <c r="X13" t="s">
        <v>19</v>
      </c>
      <c r="Y13" t="s">
        <v>30</v>
      </c>
      <c r="Z13" t="s">
        <v>30</v>
      </c>
      <c r="AA13">
        <v>14</v>
      </c>
      <c r="AB13">
        <v>930045</v>
      </c>
      <c r="AC13" t="s">
        <v>258</v>
      </c>
      <c r="AD13" t="s">
        <v>259</v>
      </c>
      <c r="AE13">
        <v>-0.16666666666666</v>
      </c>
      <c r="AF13">
        <v>-4</v>
      </c>
      <c r="AG13">
        <v>103.5</v>
      </c>
      <c r="AH13">
        <v>0</v>
      </c>
      <c r="AI13">
        <v>0</v>
      </c>
      <c r="AJ13">
        <v>0</v>
      </c>
      <c r="AK13">
        <v>-74.52</v>
      </c>
      <c r="AL13">
        <v>-414</v>
      </c>
      <c r="AM13">
        <v>-489</v>
      </c>
      <c r="AN13">
        <v>93</v>
      </c>
      <c r="AO13" t="s">
        <v>250</v>
      </c>
      <c r="AP13" t="s">
        <v>251</v>
      </c>
      <c r="AQ13">
        <v>10</v>
      </c>
      <c r="AR13">
        <v>204</v>
      </c>
      <c r="AS13" t="s">
        <v>84</v>
      </c>
      <c r="AT13">
        <v>0</v>
      </c>
      <c r="AU13" t="s">
        <v>199</v>
      </c>
      <c r="AV13" t="s">
        <v>82</v>
      </c>
      <c r="AW13" t="s">
        <v>23</v>
      </c>
      <c r="AX13" t="s">
        <v>24</v>
      </c>
      <c r="AY13" t="s">
        <v>253</v>
      </c>
      <c r="AZ13" t="s">
        <v>197</v>
      </c>
      <c r="BA13" t="s">
        <v>254</v>
      </c>
      <c r="BB13">
        <v>0</v>
      </c>
      <c r="BC13">
        <v>0</v>
      </c>
      <c r="BD13" t="s">
        <v>199</v>
      </c>
      <c r="BE13" t="s">
        <v>199</v>
      </c>
      <c r="BF13">
        <v>0</v>
      </c>
      <c r="BG13">
        <v>0</v>
      </c>
      <c r="BH13" t="s">
        <v>200</v>
      </c>
      <c r="BI13">
        <v>3</v>
      </c>
      <c r="BJ13">
        <v>2009443</v>
      </c>
      <c r="BK13" t="s">
        <v>201</v>
      </c>
      <c r="BL13" t="s">
        <v>190</v>
      </c>
    </row>
    <row r="14" spans="1:64" x14ac:dyDescent="0.3">
      <c r="A14">
        <v>109</v>
      </c>
      <c r="B14" t="s">
        <v>186</v>
      </c>
      <c r="C14">
        <v>3</v>
      </c>
      <c r="D14">
        <v>2008087</v>
      </c>
      <c r="E14" t="s">
        <v>187</v>
      </c>
      <c r="F14" t="s">
        <v>188</v>
      </c>
      <c r="G14">
        <v>-5571926</v>
      </c>
      <c r="H14" s="35">
        <v>46049</v>
      </c>
      <c r="I14" s="35">
        <v>46049</v>
      </c>
      <c r="J14">
        <v>2026</v>
      </c>
      <c r="K14">
        <v>1</v>
      </c>
      <c r="L14" t="s">
        <v>242</v>
      </c>
      <c r="M14">
        <v>-1</v>
      </c>
      <c r="N14" t="s">
        <v>203</v>
      </c>
      <c r="O14" t="s">
        <v>191</v>
      </c>
      <c r="P14">
        <v>18</v>
      </c>
      <c r="Q14" t="s">
        <v>260</v>
      </c>
      <c r="R14">
        <v>5</v>
      </c>
      <c r="S14">
        <v>27</v>
      </c>
      <c r="T14">
        <v>19291</v>
      </c>
      <c r="U14">
        <v>3</v>
      </c>
      <c r="V14" t="s">
        <v>261</v>
      </c>
      <c r="W14" t="s">
        <v>35</v>
      </c>
      <c r="X14" t="s">
        <v>19</v>
      </c>
      <c r="Y14" t="s">
        <v>30</v>
      </c>
      <c r="Z14" t="s">
        <v>30</v>
      </c>
      <c r="AA14">
        <v>8</v>
      </c>
      <c r="AB14">
        <v>800791</v>
      </c>
      <c r="AC14" t="s">
        <v>262</v>
      </c>
      <c r="AD14" t="s">
        <v>263</v>
      </c>
      <c r="AE14">
        <v>-0.52</v>
      </c>
      <c r="AF14">
        <v>-13</v>
      </c>
      <c r="AG14">
        <v>153.11000000000001</v>
      </c>
      <c r="AH14">
        <v>0</v>
      </c>
      <c r="AI14">
        <v>0</v>
      </c>
      <c r="AJ14">
        <v>0</v>
      </c>
      <c r="AK14">
        <v>-358.28</v>
      </c>
      <c r="AL14">
        <v>-1990.43</v>
      </c>
      <c r="AM14">
        <v>-2349</v>
      </c>
      <c r="AN14">
        <v>4</v>
      </c>
      <c r="AO14" t="s">
        <v>264</v>
      </c>
      <c r="AP14" t="s">
        <v>265</v>
      </c>
      <c r="AQ14">
        <v>10</v>
      </c>
      <c r="AR14">
        <v>207</v>
      </c>
      <c r="AS14" t="s">
        <v>81</v>
      </c>
      <c r="AT14">
        <v>65103</v>
      </c>
      <c r="AU14" t="s">
        <v>266</v>
      </c>
      <c r="AV14" t="s">
        <v>82</v>
      </c>
      <c r="AW14" t="s">
        <v>23</v>
      </c>
      <c r="AX14" t="s">
        <v>24</v>
      </c>
      <c r="AY14" t="s">
        <v>267</v>
      </c>
      <c r="AZ14" t="s">
        <v>197</v>
      </c>
      <c r="BA14" t="s">
        <v>268</v>
      </c>
      <c r="BB14">
        <v>0</v>
      </c>
      <c r="BC14">
        <v>0</v>
      </c>
      <c r="BD14" t="s">
        <v>199</v>
      </c>
      <c r="BE14" t="s">
        <v>199</v>
      </c>
      <c r="BF14">
        <v>0</v>
      </c>
      <c r="BG14">
        <v>0</v>
      </c>
      <c r="BH14" t="s">
        <v>200</v>
      </c>
      <c r="BI14">
        <v>3</v>
      </c>
      <c r="BJ14">
        <v>2008087</v>
      </c>
      <c r="BK14" t="s">
        <v>201</v>
      </c>
      <c r="BL14" t="s">
        <v>190</v>
      </c>
    </row>
    <row r="15" spans="1:64" x14ac:dyDescent="0.3">
      <c r="A15">
        <v>223</v>
      </c>
      <c r="B15" t="s">
        <v>186</v>
      </c>
      <c r="C15">
        <v>3</v>
      </c>
      <c r="D15">
        <v>2005499</v>
      </c>
      <c r="E15" t="s">
        <v>202</v>
      </c>
      <c r="F15" t="s">
        <v>188</v>
      </c>
      <c r="G15">
        <v>-5569285</v>
      </c>
      <c r="H15" s="35">
        <v>46034</v>
      </c>
      <c r="I15" s="35">
        <v>46034</v>
      </c>
      <c r="J15">
        <v>2026</v>
      </c>
      <c r="K15">
        <v>1</v>
      </c>
      <c r="L15" t="s">
        <v>242</v>
      </c>
      <c r="M15">
        <v>-1</v>
      </c>
      <c r="N15" t="s">
        <v>190</v>
      </c>
      <c r="O15" t="s">
        <v>191</v>
      </c>
      <c r="P15">
        <v>23</v>
      </c>
      <c r="Q15" t="s">
        <v>269</v>
      </c>
      <c r="R15">
        <v>3</v>
      </c>
      <c r="S15">
        <v>12</v>
      </c>
      <c r="T15">
        <v>1019</v>
      </c>
      <c r="U15">
        <v>3</v>
      </c>
      <c r="V15" t="s">
        <v>270</v>
      </c>
      <c r="W15" t="s">
        <v>46</v>
      </c>
      <c r="X15" t="s">
        <v>19</v>
      </c>
      <c r="Y15" t="s">
        <v>41</v>
      </c>
      <c r="Z15" t="s">
        <v>41</v>
      </c>
      <c r="AA15">
        <v>60</v>
      </c>
      <c r="AB15">
        <v>101038</v>
      </c>
      <c r="AC15" t="s">
        <v>271</v>
      </c>
      <c r="AD15" t="s">
        <v>272</v>
      </c>
      <c r="AE15">
        <v>-2</v>
      </c>
      <c r="AF15">
        <v>-20</v>
      </c>
      <c r="AG15">
        <v>354.25</v>
      </c>
      <c r="AH15">
        <v>0</v>
      </c>
      <c r="AI15">
        <v>0</v>
      </c>
      <c r="AJ15">
        <v>0</v>
      </c>
      <c r="AK15">
        <v>-1275.3</v>
      </c>
      <c r="AL15">
        <v>-7085</v>
      </c>
      <c r="AM15">
        <v>-8360</v>
      </c>
      <c r="AN15">
        <v>8</v>
      </c>
      <c r="AO15" t="s">
        <v>37</v>
      </c>
      <c r="AP15" t="s">
        <v>39</v>
      </c>
      <c r="AQ15">
        <v>10</v>
      </c>
      <c r="AR15">
        <v>105</v>
      </c>
      <c r="AS15" t="s">
        <v>85</v>
      </c>
      <c r="AT15">
        <v>677001</v>
      </c>
      <c r="AU15" t="s">
        <v>273</v>
      </c>
      <c r="AV15" t="s">
        <v>86</v>
      </c>
      <c r="AW15" t="s">
        <v>23</v>
      </c>
      <c r="AX15" t="s">
        <v>24</v>
      </c>
      <c r="AY15" t="s">
        <v>38</v>
      </c>
      <c r="AZ15" t="s">
        <v>197</v>
      </c>
      <c r="BA15" t="s">
        <v>274</v>
      </c>
      <c r="BB15">
        <v>0</v>
      </c>
      <c r="BC15">
        <v>0</v>
      </c>
      <c r="BD15" t="s">
        <v>199</v>
      </c>
      <c r="BE15" t="s">
        <v>199</v>
      </c>
      <c r="BF15">
        <v>0</v>
      </c>
      <c r="BG15">
        <v>0</v>
      </c>
      <c r="BH15" t="s">
        <v>200</v>
      </c>
      <c r="BI15">
        <v>3</v>
      </c>
      <c r="BJ15">
        <v>2005499</v>
      </c>
      <c r="BK15" t="s">
        <v>201</v>
      </c>
      <c r="BL15" t="s">
        <v>190</v>
      </c>
    </row>
    <row r="16" spans="1:64" x14ac:dyDescent="0.3">
      <c r="A16">
        <v>242</v>
      </c>
      <c r="B16" t="s">
        <v>186</v>
      </c>
      <c r="C16">
        <v>3</v>
      </c>
      <c r="D16">
        <v>6149988</v>
      </c>
      <c r="E16" t="s">
        <v>275</v>
      </c>
      <c r="F16" t="s">
        <v>188</v>
      </c>
      <c r="G16">
        <v>9978880</v>
      </c>
      <c r="H16" s="35">
        <v>46025</v>
      </c>
      <c r="I16" s="35">
        <v>46025</v>
      </c>
      <c r="J16">
        <v>2026</v>
      </c>
      <c r="K16">
        <v>1</v>
      </c>
      <c r="L16" t="s">
        <v>242</v>
      </c>
      <c r="M16">
        <v>1</v>
      </c>
      <c r="N16" t="s">
        <v>190</v>
      </c>
      <c r="O16" t="s">
        <v>191</v>
      </c>
      <c r="P16" t="s">
        <v>199</v>
      </c>
      <c r="Q16" t="s">
        <v>199</v>
      </c>
      <c r="R16">
        <v>1</v>
      </c>
      <c r="S16">
        <v>3</v>
      </c>
      <c r="T16">
        <v>2280</v>
      </c>
      <c r="U16">
        <v>3</v>
      </c>
      <c r="V16" t="s">
        <v>193</v>
      </c>
      <c r="W16" t="s">
        <v>29</v>
      </c>
      <c r="X16" t="s">
        <v>19</v>
      </c>
      <c r="Y16" t="s">
        <v>30</v>
      </c>
      <c r="Z16" t="s">
        <v>30</v>
      </c>
      <c r="AA16">
        <v>14</v>
      </c>
      <c r="AB16">
        <v>800088</v>
      </c>
      <c r="AC16" t="s">
        <v>276</v>
      </c>
      <c r="AD16" t="s">
        <v>277</v>
      </c>
      <c r="AE16">
        <v>1</v>
      </c>
      <c r="AF16">
        <v>8</v>
      </c>
      <c r="AG16">
        <v>349.28</v>
      </c>
      <c r="AH16">
        <v>0</v>
      </c>
      <c r="AI16">
        <v>0</v>
      </c>
      <c r="AJ16">
        <v>0</v>
      </c>
      <c r="AK16">
        <v>502.96</v>
      </c>
      <c r="AL16">
        <v>2794.24</v>
      </c>
      <c r="AM16">
        <v>3297</v>
      </c>
      <c r="AN16">
        <v>93</v>
      </c>
      <c r="AO16" t="s">
        <v>250</v>
      </c>
      <c r="AP16" t="s">
        <v>251</v>
      </c>
      <c r="AQ16">
        <v>10</v>
      </c>
      <c r="AR16">
        <v>105</v>
      </c>
      <c r="AS16" t="s">
        <v>85</v>
      </c>
      <c r="AT16">
        <v>677001</v>
      </c>
      <c r="AU16" t="s">
        <v>273</v>
      </c>
      <c r="AV16" t="s">
        <v>86</v>
      </c>
      <c r="AW16" t="s">
        <v>23</v>
      </c>
      <c r="AX16" t="s">
        <v>24</v>
      </c>
      <c r="AY16" t="s">
        <v>253</v>
      </c>
      <c r="AZ16" t="s">
        <v>197</v>
      </c>
      <c r="BA16" t="s">
        <v>278</v>
      </c>
      <c r="BB16">
        <v>0</v>
      </c>
      <c r="BC16">
        <v>0</v>
      </c>
      <c r="BD16" t="s">
        <v>199</v>
      </c>
      <c r="BE16" t="s">
        <v>199</v>
      </c>
      <c r="BF16">
        <v>0</v>
      </c>
      <c r="BG16">
        <v>0</v>
      </c>
      <c r="BH16" t="s">
        <v>200</v>
      </c>
      <c r="BI16">
        <v>13</v>
      </c>
      <c r="BJ16">
        <v>6149988</v>
      </c>
      <c r="BK16" t="s">
        <v>201</v>
      </c>
      <c r="BL16" t="s">
        <v>190</v>
      </c>
    </row>
    <row r="17" spans="1:64" x14ac:dyDescent="0.3">
      <c r="A17">
        <v>242</v>
      </c>
      <c r="B17" t="s">
        <v>186</v>
      </c>
      <c r="C17">
        <v>3</v>
      </c>
      <c r="D17">
        <v>6149988</v>
      </c>
      <c r="E17" t="s">
        <v>275</v>
      </c>
      <c r="F17" t="s">
        <v>188</v>
      </c>
      <c r="G17">
        <v>9978880</v>
      </c>
      <c r="H17" s="35">
        <v>46025</v>
      </c>
      <c r="I17" s="35">
        <v>46025</v>
      </c>
      <c r="J17">
        <v>2026</v>
      </c>
      <c r="K17">
        <v>1</v>
      </c>
      <c r="L17" t="s">
        <v>242</v>
      </c>
      <c r="M17">
        <v>1</v>
      </c>
      <c r="N17" t="s">
        <v>190</v>
      </c>
      <c r="O17" t="s">
        <v>191</v>
      </c>
      <c r="P17" t="s">
        <v>199</v>
      </c>
      <c r="Q17" t="s">
        <v>199</v>
      </c>
      <c r="R17">
        <v>1</v>
      </c>
      <c r="S17">
        <v>3</v>
      </c>
      <c r="T17">
        <v>2280</v>
      </c>
      <c r="U17">
        <v>3</v>
      </c>
      <c r="V17" t="s">
        <v>193</v>
      </c>
      <c r="W17" t="s">
        <v>29</v>
      </c>
      <c r="X17" t="s">
        <v>19</v>
      </c>
      <c r="Y17" t="s">
        <v>30</v>
      </c>
      <c r="Z17" t="s">
        <v>30</v>
      </c>
      <c r="AA17">
        <v>14</v>
      </c>
      <c r="AB17">
        <v>101038</v>
      </c>
      <c r="AC17" t="s">
        <v>271</v>
      </c>
      <c r="AD17" t="s">
        <v>272</v>
      </c>
      <c r="AE17">
        <v>1</v>
      </c>
      <c r="AF17">
        <v>10</v>
      </c>
      <c r="AG17">
        <v>357.83</v>
      </c>
      <c r="AH17">
        <v>0</v>
      </c>
      <c r="AI17">
        <v>0</v>
      </c>
      <c r="AJ17">
        <v>0</v>
      </c>
      <c r="AK17">
        <v>644.09</v>
      </c>
      <c r="AL17">
        <v>3578.3</v>
      </c>
      <c r="AM17">
        <v>4222</v>
      </c>
      <c r="AN17">
        <v>93</v>
      </c>
      <c r="AO17" t="s">
        <v>250</v>
      </c>
      <c r="AP17" t="s">
        <v>251</v>
      </c>
      <c r="AQ17">
        <v>10</v>
      </c>
      <c r="AR17">
        <v>105</v>
      </c>
      <c r="AS17" t="s">
        <v>85</v>
      </c>
      <c r="AT17">
        <v>677001</v>
      </c>
      <c r="AU17" t="s">
        <v>273</v>
      </c>
      <c r="AV17" t="s">
        <v>86</v>
      </c>
      <c r="AW17" t="s">
        <v>23</v>
      </c>
      <c r="AX17" t="s">
        <v>24</v>
      </c>
      <c r="AY17" t="s">
        <v>253</v>
      </c>
      <c r="AZ17" t="s">
        <v>197</v>
      </c>
      <c r="BA17" t="s">
        <v>278</v>
      </c>
      <c r="BB17">
        <v>0</v>
      </c>
      <c r="BC17">
        <v>0</v>
      </c>
      <c r="BD17" t="s">
        <v>199</v>
      </c>
      <c r="BE17" t="s">
        <v>199</v>
      </c>
      <c r="BF17">
        <v>0</v>
      </c>
      <c r="BG17">
        <v>0</v>
      </c>
      <c r="BH17" t="s">
        <v>200</v>
      </c>
      <c r="BI17">
        <v>13</v>
      </c>
      <c r="BJ17">
        <v>6149988</v>
      </c>
      <c r="BK17" t="s">
        <v>201</v>
      </c>
      <c r="BL17" t="s">
        <v>190</v>
      </c>
    </row>
    <row r="18" spans="1:64" x14ac:dyDescent="0.3">
      <c r="A18">
        <v>223</v>
      </c>
      <c r="B18" t="s">
        <v>186</v>
      </c>
      <c r="C18">
        <v>3</v>
      </c>
      <c r="D18">
        <v>6154497</v>
      </c>
      <c r="E18" t="s">
        <v>202</v>
      </c>
      <c r="F18" t="s">
        <v>188</v>
      </c>
      <c r="G18">
        <v>9983389</v>
      </c>
      <c r="H18" s="35">
        <v>46029</v>
      </c>
      <c r="I18" s="35">
        <v>46029</v>
      </c>
      <c r="J18">
        <v>2026</v>
      </c>
      <c r="K18">
        <v>1</v>
      </c>
      <c r="L18" t="s">
        <v>242</v>
      </c>
      <c r="M18">
        <v>1</v>
      </c>
      <c r="N18" t="s">
        <v>203</v>
      </c>
      <c r="O18" t="s">
        <v>191</v>
      </c>
      <c r="P18" t="s">
        <v>199</v>
      </c>
      <c r="Q18" t="s">
        <v>199</v>
      </c>
      <c r="R18">
        <v>2</v>
      </c>
      <c r="S18">
        <v>7</v>
      </c>
      <c r="T18">
        <v>12191</v>
      </c>
      <c r="U18">
        <v>3</v>
      </c>
      <c r="V18" t="s">
        <v>204</v>
      </c>
      <c r="W18" t="s">
        <v>27</v>
      </c>
      <c r="X18" t="s">
        <v>28</v>
      </c>
      <c r="Y18" t="s">
        <v>20</v>
      </c>
      <c r="Z18" t="s">
        <v>20</v>
      </c>
      <c r="AA18">
        <v>91</v>
      </c>
      <c r="AB18">
        <v>800791</v>
      </c>
      <c r="AC18" t="s">
        <v>262</v>
      </c>
      <c r="AD18" t="s">
        <v>263</v>
      </c>
      <c r="AE18">
        <v>0.2</v>
      </c>
      <c r="AF18">
        <v>5</v>
      </c>
      <c r="AG18">
        <v>150.01</v>
      </c>
      <c r="AH18">
        <v>0</v>
      </c>
      <c r="AI18">
        <v>0</v>
      </c>
      <c r="AJ18">
        <v>0</v>
      </c>
      <c r="AK18">
        <v>135.01</v>
      </c>
      <c r="AL18">
        <v>750.05</v>
      </c>
      <c r="AM18">
        <v>885</v>
      </c>
      <c r="AN18">
        <v>91</v>
      </c>
      <c r="AO18" t="s">
        <v>22</v>
      </c>
      <c r="AP18" t="s">
        <v>26</v>
      </c>
      <c r="AQ18">
        <v>10</v>
      </c>
      <c r="AR18">
        <v>207</v>
      </c>
      <c r="AS18" t="s">
        <v>81</v>
      </c>
      <c r="AT18">
        <v>65103</v>
      </c>
      <c r="AU18" t="s">
        <v>266</v>
      </c>
      <c r="AV18" t="s">
        <v>82</v>
      </c>
      <c r="AW18" t="s">
        <v>23</v>
      </c>
      <c r="AX18" t="s">
        <v>24</v>
      </c>
      <c r="AY18" t="s">
        <v>25</v>
      </c>
      <c r="AZ18" t="s">
        <v>197</v>
      </c>
      <c r="BA18" t="s">
        <v>279</v>
      </c>
      <c r="BB18">
        <v>0</v>
      </c>
      <c r="BC18">
        <v>0</v>
      </c>
      <c r="BD18" t="s">
        <v>199</v>
      </c>
      <c r="BE18" t="s">
        <v>199</v>
      </c>
      <c r="BF18">
        <v>0</v>
      </c>
      <c r="BG18">
        <v>0</v>
      </c>
      <c r="BH18" t="s">
        <v>200</v>
      </c>
      <c r="BI18">
        <v>13</v>
      </c>
      <c r="BJ18">
        <v>6154497</v>
      </c>
      <c r="BK18" t="s">
        <v>201</v>
      </c>
      <c r="BL18" t="s">
        <v>190</v>
      </c>
    </row>
    <row r="19" spans="1:64" x14ac:dyDescent="0.3">
      <c r="A19">
        <v>242</v>
      </c>
      <c r="B19" t="s">
        <v>186</v>
      </c>
      <c r="C19">
        <v>3</v>
      </c>
      <c r="D19">
        <v>6154767</v>
      </c>
      <c r="E19" t="s">
        <v>275</v>
      </c>
      <c r="F19" t="s">
        <v>188</v>
      </c>
      <c r="G19">
        <v>9983659</v>
      </c>
      <c r="H19" s="35">
        <v>46029</v>
      </c>
      <c r="I19" s="35">
        <v>46029</v>
      </c>
      <c r="J19">
        <v>2026</v>
      </c>
      <c r="K19">
        <v>1</v>
      </c>
      <c r="L19" t="s">
        <v>242</v>
      </c>
      <c r="M19">
        <v>1</v>
      </c>
      <c r="N19" t="s">
        <v>203</v>
      </c>
      <c r="O19" t="s">
        <v>191</v>
      </c>
      <c r="P19" t="s">
        <v>199</v>
      </c>
      <c r="Q19" t="s">
        <v>199</v>
      </c>
      <c r="R19">
        <v>2</v>
      </c>
      <c r="S19">
        <v>7</v>
      </c>
      <c r="T19">
        <v>2280</v>
      </c>
      <c r="U19">
        <v>3</v>
      </c>
      <c r="V19" t="s">
        <v>193</v>
      </c>
      <c r="W19" t="s">
        <v>29</v>
      </c>
      <c r="X19" t="s">
        <v>19</v>
      </c>
      <c r="Y19" t="s">
        <v>30</v>
      </c>
      <c r="Z19" t="s">
        <v>30</v>
      </c>
      <c r="AA19">
        <v>14</v>
      </c>
      <c r="AB19">
        <v>800791</v>
      </c>
      <c r="AC19" t="s">
        <v>262</v>
      </c>
      <c r="AD19" t="s">
        <v>263</v>
      </c>
      <c r="AE19">
        <v>0.08</v>
      </c>
      <c r="AF19">
        <v>2</v>
      </c>
      <c r="AG19">
        <v>150.01</v>
      </c>
      <c r="AH19">
        <v>0</v>
      </c>
      <c r="AI19">
        <v>0</v>
      </c>
      <c r="AJ19">
        <v>0</v>
      </c>
      <c r="AK19">
        <v>54</v>
      </c>
      <c r="AL19">
        <v>300.02</v>
      </c>
      <c r="AM19">
        <v>354</v>
      </c>
      <c r="AN19">
        <v>93</v>
      </c>
      <c r="AO19" t="s">
        <v>250</v>
      </c>
      <c r="AP19" t="s">
        <v>251</v>
      </c>
      <c r="AQ19">
        <v>10</v>
      </c>
      <c r="AR19">
        <v>207</v>
      </c>
      <c r="AS19" t="s">
        <v>81</v>
      </c>
      <c r="AT19">
        <v>65103</v>
      </c>
      <c r="AU19" t="s">
        <v>266</v>
      </c>
      <c r="AV19" t="s">
        <v>82</v>
      </c>
      <c r="AW19" t="s">
        <v>23</v>
      </c>
      <c r="AX19" t="s">
        <v>24</v>
      </c>
      <c r="AY19" t="s">
        <v>253</v>
      </c>
      <c r="AZ19" t="s">
        <v>197</v>
      </c>
      <c r="BA19" t="s">
        <v>280</v>
      </c>
      <c r="BB19">
        <v>0</v>
      </c>
      <c r="BC19">
        <v>0</v>
      </c>
      <c r="BD19" t="s">
        <v>199</v>
      </c>
      <c r="BE19" t="s">
        <v>199</v>
      </c>
      <c r="BF19">
        <v>0</v>
      </c>
      <c r="BG19">
        <v>0</v>
      </c>
      <c r="BH19" t="s">
        <v>200</v>
      </c>
      <c r="BI19">
        <v>13</v>
      </c>
      <c r="BJ19">
        <v>6154767</v>
      </c>
      <c r="BK19" t="s">
        <v>201</v>
      </c>
      <c r="BL19" t="s">
        <v>190</v>
      </c>
    </row>
    <row r="20" spans="1:64" x14ac:dyDescent="0.3">
      <c r="A20">
        <v>242</v>
      </c>
      <c r="B20" t="s">
        <v>186</v>
      </c>
      <c r="C20">
        <v>3</v>
      </c>
      <c r="D20">
        <v>6154767</v>
      </c>
      <c r="E20" t="s">
        <v>275</v>
      </c>
      <c r="F20" t="s">
        <v>188</v>
      </c>
      <c r="G20">
        <v>9983659</v>
      </c>
      <c r="H20" s="35">
        <v>46029</v>
      </c>
      <c r="I20" s="35">
        <v>46029</v>
      </c>
      <c r="J20">
        <v>2026</v>
      </c>
      <c r="K20">
        <v>1</v>
      </c>
      <c r="L20" t="s">
        <v>242</v>
      </c>
      <c r="M20">
        <v>1</v>
      </c>
      <c r="N20" t="s">
        <v>203</v>
      </c>
      <c r="O20" t="s">
        <v>191</v>
      </c>
      <c r="P20" t="s">
        <v>199</v>
      </c>
      <c r="Q20" t="s">
        <v>199</v>
      </c>
      <c r="R20">
        <v>2</v>
      </c>
      <c r="S20">
        <v>7</v>
      </c>
      <c r="T20">
        <v>2280</v>
      </c>
      <c r="U20">
        <v>3</v>
      </c>
      <c r="V20" t="s">
        <v>193</v>
      </c>
      <c r="W20" t="s">
        <v>29</v>
      </c>
      <c r="X20" t="s">
        <v>19</v>
      </c>
      <c r="Y20" t="s">
        <v>30</v>
      </c>
      <c r="Z20" t="s">
        <v>30</v>
      </c>
      <c r="AA20">
        <v>14</v>
      </c>
      <c r="AB20">
        <v>925064</v>
      </c>
      <c r="AC20" t="s">
        <v>281</v>
      </c>
      <c r="AD20" t="s">
        <v>282</v>
      </c>
      <c r="AE20">
        <v>0.24</v>
      </c>
      <c r="AF20">
        <v>12</v>
      </c>
      <c r="AG20">
        <v>32.86</v>
      </c>
      <c r="AH20">
        <v>0</v>
      </c>
      <c r="AI20">
        <v>0</v>
      </c>
      <c r="AJ20">
        <v>0</v>
      </c>
      <c r="AK20">
        <v>70.98</v>
      </c>
      <c r="AL20">
        <v>394.32</v>
      </c>
      <c r="AM20">
        <v>465</v>
      </c>
      <c r="AN20">
        <v>93</v>
      </c>
      <c r="AO20" t="s">
        <v>250</v>
      </c>
      <c r="AP20" t="s">
        <v>251</v>
      </c>
      <c r="AQ20">
        <v>10</v>
      </c>
      <c r="AR20">
        <v>117</v>
      </c>
      <c r="AS20" t="s">
        <v>94</v>
      </c>
      <c r="AT20">
        <v>65104</v>
      </c>
      <c r="AU20" t="s">
        <v>283</v>
      </c>
      <c r="AV20" t="s">
        <v>95</v>
      </c>
      <c r="AW20" t="s">
        <v>23</v>
      </c>
      <c r="AX20" t="s">
        <v>24</v>
      </c>
      <c r="AY20" t="s">
        <v>253</v>
      </c>
      <c r="AZ20" t="s">
        <v>197</v>
      </c>
      <c r="BA20" t="s">
        <v>280</v>
      </c>
      <c r="BB20">
        <v>0</v>
      </c>
      <c r="BC20">
        <v>0</v>
      </c>
      <c r="BD20" t="s">
        <v>199</v>
      </c>
      <c r="BE20" t="s">
        <v>199</v>
      </c>
      <c r="BF20">
        <v>0</v>
      </c>
      <c r="BG20">
        <v>0</v>
      </c>
      <c r="BH20" t="s">
        <v>200</v>
      </c>
      <c r="BI20">
        <v>13</v>
      </c>
      <c r="BJ20">
        <v>6154767</v>
      </c>
      <c r="BK20" t="s">
        <v>201</v>
      </c>
      <c r="BL20" t="s">
        <v>190</v>
      </c>
    </row>
    <row r="21" spans="1:64" x14ac:dyDescent="0.3">
      <c r="A21">
        <v>242</v>
      </c>
      <c r="B21" t="s">
        <v>186</v>
      </c>
      <c r="C21">
        <v>3</v>
      </c>
      <c r="D21">
        <v>6154767</v>
      </c>
      <c r="E21" t="s">
        <v>275</v>
      </c>
      <c r="F21" t="s">
        <v>188</v>
      </c>
      <c r="G21">
        <v>9983659</v>
      </c>
      <c r="H21" s="35">
        <v>46029</v>
      </c>
      <c r="I21" s="35">
        <v>46029</v>
      </c>
      <c r="J21">
        <v>2026</v>
      </c>
      <c r="K21">
        <v>1</v>
      </c>
      <c r="L21" t="s">
        <v>242</v>
      </c>
      <c r="M21">
        <v>1</v>
      </c>
      <c r="N21" t="s">
        <v>190</v>
      </c>
      <c r="O21" t="s">
        <v>191</v>
      </c>
      <c r="P21" t="s">
        <v>199</v>
      </c>
      <c r="Q21" t="s">
        <v>199</v>
      </c>
      <c r="R21">
        <v>2</v>
      </c>
      <c r="S21">
        <v>7</v>
      </c>
      <c r="T21">
        <v>2280</v>
      </c>
      <c r="U21">
        <v>3</v>
      </c>
      <c r="V21" t="s">
        <v>193</v>
      </c>
      <c r="W21" t="s">
        <v>29</v>
      </c>
      <c r="X21" t="s">
        <v>19</v>
      </c>
      <c r="Y21" t="s">
        <v>30</v>
      </c>
      <c r="Z21" t="s">
        <v>30</v>
      </c>
      <c r="AA21">
        <v>14</v>
      </c>
      <c r="AB21">
        <v>201001</v>
      </c>
      <c r="AC21" t="s">
        <v>248</v>
      </c>
      <c r="AD21" t="s">
        <v>249</v>
      </c>
      <c r="AE21">
        <v>5</v>
      </c>
      <c r="AF21">
        <v>5</v>
      </c>
      <c r="AG21">
        <v>221.67</v>
      </c>
      <c r="AH21">
        <v>0</v>
      </c>
      <c r="AI21">
        <v>0</v>
      </c>
      <c r="AJ21">
        <v>0</v>
      </c>
      <c r="AK21">
        <v>199.5</v>
      </c>
      <c r="AL21">
        <v>1108.3499999999999</v>
      </c>
      <c r="AM21">
        <v>1308</v>
      </c>
      <c r="AN21">
        <v>93</v>
      </c>
      <c r="AO21" t="s">
        <v>250</v>
      </c>
      <c r="AP21" t="s">
        <v>251</v>
      </c>
      <c r="AQ21">
        <v>10</v>
      </c>
      <c r="AR21">
        <v>113</v>
      </c>
      <c r="AS21" t="s">
        <v>89</v>
      </c>
      <c r="AT21">
        <v>82101</v>
      </c>
      <c r="AU21" t="s">
        <v>252</v>
      </c>
      <c r="AV21" t="s">
        <v>80</v>
      </c>
      <c r="AW21" t="s">
        <v>23</v>
      </c>
      <c r="AX21" t="s">
        <v>24</v>
      </c>
      <c r="AY21" t="s">
        <v>253</v>
      </c>
      <c r="AZ21" t="s">
        <v>197</v>
      </c>
      <c r="BA21" t="s">
        <v>280</v>
      </c>
      <c r="BB21">
        <v>0</v>
      </c>
      <c r="BC21">
        <v>0</v>
      </c>
      <c r="BD21" t="s">
        <v>199</v>
      </c>
      <c r="BE21" t="s">
        <v>199</v>
      </c>
      <c r="BF21">
        <v>0</v>
      </c>
      <c r="BG21">
        <v>0</v>
      </c>
      <c r="BH21" t="s">
        <v>200</v>
      </c>
      <c r="BI21">
        <v>13</v>
      </c>
      <c r="BJ21">
        <v>6154767</v>
      </c>
      <c r="BK21" t="s">
        <v>201</v>
      </c>
      <c r="BL21" t="s">
        <v>190</v>
      </c>
    </row>
    <row r="22" spans="1:64" x14ac:dyDescent="0.3">
      <c r="A22">
        <v>229</v>
      </c>
      <c r="B22" t="s">
        <v>186</v>
      </c>
      <c r="C22">
        <v>3</v>
      </c>
      <c r="D22">
        <v>6155947</v>
      </c>
      <c r="E22" t="s">
        <v>284</v>
      </c>
      <c r="F22" t="s">
        <v>188</v>
      </c>
      <c r="G22">
        <v>9984839</v>
      </c>
      <c r="H22" s="35">
        <v>46030</v>
      </c>
      <c r="I22" s="35">
        <v>46030</v>
      </c>
      <c r="J22">
        <v>2026</v>
      </c>
      <c r="K22">
        <v>1</v>
      </c>
      <c r="L22" t="s">
        <v>242</v>
      </c>
      <c r="M22">
        <v>1</v>
      </c>
      <c r="N22" t="s">
        <v>190</v>
      </c>
      <c r="O22" t="s">
        <v>191</v>
      </c>
      <c r="P22" t="s">
        <v>199</v>
      </c>
      <c r="Q22" t="s">
        <v>199</v>
      </c>
      <c r="R22">
        <v>2</v>
      </c>
      <c r="S22">
        <v>8</v>
      </c>
      <c r="T22">
        <v>37594</v>
      </c>
      <c r="U22">
        <v>3</v>
      </c>
      <c r="V22" t="s">
        <v>234</v>
      </c>
      <c r="W22" t="s">
        <v>47</v>
      </c>
      <c r="X22" t="s">
        <v>19</v>
      </c>
      <c r="Y22" t="s">
        <v>30</v>
      </c>
      <c r="Z22" t="s">
        <v>30</v>
      </c>
      <c r="AA22">
        <v>72</v>
      </c>
      <c r="AB22">
        <v>201001</v>
      </c>
      <c r="AC22" t="s">
        <v>248</v>
      </c>
      <c r="AD22" t="s">
        <v>249</v>
      </c>
      <c r="AE22">
        <v>25</v>
      </c>
      <c r="AF22">
        <v>25</v>
      </c>
      <c r="AG22">
        <v>212.8</v>
      </c>
      <c r="AH22">
        <v>0</v>
      </c>
      <c r="AI22">
        <v>0</v>
      </c>
      <c r="AJ22">
        <v>0</v>
      </c>
      <c r="AK22">
        <v>957.6</v>
      </c>
      <c r="AL22">
        <v>5320</v>
      </c>
      <c r="AM22">
        <v>6278</v>
      </c>
      <c r="AN22">
        <v>95</v>
      </c>
      <c r="AO22" t="s">
        <v>237</v>
      </c>
      <c r="AP22" t="s">
        <v>238</v>
      </c>
      <c r="AQ22">
        <v>10</v>
      </c>
      <c r="AR22">
        <v>113</v>
      </c>
      <c r="AS22" t="s">
        <v>89</v>
      </c>
      <c r="AT22">
        <v>82101</v>
      </c>
      <c r="AU22" t="s">
        <v>252</v>
      </c>
      <c r="AV22" t="s">
        <v>80</v>
      </c>
      <c r="AW22" t="s">
        <v>50</v>
      </c>
      <c r="AX22" t="s">
        <v>51</v>
      </c>
      <c r="AY22" t="s">
        <v>239</v>
      </c>
      <c r="AZ22" t="s">
        <v>240</v>
      </c>
      <c r="BA22" t="s">
        <v>285</v>
      </c>
      <c r="BB22">
        <v>0</v>
      </c>
      <c r="BC22">
        <v>0</v>
      </c>
      <c r="BD22" t="s">
        <v>199</v>
      </c>
      <c r="BE22" t="s">
        <v>199</v>
      </c>
      <c r="BF22">
        <v>0</v>
      </c>
      <c r="BG22">
        <v>0</v>
      </c>
      <c r="BH22" t="s">
        <v>200</v>
      </c>
      <c r="BI22">
        <v>13</v>
      </c>
      <c r="BJ22">
        <v>6155947</v>
      </c>
      <c r="BK22" t="s">
        <v>201</v>
      </c>
      <c r="BL22" t="s">
        <v>190</v>
      </c>
    </row>
    <row r="23" spans="1:64" x14ac:dyDescent="0.3">
      <c r="A23">
        <v>229</v>
      </c>
      <c r="B23" t="s">
        <v>186</v>
      </c>
      <c r="C23">
        <v>3</v>
      </c>
      <c r="D23">
        <v>6155948</v>
      </c>
      <c r="E23" t="s">
        <v>284</v>
      </c>
      <c r="F23" t="s">
        <v>188</v>
      </c>
      <c r="G23">
        <v>9984840</v>
      </c>
      <c r="H23" s="35">
        <v>46030</v>
      </c>
      <c r="I23" s="35">
        <v>46030</v>
      </c>
      <c r="J23">
        <v>2026</v>
      </c>
      <c r="K23">
        <v>1</v>
      </c>
      <c r="L23" t="s">
        <v>242</v>
      </c>
      <c r="M23">
        <v>1</v>
      </c>
      <c r="N23" t="s">
        <v>190</v>
      </c>
      <c r="O23" t="s">
        <v>191</v>
      </c>
      <c r="P23" t="s">
        <v>199</v>
      </c>
      <c r="Q23" t="s">
        <v>199</v>
      </c>
      <c r="R23">
        <v>2</v>
      </c>
      <c r="S23">
        <v>8</v>
      </c>
      <c r="T23">
        <v>37594</v>
      </c>
      <c r="U23">
        <v>3</v>
      </c>
      <c r="V23" t="s">
        <v>234</v>
      </c>
      <c r="W23" t="s">
        <v>47</v>
      </c>
      <c r="X23" t="s">
        <v>19</v>
      </c>
      <c r="Y23" t="s">
        <v>30</v>
      </c>
      <c r="Z23" t="s">
        <v>30</v>
      </c>
      <c r="AA23">
        <v>72</v>
      </c>
      <c r="AB23">
        <v>103001</v>
      </c>
      <c r="AC23" t="s">
        <v>286</v>
      </c>
      <c r="AD23" t="s">
        <v>287</v>
      </c>
      <c r="AE23">
        <v>3.625</v>
      </c>
      <c r="AF23">
        <v>174</v>
      </c>
      <c r="AG23">
        <v>17.68</v>
      </c>
      <c r="AH23">
        <v>0</v>
      </c>
      <c r="AI23">
        <v>0</v>
      </c>
      <c r="AJ23">
        <v>0</v>
      </c>
      <c r="AK23">
        <v>553.74</v>
      </c>
      <c r="AL23">
        <v>3076.32</v>
      </c>
      <c r="AM23">
        <v>3630</v>
      </c>
      <c r="AN23">
        <v>95</v>
      </c>
      <c r="AO23" t="s">
        <v>237</v>
      </c>
      <c r="AP23" t="s">
        <v>238</v>
      </c>
      <c r="AQ23">
        <v>10</v>
      </c>
      <c r="AR23">
        <v>107</v>
      </c>
      <c r="AS23" t="s">
        <v>96</v>
      </c>
      <c r="AT23">
        <v>6770651</v>
      </c>
      <c r="AU23" t="s">
        <v>288</v>
      </c>
      <c r="AV23" t="s">
        <v>86</v>
      </c>
      <c r="AW23" t="s">
        <v>50</v>
      </c>
      <c r="AX23" t="s">
        <v>51</v>
      </c>
      <c r="AY23" t="s">
        <v>239</v>
      </c>
      <c r="AZ23" t="s">
        <v>240</v>
      </c>
      <c r="BA23" t="s">
        <v>289</v>
      </c>
      <c r="BB23">
        <v>0</v>
      </c>
      <c r="BC23">
        <v>0</v>
      </c>
      <c r="BD23" t="s">
        <v>199</v>
      </c>
      <c r="BE23" t="s">
        <v>199</v>
      </c>
      <c r="BF23">
        <v>0</v>
      </c>
      <c r="BG23">
        <v>0</v>
      </c>
      <c r="BH23" t="s">
        <v>200</v>
      </c>
      <c r="BI23">
        <v>13</v>
      </c>
      <c r="BJ23">
        <v>6155948</v>
      </c>
      <c r="BK23" t="s">
        <v>201</v>
      </c>
      <c r="BL23" t="s">
        <v>190</v>
      </c>
    </row>
    <row r="24" spans="1:64" x14ac:dyDescent="0.3">
      <c r="A24">
        <v>229</v>
      </c>
      <c r="B24" t="s">
        <v>186</v>
      </c>
      <c r="C24">
        <v>3</v>
      </c>
      <c r="D24">
        <v>6155948</v>
      </c>
      <c r="E24" t="s">
        <v>284</v>
      </c>
      <c r="F24" t="s">
        <v>188</v>
      </c>
      <c r="G24">
        <v>9984840</v>
      </c>
      <c r="H24" s="35">
        <v>46030</v>
      </c>
      <c r="I24" s="35">
        <v>46030</v>
      </c>
      <c r="J24">
        <v>2026</v>
      </c>
      <c r="K24">
        <v>1</v>
      </c>
      <c r="L24" t="s">
        <v>242</v>
      </c>
      <c r="M24">
        <v>1</v>
      </c>
      <c r="N24" t="s">
        <v>190</v>
      </c>
      <c r="O24" t="s">
        <v>191</v>
      </c>
      <c r="P24" t="s">
        <v>199</v>
      </c>
      <c r="Q24" t="s">
        <v>199</v>
      </c>
      <c r="R24">
        <v>2</v>
      </c>
      <c r="S24">
        <v>8</v>
      </c>
      <c r="T24">
        <v>37594</v>
      </c>
      <c r="U24">
        <v>3</v>
      </c>
      <c r="V24" t="s">
        <v>234</v>
      </c>
      <c r="W24" t="s">
        <v>47</v>
      </c>
      <c r="X24" t="s">
        <v>19</v>
      </c>
      <c r="Y24" t="s">
        <v>30</v>
      </c>
      <c r="Z24" t="s">
        <v>30</v>
      </c>
      <c r="AA24">
        <v>72</v>
      </c>
      <c r="AB24">
        <v>103113</v>
      </c>
      <c r="AC24" t="s">
        <v>290</v>
      </c>
      <c r="AD24" t="s">
        <v>291</v>
      </c>
      <c r="AE24">
        <v>3</v>
      </c>
      <c r="AF24">
        <v>3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95</v>
      </c>
      <c r="AO24" t="s">
        <v>237</v>
      </c>
      <c r="AP24" t="s">
        <v>238</v>
      </c>
      <c r="AQ24">
        <v>10</v>
      </c>
      <c r="AR24">
        <v>107</v>
      </c>
      <c r="AS24" t="s">
        <v>96</v>
      </c>
      <c r="AT24">
        <v>6770651</v>
      </c>
      <c r="AU24" t="s">
        <v>288</v>
      </c>
      <c r="AV24" t="s">
        <v>86</v>
      </c>
      <c r="AW24" t="s">
        <v>50</v>
      </c>
      <c r="AX24" t="s">
        <v>51</v>
      </c>
      <c r="AY24" t="s">
        <v>239</v>
      </c>
      <c r="AZ24" t="s">
        <v>240</v>
      </c>
      <c r="BA24" t="s">
        <v>289</v>
      </c>
      <c r="BB24">
        <v>0</v>
      </c>
      <c r="BC24">
        <v>0</v>
      </c>
      <c r="BD24" t="s">
        <v>199</v>
      </c>
      <c r="BE24" t="s">
        <v>199</v>
      </c>
      <c r="BF24">
        <v>0</v>
      </c>
      <c r="BG24">
        <v>0</v>
      </c>
      <c r="BH24" t="s">
        <v>200</v>
      </c>
      <c r="BI24">
        <v>13</v>
      </c>
      <c r="BJ24">
        <v>6155948</v>
      </c>
      <c r="BK24" t="s">
        <v>201</v>
      </c>
      <c r="BL24" t="s">
        <v>190</v>
      </c>
    </row>
    <row r="25" spans="1:64" x14ac:dyDescent="0.3">
      <c r="A25">
        <v>229</v>
      </c>
      <c r="B25" t="s">
        <v>186</v>
      </c>
      <c r="C25">
        <v>3</v>
      </c>
      <c r="D25">
        <v>6155948</v>
      </c>
      <c r="E25" t="s">
        <v>284</v>
      </c>
      <c r="F25" t="s">
        <v>188</v>
      </c>
      <c r="G25">
        <v>9984840</v>
      </c>
      <c r="H25" s="35">
        <v>46030</v>
      </c>
      <c r="I25" s="35">
        <v>46030</v>
      </c>
      <c r="J25">
        <v>2026</v>
      </c>
      <c r="K25">
        <v>1</v>
      </c>
      <c r="L25" t="s">
        <v>242</v>
      </c>
      <c r="M25">
        <v>1</v>
      </c>
      <c r="N25" t="s">
        <v>190</v>
      </c>
      <c r="O25" t="s">
        <v>191</v>
      </c>
      <c r="P25" t="s">
        <v>199</v>
      </c>
      <c r="Q25" t="s">
        <v>199</v>
      </c>
      <c r="R25">
        <v>2</v>
      </c>
      <c r="S25">
        <v>8</v>
      </c>
      <c r="T25">
        <v>37594</v>
      </c>
      <c r="U25">
        <v>3</v>
      </c>
      <c r="V25" t="s">
        <v>234</v>
      </c>
      <c r="W25" t="s">
        <v>47</v>
      </c>
      <c r="X25" t="s">
        <v>19</v>
      </c>
      <c r="Y25" t="s">
        <v>30</v>
      </c>
      <c r="Z25" t="s">
        <v>30</v>
      </c>
      <c r="AA25">
        <v>72</v>
      </c>
      <c r="AB25">
        <v>101124</v>
      </c>
      <c r="AC25" t="s">
        <v>292</v>
      </c>
      <c r="AD25" t="s">
        <v>293</v>
      </c>
      <c r="AE25">
        <v>0.5</v>
      </c>
      <c r="AF25">
        <v>12</v>
      </c>
      <c r="AG25">
        <v>73.7</v>
      </c>
      <c r="AH25">
        <v>0</v>
      </c>
      <c r="AI25">
        <v>0</v>
      </c>
      <c r="AJ25">
        <v>0</v>
      </c>
      <c r="AK25">
        <v>159.19</v>
      </c>
      <c r="AL25">
        <v>884.4</v>
      </c>
      <c r="AM25">
        <v>1044</v>
      </c>
      <c r="AN25">
        <v>95</v>
      </c>
      <c r="AO25" t="s">
        <v>237</v>
      </c>
      <c r="AP25" t="s">
        <v>238</v>
      </c>
      <c r="AQ25">
        <v>10</v>
      </c>
      <c r="AR25">
        <v>135</v>
      </c>
      <c r="AS25" t="s">
        <v>105</v>
      </c>
      <c r="AT25">
        <v>6770651</v>
      </c>
      <c r="AU25" t="s">
        <v>288</v>
      </c>
      <c r="AV25" t="s">
        <v>86</v>
      </c>
      <c r="AW25" t="s">
        <v>50</v>
      </c>
      <c r="AX25" t="s">
        <v>51</v>
      </c>
      <c r="AY25" t="s">
        <v>239</v>
      </c>
      <c r="AZ25" t="s">
        <v>240</v>
      </c>
      <c r="BA25" t="s">
        <v>289</v>
      </c>
      <c r="BB25">
        <v>0</v>
      </c>
      <c r="BC25">
        <v>0</v>
      </c>
      <c r="BD25" t="s">
        <v>199</v>
      </c>
      <c r="BE25" t="s">
        <v>199</v>
      </c>
      <c r="BF25">
        <v>0</v>
      </c>
      <c r="BG25">
        <v>0</v>
      </c>
      <c r="BH25" t="s">
        <v>200</v>
      </c>
      <c r="BI25">
        <v>13</v>
      </c>
      <c r="BJ25">
        <v>6155948</v>
      </c>
      <c r="BK25" t="s">
        <v>201</v>
      </c>
      <c r="BL25" t="s">
        <v>190</v>
      </c>
    </row>
    <row r="26" spans="1:64" x14ac:dyDescent="0.3">
      <c r="A26">
        <v>125</v>
      </c>
      <c r="B26" t="s">
        <v>186</v>
      </c>
      <c r="C26">
        <v>3</v>
      </c>
      <c r="D26">
        <v>6156847</v>
      </c>
      <c r="E26" t="s">
        <v>213</v>
      </c>
      <c r="F26" t="s">
        <v>188</v>
      </c>
      <c r="G26">
        <v>9985739</v>
      </c>
      <c r="H26" s="35">
        <v>46030</v>
      </c>
      <c r="I26" s="35">
        <v>46030</v>
      </c>
      <c r="J26">
        <v>2026</v>
      </c>
      <c r="K26">
        <v>1</v>
      </c>
      <c r="L26" t="s">
        <v>242</v>
      </c>
      <c r="M26">
        <v>1</v>
      </c>
      <c r="N26" t="s">
        <v>190</v>
      </c>
      <c r="O26" t="s">
        <v>191</v>
      </c>
      <c r="P26" t="s">
        <v>199</v>
      </c>
      <c r="Q26" t="s">
        <v>199</v>
      </c>
      <c r="R26">
        <v>2</v>
      </c>
      <c r="S26">
        <v>8</v>
      </c>
      <c r="T26">
        <v>36908</v>
      </c>
      <c r="U26">
        <v>3</v>
      </c>
      <c r="V26" t="s">
        <v>215</v>
      </c>
      <c r="W26" t="s">
        <v>67</v>
      </c>
      <c r="X26" t="s">
        <v>28</v>
      </c>
      <c r="Y26" t="s">
        <v>30</v>
      </c>
      <c r="Z26" t="s">
        <v>30</v>
      </c>
      <c r="AA26">
        <v>11</v>
      </c>
      <c r="AB26">
        <v>101038</v>
      </c>
      <c r="AC26" t="s">
        <v>271</v>
      </c>
      <c r="AD26" t="s">
        <v>272</v>
      </c>
      <c r="AE26">
        <v>0.3</v>
      </c>
      <c r="AF26">
        <v>3</v>
      </c>
      <c r="AG26">
        <v>357.83</v>
      </c>
      <c r="AH26">
        <v>0</v>
      </c>
      <c r="AI26">
        <v>0</v>
      </c>
      <c r="AJ26">
        <v>0</v>
      </c>
      <c r="AK26">
        <v>193.23</v>
      </c>
      <c r="AL26">
        <v>1073.49</v>
      </c>
      <c r="AM26">
        <v>1267</v>
      </c>
      <c r="AN26">
        <v>199</v>
      </c>
      <c r="AO26" t="s">
        <v>218</v>
      </c>
      <c r="AP26" t="s">
        <v>219</v>
      </c>
      <c r="AQ26">
        <v>10</v>
      </c>
      <c r="AR26">
        <v>105</v>
      </c>
      <c r="AS26" t="s">
        <v>85</v>
      </c>
      <c r="AT26">
        <v>677001</v>
      </c>
      <c r="AU26" t="s">
        <v>273</v>
      </c>
      <c r="AV26" t="s">
        <v>86</v>
      </c>
      <c r="AW26" t="s">
        <v>70</v>
      </c>
      <c r="AX26" t="s">
        <v>71</v>
      </c>
      <c r="AY26" t="s">
        <v>220</v>
      </c>
      <c r="AZ26" t="s">
        <v>221</v>
      </c>
      <c r="BA26" t="s">
        <v>294</v>
      </c>
      <c r="BB26">
        <v>0</v>
      </c>
      <c r="BC26">
        <v>0</v>
      </c>
      <c r="BD26" t="s">
        <v>199</v>
      </c>
      <c r="BE26" t="s">
        <v>199</v>
      </c>
      <c r="BF26">
        <v>0</v>
      </c>
      <c r="BG26">
        <v>0</v>
      </c>
      <c r="BH26" t="s">
        <v>200</v>
      </c>
      <c r="BI26">
        <v>13</v>
      </c>
      <c r="BJ26">
        <v>6156847</v>
      </c>
      <c r="BK26" t="s">
        <v>201</v>
      </c>
      <c r="BL26" t="s">
        <v>190</v>
      </c>
    </row>
    <row r="27" spans="1:64" x14ac:dyDescent="0.3">
      <c r="A27">
        <v>125</v>
      </c>
      <c r="B27" t="s">
        <v>186</v>
      </c>
      <c r="C27">
        <v>3</v>
      </c>
      <c r="D27">
        <v>6156847</v>
      </c>
      <c r="E27" t="s">
        <v>213</v>
      </c>
      <c r="F27" t="s">
        <v>188</v>
      </c>
      <c r="G27">
        <v>9985739</v>
      </c>
      <c r="H27" s="35">
        <v>46030</v>
      </c>
      <c r="I27" s="35">
        <v>46030</v>
      </c>
      <c r="J27">
        <v>2026</v>
      </c>
      <c r="K27">
        <v>1</v>
      </c>
      <c r="L27" t="s">
        <v>242</v>
      </c>
      <c r="M27">
        <v>1</v>
      </c>
      <c r="N27" t="s">
        <v>190</v>
      </c>
      <c r="O27" t="s">
        <v>191</v>
      </c>
      <c r="P27" t="s">
        <v>199</v>
      </c>
      <c r="Q27" t="s">
        <v>199</v>
      </c>
      <c r="R27">
        <v>2</v>
      </c>
      <c r="S27">
        <v>8</v>
      </c>
      <c r="T27">
        <v>36908</v>
      </c>
      <c r="U27">
        <v>3</v>
      </c>
      <c r="V27" t="s">
        <v>215</v>
      </c>
      <c r="W27" t="s">
        <v>67</v>
      </c>
      <c r="X27" t="s">
        <v>28</v>
      </c>
      <c r="Y27" t="s">
        <v>30</v>
      </c>
      <c r="Z27" t="s">
        <v>30</v>
      </c>
      <c r="AA27">
        <v>11</v>
      </c>
      <c r="AB27">
        <v>800089</v>
      </c>
      <c r="AC27" t="s">
        <v>295</v>
      </c>
      <c r="AD27" t="s">
        <v>296</v>
      </c>
      <c r="AE27">
        <v>0.375</v>
      </c>
      <c r="AF27">
        <v>3</v>
      </c>
      <c r="AG27">
        <v>349.28</v>
      </c>
      <c r="AH27">
        <v>0</v>
      </c>
      <c r="AI27">
        <v>0</v>
      </c>
      <c r="AJ27">
        <v>0</v>
      </c>
      <c r="AK27">
        <v>188.61</v>
      </c>
      <c r="AL27">
        <v>1047.8399999999999</v>
      </c>
      <c r="AM27">
        <v>1236</v>
      </c>
      <c r="AN27">
        <v>199</v>
      </c>
      <c r="AO27" t="s">
        <v>218</v>
      </c>
      <c r="AP27" t="s">
        <v>219</v>
      </c>
      <c r="AQ27">
        <v>10</v>
      </c>
      <c r="AR27">
        <v>105</v>
      </c>
      <c r="AS27" t="s">
        <v>85</v>
      </c>
      <c r="AT27">
        <v>677001</v>
      </c>
      <c r="AU27" t="s">
        <v>273</v>
      </c>
      <c r="AV27" t="s">
        <v>86</v>
      </c>
      <c r="AW27" t="s">
        <v>70</v>
      </c>
      <c r="AX27" t="s">
        <v>71</v>
      </c>
      <c r="AY27" t="s">
        <v>220</v>
      </c>
      <c r="AZ27" t="s">
        <v>221</v>
      </c>
      <c r="BA27" t="s">
        <v>294</v>
      </c>
      <c r="BB27">
        <v>0</v>
      </c>
      <c r="BC27">
        <v>0</v>
      </c>
      <c r="BD27" t="s">
        <v>199</v>
      </c>
      <c r="BE27" t="s">
        <v>199</v>
      </c>
      <c r="BF27">
        <v>0</v>
      </c>
      <c r="BG27">
        <v>0</v>
      </c>
      <c r="BH27" t="s">
        <v>200</v>
      </c>
      <c r="BI27">
        <v>13</v>
      </c>
      <c r="BJ27">
        <v>6156847</v>
      </c>
      <c r="BK27" t="s">
        <v>201</v>
      </c>
      <c r="BL27" t="s">
        <v>190</v>
      </c>
    </row>
    <row r="28" spans="1:64" x14ac:dyDescent="0.3">
      <c r="A28">
        <v>125</v>
      </c>
      <c r="B28" t="s">
        <v>186</v>
      </c>
      <c r="C28">
        <v>3</v>
      </c>
      <c r="D28">
        <v>6156847</v>
      </c>
      <c r="E28" t="s">
        <v>213</v>
      </c>
      <c r="F28" t="s">
        <v>188</v>
      </c>
      <c r="G28">
        <v>9985739</v>
      </c>
      <c r="H28" s="35">
        <v>46030</v>
      </c>
      <c r="I28" s="35">
        <v>46030</v>
      </c>
      <c r="J28">
        <v>2026</v>
      </c>
      <c r="K28">
        <v>1</v>
      </c>
      <c r="L28" t="s">
        <v>242</v>
      </c>
      <c r="M28">
        <v>1</v>
      </c>
      <c r="N28" t="s">
        <v>190</v>
      </c>
      <c r="O28" t="s">
        <v>191</v>
      </c>
      <c r="P28" t="s">
        <v>199</v>
      </c>
      <c r="Q28" t="s">
        <v>199</v>
      </c>
      <c r="R28">
        <v>2</v>
      </c>
      <c r="S28">
        <v>8</v>
      </c>
      <c r="T28">
        <v>36908</v>
      </c>
      <c r="U28">
        <v>3</v>
      </c>
      <c r="V28" t="s">
        <v>215</v>
      </c>
      <c r="W28" t="s">
        <v>67</v>
      </c>
      <c r="X28" t="s">
        <v>28</v>
      </c>
      <c r="Y28" t="s">
        <v>30</v>
      </c>
      <c r="Z28" t="s">
        <v>30</v>
      </c>
      <c r="AA28">
        <v>11</v>
      </c>
      <c r="AB28">
        <v>800088</v>
      </c>
      <c r="AC28" t="s">
        <v>276</v>
      </c>
      <c r="AD28" t="s">
        <v>277</v>
      </c>
      <c r="AE28">
        <v>0.375</v>
      </c>
      <c r="AF28">
        <v>3</v>
      </c>
      <c r="AG28">
        <v>349.28</v>
      </c>
      <c r="AH28">
        <v>0</v>
      </c>
      <c r="AI28">
        <v>0</v>
      </c>
      <c r="AJ28">
        <v>0</v>
      </c>
      <c r="AK28">
        <v>188.61</v>
      </c>
      <c r="AL28">
        <v>1047.8399999999999</v>
      </c>
      <c r="AM28">
        <v>1236</v>
      </c>
      <c r="AN28">
        <v>199</v>
      </c>
      <c r="AO28" t="s">
        <v>218</v>
      </c>
      <c r="AP28" t="s">
        <v>219</v>
      </c>
      <c r="AQ28">
        <v>10</v>
      </c>
      <c r="AR28">
        <v>105</v>
      </c>
      <c r="AS28" t="s">
        <v>85</v>
      </c>
      <c r="AT28">
        <v>677001</v>
      </c>
      <c r="AU28" t="s">
        <v>273</v>
      </c>
      <c r="AV28" t="s">
        <v>86</v>
      </c>
      <c r="AW28" t="s">
        <v>70</v>
      </c>
      <c r="AX28" t="s">
        <v>71</v>
      </c>
      <c r="AY28" t="s">
        <v>220</v>
      </c>
      <c r="AZ28" t="s">
        <v>221</v>
      </c>
      <c r="BA28" t="s">
        <v>294</v>
      </c>
      <c r="BB28">
        <v>0</v>
      </c>
      <c r="BC28">
        <v>0</v>
      </c>
      <c r="BD28" t="s">
        <v>199</v>
      </c>
      <c r="BE28" t="s">
        <v>199</v>
      </c>
      <c r="BF28">
        <v>0</v>
      </c>
      <c r="BG28">
        <v>0</v>
      </c>
      <c r="BH28" t="s">
        <v>200</v>
      </c>
      <c r="BI28">
        <v>13</v>
      </c>
      <c r="BJ28">
        <v>6156847</v>
      </c>
      <c r="BK28" t="s">
        <v>201</v>
      </c>
      <c r="BL28" t="s">
        <v>190</v>
      </c>
    </row>
    <row r="29" spans="1:64" x14ac:dyDescent="0.3">
      <c r="A29">
        <v>254</v>
      </c>
      <c r="B29" t="s">
        <v>186</v>
      </c>
      <c r="C29">
        <v>3</v>
      </c>
      <c r="D29">
        <v>6158215</v>
      </c>
      <c r="E29" t="s">
        <v>297</v>
      </c>
      <c r="F29" t="s">
        <v>188</v>
      </c>
      <c r="G29">
        <v>9987107</v>
      </c>
      <c r="H29" s="35">
        <v>46031</v>
      </c>
      <c r="I29" s="35">
        <v>46031</v>
      </c>
      <c r="J29">
        <v>2026</v>
      </c>
      <c r="K29">
        <v>1</v>
      </c>
      <c r="L29" t="s">
        <v>242</v>
      </c>
      <c r="M29">
        <v>1</v>
      </c>
      <c r="N29" t="s">
        <v>190</v>
      </c>
      <c r="O29" t="s">
        <v>191</v>
      </c>
      <c r="P29" t="s">
        <v>199</v>
      </c>
      <c r="Q29" t="s">
        <v>199</v>
      </c>
      <c r="R29">
        <v>2</v>
      </c>
      <c r="S29">
        <v>9</v>
      </c>
      <c r="T29">
        <v>5474</v>
      </c>
      <c r="U29">
        <v>3</v>
      </c>
      <c r="V29" t="s">
        <v>298</v>
      </c>
      <c r="W29" t="s">
        <v>54</v>
      </c>
      <c r="X29" t="s">
        <v>19</v>
      </c>
      <c r="Y29" t="s">
        <v>55</v>
      </c>
      <c r="Z29" t="s">
        <v>56</v>
      </c>
      <c r="AA29">
        <v>70</v>
      </c>
      <c r="AB29">
        <v>103113</v>
      </c>
      <c r="AC29" t="s">
        <v>290</v>
      </c>
      <c r="AD29" t="s">
        <v>291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94</v>
      </c>
      <c r="AO29" t="s">
        <v>64</v>
      </c>
      <c r="AP29" t="s">
        <v>66</v>
      </c>
      <c r="AQ29">
        <v>10</v>
      </c>
      <c r="AR29">
        <v>107</v>
      </c>
      <c r="AS29" t="s">
        <v>96</v>
      </c>
      <c r="AT29">
        <v>6770651</v>
      </c>
      <c r="AU29" t="s">
        <v>288</v>
      </c>
      <c r="AV29" t="s">
        <v>86</v>
      </c>
      <c r="AW29" t="s">
        <v>50</v>
      </c>
      <c r="AX29" t="s">
        <v>51</v>
      </c>
      <c r="AY29" t="s">
        <v>65</v>
      </c>
      <c r="AZ29" t="s">
        <v>240</v>
      </c>
      <c r="BA29" t="s">
        <v>299</v>
      </c>
      <c r="BB29">
        <v>0</v>
      </c>
      <c r="BC29">
        <v>0</v>
      </c>
      <c r="BD29" t="s">
        <v>199</v>
      </c>
      <c r="BE29" t="s">
        <v>199</v>
      </c>
      <c r="BF29">
        <v>0</v>
      </c>
      <c r="BG29">
        <v>0</v>
      </c>
      <c r="BH29" t="s">
        <v>200</v>
      </c>
      <c r="BI29">
        <v>13</v>
      </c>
      <c r="BJ29">
        <v>6158215</v>
      </c>
      <c r="BK29" t="s">
        <v>201</v>
      </c>
      <c r="BL29" t="s">
        <v>190</v>
      </c>
    </row>
    <row r="30" spans="1:64" x14ac:dyDescent="0.3">
      <c r="A30">
        <v>254</v>
      </c>
      <c r="B30" t="s">
        <v>186</v>
      </c>
      <c r="C30">
        <v>3</v>
      </c>
      <c r="D30">
        <v>6158215</v>
      </c>
      <c r="E30" t="s">
        <v>297</v>
      </c>
      <c r="F30" t="s">
        <v>188</v>
      </c>
      <c r="G30">
        <v>9987107</v>
      </c>
      <c r="H30" s="35">
        <v>46031</v>
      </c>
      <c r="I30" s="35">
        <v>46031</v>
      </c>
      <c r="J30">
        <v>2026</v>
      </c>
      <c r="K30">
        <v>1</v>
      </c>
      <c r="L30" t="s">
        <v>242</v>
      </c>
      <c r="M30">
        <v>1</v>
      </c>
      <c r="N30" t="s">
        <v>190</v>
      </c>
      <c r="O30" t="s">
        <v>191</v>
      </c>
      <c r="P30" t="s">
        <v>199</v>
      </c>
      <c r="Q30" t="s">
        <v>199</v>
      </c>
      <c r="R30">
        <v>2</v>
      </c>
      <c r="S30">
        <v>9</v>
      </c>
      <c r="T30">
        <v>5474</v>
      </c>
      <c r="U30">
        <v>3</v>
      </c>
      <c r="V30" t="s">
        <v>298</v>
      </c>
      <c r="W30" t="s">
        <v>54</v>
      </c>
      <c r="X30" t="s">
        <v>19</v>
      </c>
      <c r="Y30" t="s">
        <v>55</v>
      </c>
      <c r="Z30" t="s">
        <v>56</v>
      </c>
      <c r="AA30">
        <v>70</v>
      </c>
      <c r="AB30">
        <v>103001</v>
      </c>
      <c r="AC30" t="s">
        <v>286</v>
      </c>
      <c r="AD30" t="s">
        <v>287</v>
      </c>
      <c r="AE30">
        <v>1.2083333333333299</v>
      </c>
      <c r="AF30">
        <v>58</v>
      </c>
      <c r="AG30">
        <v>17.68</v>
      </c>
      <c r="AH30">
        <v>0</v>
      </c>
      <c r="AI30">
        <v>0</v>
      </c>
      <c r="AJ30">
        <v>0</v>
      </c>
      <c r="AK30">
        <v>184.58</v>
      </c>
      <c r="AL30">
        <v>1025.44</v>
      </c>
      <c r="AM30">
        <v>1210</v>
      </c>
      <c r="AN30">
        <v>94</v>
      </c>
      <c r="AO30" t="s">
        <v>64</v>
      </c>
      <c r="AP30" t="s">
        <v>66</v>
      </c>
      <c r="AQ30">
        <v>10</v>
      </c>
      <c r="AR30">
        <v>107</v>
      </c>
      <c r="AS30" t="s">
        <v>96</v>
      </c>
      <c r="AT30">
        <v>6770651</v>
      </c>
      <c r="AU30" t="s">
        <v>288</v>
      </c>
      <c r="AV30" t="s">
        <v>86</v>
      </c>
      <c r="AW30" t="s">
        <v>50</v>
      </c>
      <c r="AX30" t="s">
        <v>51</v>
      </c>
      <c r="AY30" t="s">
        <v>65</v>
      </c>
      <c r="AZ30" t="s">
        <v>240</v>
      </c>
      <c r="BA30" t="s">
        <v>299</v>
      </c>
      <c r="BB30">
        <v>0</v>
      </c>
      <c r="BC30">
        <v>0</v>
      </c>
      <c r="BD30" t="s">
        <v>199</v>
      </c>
      <c r="BE30" t="s">
        <v>199</v>
      </c>
      <c r="BF30">
        <v>0</v>
      </c>
      <c r="BG30">
        <v>0</v>
      </c>
      <c r="BH30" t="s">
        <v>200</v>
      </c>
      <c r="BI30">
        <v>13</v>
      </c>
      <c r="BJ30">
        <v>6158215</v>
      </c>
      <c r="BK30" t="s">
        <v>201</v>
      </c>
      <c r="BL30" t="s">
        <v>190</v>
      </c>
    </row>
    <row r="31" spans="1:64" x14ac:dyDescent="0.3">
      <c r="A31">
        <v>254</v>
      </c>
      <c r="B31" t="s">
        <v>186</v>
      </c>
      <c r="C31">
        <v>3</v>
      </c>
      <c r="D31">
        <v>6158258</v>
      </c>
      <c r="E31" t="s">
        <v>297</v>
      </c>
      <c r="F31" t="s">
        <v>188</v>
      </c>
      <c r="G31">
        <v>9987150</v>
      </c>
      <c r="H31" s="35">
        <v>46031</v>
      </c>
      <c r="I31" s="35">
        <v>46031</v>
      </c>
      <c r="J31">
        <v>2026</v>
      </c>
      <c r="K31">
        <v>1</v>
      </c>
      <c r="L31" t="s">
        <v>242</v>
      </c>
      <c r="M31">
        <v>1</v>
      </c>
      <c r="N31" t="s">
        <v>190</v>
      </c>
      <c r="O31" t="s">
        <v>191</v>
      </c>
      <c r="P31" t="s">
        <v>199</v>
      </c>
      <c r="Q31" t="s">
        <v>199</v>
      </c>
      <c r="R31">
        <v>2</v>
      </c>
      <c r="S31">
        <v>9</v>
      </c>
      <c r="T31">
        <v>5474</v>
      </c>
      <c r="U31">
        <v>3</v>
      </c>
      <c r="V31" t="s">
        <v>298</v>
      </c>
      <c r="W31" t="s">
        <v>54</v>
      </c>
      <c r="X31" t="s">
        <v>19</v>
      </c>
      <c r="Y31" t="s">
        <v>55</v>
      </c>
      <c r="Z31" t="s">
        <v>56</v>
      </c>
      <c r="AA31">
        <v>70</v>
      </c>
      <c r="AB31">
        <v>611055</v>
      </c>
      <c r="AC31" t="s">
        <v>300</v>
      </c>
      <c r="AD31" t="s">
        <v>301</v>
      </c>
      <c r="AE31">
        <v>5</v>
      </c>
      <c r="AF31">
        <v>20</v>
      </c>
      <c r="AG31">
        <v>78.319999999999993</v>
      </c>
      <c r="AH31">
        <v>0</v>
      </c>
      <c r="AI31">
        <v>0</v>
      </c>
      <c r="AJ31">
        <v>0</v>
      </c>
      <c r="AK31">
        <v>281.95</v>
      </c>
      <c r="AL31">
        <v>1566.4</v>
      </c>
      <c r="AM31">
        <v>1848</v>
      </c>
      <c r="AN31">
        <v>94</v>
      </c>
      <c r="AO31" t="s">
        <v>64</v>
      </c>
      <c r="AP31" t="s">
        <v>66</v>
      </c>
      <c r="AQ31">
        <v>10</v>
      </c>
      <c r="AR31">
        <v>114</v>
      </c>
      <c r="AS31" t="s">
        <v>79</v>
      </c>
      <c r="AT31">
        <v>66102</v>
      </c>
      <c r="AU31" t="s">
        <v>227</v>
      </c>
      <c r="AV31" t="s">
        <v>80</v>
      </c>
      <c r="AW31" t="s">
        <v>50</v>
      </c>
      <c r="AX31" t="s">
        <v>51</v>
      </c>
      <c r="AY31" t="s">
        <v>65</v>
      </c>
      <c r="AZ31" t="s">
        <v>240</v>
      </c>
      <c r="BA31" t="s">
        <v>302</v>
      </c>
      <c r="BB31">
        <v>0</v>
      </c>
      <c r="BC31">
        <v>0</v>
      </c>
      <c r="BD31" t="s">
        <v>199</v>
      </c>
      <c r="BE31" t="s">
        <v>199</v>
      </c>
      <c r="BF31">
        <v>0</v>
      </c>
      <c r="BG31">
        <v>0</v>
      </c>
      <c r="BH31" t="s">
        <v>200</v>
      </c>
      <c r="BI31">
        <v>13</v>
      </c>
      <c r="BJ31">
        <v>6158258</v>
      </c>
      <c r="BK31" t="s">
        <v>201</v>
      </c>
      <c r="BL31" t="s">
        <v>190</v>
      </c>
    </row>
    <row r="32" spans="1:64" x14ac:dyDescent="0.3">
      <c r="A32">
        <v>254</v>
      </c>
      <c r="B32" t="s">
        <v>186</v>
      </c>
      <c r="C32">
        <v>3</v>
      </c>
      <c r="D32">
        <v>6158258</v>
      </c>
      <c r="E32" t="s">
        <v>297</v>
      </c>
      <c r="F32" t="s">
        <v>188</v>
      </c>
      <c r="G32">
        <v>9987150</v>
      </c>
      <c r="H32" s="35">
        <v>46031</v>
      </c>
      <c r="I32" s="35">
        <v>46031</v>
      </c>
      <c r="J32">
        <v>2026</v>
      </c>
      <c r="K32">
        <v>1</v>
      </c>
      <c r="L32" t="s">
        <v>242</v>
      </c>
      <c r="M32">
        <v>1</v>
      </c>
      <c r="N32" t="s">
        <v>190</v>
      </c>
      <c r="O32" t="s">
        <v>191</v>
      </c>
      <c r="P32" t="s">
        <v>199</v>
      </c>
      <c r="Q32" t="s">
        <v>199</v>
      </c>
      <c r="R32">
        <v>2</v>
      </c>
      <c r="S32">
        <v>9</v>
      </c>
      <c r="T32">
        <v>5474</v>
      </c>
      <c r="U32">
        <v>3</v>
      </c>
      <c r="V32" t="s">
        <v>298</v>
      </c>
      <c r="W32" t="s">
        <v>54</v>
      </c>
      <c r="X32" t="s">
        <v>19</v>
      </c>
      <c r="Y32" t="s">
        <v>55</v>
      </c>
      <c r="Z32" t="s">
        <v>56</v>
      </c>
      <c r="AA32">
        <v>70</v>
      </c>
      <c r="AB32">
        <v>611053</v>
      </c>
      <c r="AC32" t="s">
        <v>229</v>
      </c>
      <c r="AD32" t="s">
        <v>230</v>
      </c>
      <c r="AE32">
        <v>1</v>
      </c>
      <c r="AF32">
        <v>24</v>
      </c>
      <c r="AG32">
        <v>20</v>
      </c>
      <c r="AH32">
        <v>0</v>
      </c>
      <c r="AI32">
        <v>0</v>
      </c>
      <c r="AJ32">
        <v>0</v>
      </c>
      <c r="AK32">
        <v>86.4</v>
      </c>
      <c r="AL32">
        <v>480</v>
      </c>
      <c r="AM32">
        <v>566</v>
      </c>
      <c r="AN32">
        <v>94</v>
      </c>
      <c r="AO32" t="s">
        <v>64</v>
      </c>
      <c r="AP32" t="s">
        <v>66</v>
      </c>
      <c r="AQ32">
        <v>10</v>
      </c>
      <c r="AR32">
        <v>114</v>
      </c>
      <c r="AS32" t="s">
        <v>79</v>
      </c>
      <c r="AT32">
        <v>66102</v>
      </c>
      <c r="AU32" t="s">
        <v>227</v>
      </c>
      <c r="AV32" t="s">
        <v>80</v>
      </c>
      <c r="AW32" t="s">
        <v>50</v>
      </c>
      <c r="AX32" t="s">
        <v>51</v>
      </c>
      <c r="AY32" t="s">
        <v>65</v>
      </c>
      <c r="AZ32" t="s">
        <v>240</v>
      </c>
      <c r="BA32" t="s">
        <v>302</v>
      </c>
      <c r="BB32">
        <v>0</v>
      </c>
      <c r="BC32">
        <v>0</v>
      </c>
      <c r="BD32" t="s">
        <v>199</v>
      </c>
      <c r="BE32" t="s">
        <v>199</v>
      </c>
      <c r="BF32">
        <v>0</v>
      </c>
      <c r="BG32">
        <v>0</v>
      </c>
      <c r="BH32" t="s">
        <v>200</v>
      </c>
      <c r="BI32">
        <v>13</v>
      </c>
      <c r="BJ32">
        <v>6158258</v>
      </c>
      <c r="BK32" t="s">
        <v>201</v>
      </c>
      <c r="BL32" t="s">
        <v>190</v>
      </c>
    </row>
    <row r="33" spans="1:64" x14ac:dyDescent="0.3">
      <c r="A33">
        <v>254</v>
      </c>
      <c r="B33" t="s">
        <v>186</v>
      </c>
      <c r="C33">
        <v>3</v>
      </c>
      <c r="D33">
        <v>6158258</v>
      </c>
      <c r="E33" t="s">
        <v>297</v>
      </c>
      <c r="F33" t="s">
        <v>188</v>
      </c>
      <c r="G33">
        <v>9987150</v>
      </c>
      <c r="H33" s="35">
        <v>46031</v>
      </c>
      <c r="I33" s="35">
        <v>46031</v>
      </c>
      <c r="J33">
        <v>2026</v>
      </c>
      <c r="K33">
        <v>1</v>
      </c>
      <c r="L33" t="s">
        <v>242</v>
      </c>
      <c r="M33">
        <v>1</v>
      </c>
      <c r="N33" t="s">
        <v>190</v>
      </c>
      <c r="O33" t="s">
        <v>191</v>
      </c>
      <c r="P33" t="s">
        <v>199</v>
      </c>
      <c r="Q33" t="s">
        <v>199</v>
      </c>
      <c r="R33">
        <v>2</v>
      </c>
      <c r="S33">
        <v>9</v>
      </c>
      <c r="T33">
        <v>5474</v>
      </c>
      <c r="U33">
        <v>3</v>
      </c>
      <c r="V33" t="s">
        <v>298</v>
      </c>
      <c r="W33" t="s">
        <v>54</v>
      </c>
      <c r="X33" t="s">
        <v>19</v>
      </c>
      <c r="Y33" t="s">
        <v>55</v>
      </c>
      <c r="Z33" t="s">
        <v>56</v>
      </c>
      <c r="AA33">
        <v>70</v>
      </c>
      <c r="AB33">
        <v>611052</v>
      </c>
      <c r="AC33" t="s">
        <v>225</v>
      </c>
      <c r="AD33" t="s">
        <v>226</v>
      </c>
      <c r="AE33">
        <v>1</v>
      </c>
      <c r="AF33">
        <v>24</v>
      </c>
      <c r="AG33">
        <v>20</v>
      </c>
      <c r="AH33">
        <v>0</v>
      </c>
      <c r="AI33">
        <v>0</v>
      </c>
      <c r="AJ33">
        <v>0</v>
      </c>
      <c r="AK33">
        <v>86.4</v>
      </c>
      <c r="AL33">
        <v>480</v>
      </c>
      <c r="AM33">
        <v>566</v>
      </c>
      <c r="AN33">
        <v>94</v>
      </c>
      <c r="AO33" t="s">
        <v>64</v>
      </c>
      <c r="AP33" t="s">
        <v>66</v>
      </c>
      <c r="AQ33">
        <v>10</v>
      </c>
      <c r="AR33">
        <v>114</v>
      </c>
      <c r="AS33" t="s">
        <v>79</v>
      </c>
      <c r="AT33">
        <v>66102</v>
      </c>
      <c r="AU33" t="s">
        <v>227</v>
      </c>
      <c r="AV33" t="s">
        <v>80</v>
      </c>
      <c r="AW33" t="s">
        <v>50</v>
      </c>
      <c r="AX33" t="s">
        <v>51</v>
      </c>
      <c r="AY33" t="s">
        <v>65</v>
      </c>
      <c r="AZ33" t="s">
        <v>240</v>
      </c>
      <c r="BA33" t="s">
        <v>302</v>
      </c>
      <c r="BB33">
        <v>0</v>
      </c>
      <c r="BC33">
        <v>0</v>
      </c>
      <c r="BD33" t="s">
        <v>199</v>
      </c>
      <c r="BE33" t="s">
        <v>199</v>
      </c>
      <c r="BF33">
        <v>0</v>
      </c>
      <c r="BG33">
        <v>0</v>
      </c>
      <c r="BH33" t="s">
        <v>200</v>
      </c>
      <c r="BI33">
        <v>13</v>
      </c>
      <c r="BJ33">
        <v>6158258</v>
      </c>
      <c r="BK33" t="s">
        <v>201</v>
      </c>
      <c r="BL33" t="s">
        <v>190</v>
      </c>
    </row>
    <row r="34" spans="1:64" x14ac:dyDescent="0.3">
      <c r="A34">
        <v>223</v>
      </c>
      <c r="B34" t="s">
        <v>186</v>
      </c>
      <c r="C34">
        <v>3</v>
      </c>
      <c r="D34">
        <v>6160389</v>
      </c>
      <c r="E34" t="s">
        <v>202</v>
      </c>
      <c r="F34" t="s">
        <v>188</v>
      </c>
      <c r="G34">
        <v>9989281</v>
      </c>
      <c r="H34" s="35">
        <v>46032</v>
      </c>
      <c r="I34" s="35">
        <v>46032</v>
      </c>
      <c r="J34">
        <v>2026</v>
      </c>
      <c r="K34">
        <v>1</v>
      </c>
      <c r="L34" t="s">
        <v>242</v>
      </c>
      <c r="M34">
        <v>1</v>
      </c>
      <c r="N34" t="s">
        <v>190</v>
      </c>
      <c r="O34" t="s">
        <v>191</v>
      </c>
      <c r="P34" t="s">
        <v>199</v>
      </c>
      <c r="Q34" t="s">
        <v>199</v>
      </c>
      <c r="R34">
        <v>2</v>
      </c>
      <c r="S34">
        <v>10</v>
      </c>
      <c r="T34">
        <v>1019</v>
      </c>
      <c r="U34">
        <v>3</v>
      </c>
      <c r="V34" t="s">
        <v>270</v>
      </c>
      <c r="W34" t="s">
        <v>46</v>
      </c>
      <c r="X34" t="s">
        <v>19</v>
      </c>
      <c r="Y34" t="s">
        <v>41</v>
      </c>
      <c r="Z34" t="s">
        <v>41</v>
      </c>
      <c r="AA34">
        <v>60</v>
      </c>
      <c r="AB34">
        <v>101038</v>
      </c>
      <c r="AC34" t="s">
        <v>271</v>
      </c>
      <c r="AD34" t="s">
        <v>272</v>
      </c>
      <c r="AE34">
        <v>2</v>
      </c>
      <c r="AF34">
        <v>20</v>
      </c>
      <c r="AG34">
        <v>354.25</v>
      </c>
      <c r="AH34">
        <v>0</v>
      </c>
      <c r="AI34">
        <v>0</v>
      </c>
      <c r="AJ34">
        <v>0</v>
      </c>
      <c r="AK34">
        <v>1275.3</v>
      </c>
      <c r="AL34">
        <v>7085</v>
      </c>
      <c r="AM34">
        <v>8360</v>
      </c>
      <c r="AN34">
        <v>8</v>
      </c>
      <c r="AO34" t="s">
        <v>37</v>
      </c>
      <c r="AP34" t="s">
        <v>39</v>
      </c>
      <c r="AQ34">
        <v>10</v>
      </c>
      <c r="AR34">
        <v>105</v>
      </c>
      <c r="AS34" t="s">
        <v>85</v>
      </c>
      <c r="AT34">
        <v>677001</v>
      </c>
      <c r="AU34" t="s">
        <v>273</v>
      </c>
      <c r="AV34" t="s">
        <v>86</v>
      </c>
      <c r="AW34" t="s">
        <v>23</v>
      </c>
      <c r="AX34" t="s">
        <v>24</v>
      </c>
      <c r="AY34" t="s">
        <v>38</v>
      </c>
      <c r="AZ34" t="s">
        <v>197</v>
      </c>
      <c r="BA34" t="s">
        <v>303</v>
      </c>
      <c r="BB34">
        <v>0</v>
      </c>
      <c r="BC34">
        <v>0</v>
      </c>
      <c r="BD34" t="s">
        <v>199</v>
      </c>
      <c r="BE34" t="s">
        <v>199</v>
      </c>
      <c r="BF34">
        <v>0</v>
      </c>
      <c r="BG34">
        <v>0</v>
      </c>
      <c r="BH34" t="s">
        <v>200</v>
      </c>
      <c r="BI34">
        <v>13</v>
      </c>
      <c r="BJ34">
        <v>6160389</v>
      </c>
      <c r="BK34" t="s">
        <v>201</v>
      </c>
      <c r="BL34" t="s">
        <v>190</v>
      </c>
    </row>
    <row r="35" spans="1:64" x14ac:dyDescent="0.3">
      <c r="A35">
        <v>223</v>
      </c>
      <c r="B35" t="s">
        <v>186</v>
      </c>
      <c r="C35">
        <v>3</v>
      </c>
      <c r="D35">
        <v>6160389</v>
      </c>
      <c r="E35" t="s">
        <v>202</v>
      </c>
      <c r="F35" t="s">
        <v>188</v>
      </c>
      <c r="G35">
        <v>9989281</v>
      </c>
      <c r="H35" s="35">
        <v>46032</v>
      </c>
      <c r="I35" s="35">
        <v>46032</v>
      </c>
      <c r="J35">
        <v>2026</v>
      </c>
      <c r="K35">
        <v>1</v>
      </c>
      <c r="L35" t="s">
        <v>242</v>
      </c>
      <c r="M35">
        <v>1</v>
      </c>
      <c r="N35" t="s">
        <v>203</v>
      </c>
      <c r="O35" t="s">
        <v>191</v>
      </c>
      <c r="P35" t="s">
        <v>199</v>
      </c>
      <c r="Q35" t="s">
        <v>199</v>
      </c>
      <c r="R35">
        <v>2</v>
      </c>
      <c r="S35">
        <v>10</v>
      </c>
      <c r="T35">
        <v>1019</v>
      </c>
      <c r="U35">
        <v>3</v>
      </c>
      <c r="V35" t="s">
        <v>270</v>
      </c>
      <c r="W35" t="s">
        <v>46</v>
      </c>
      <c r="X35" t="s">
        <v>19</v>
      </c>
      <c r="Y35" t="s">
        <v>41</v>
      </c>
      <c r="Z35" t="s">
        <v>41</v>
      </c>
      <c r="AA35">
        <v>60</v>
      </c>
      <c r="AB35">
        <v>800792</v>
      </c>
      <c r="AC35" t="s">
        <v>304</v>
      </c>
      <c r="AD35" t="s">
        <v>305</v>
      </c>
      <c r="AE35">
        <v>0.4</v>
      </c>
      <c r="AF35">
        <v>10</v>
      </c>
      <c r="AG35">
        <v>148.51</v>
      </c>
      <c r="AH35">
        <v>0</v>
      </c>
      <c r="AI35">
        <v>0</v>
      </c>
      <c r="AJ35">
        <v>0</v>
      </c>
      <c r="AK35">
        <v>267.32</v>
      </c>
      <c r="AL35">
        <v>1485.1</v>
      </c>
      <c r="AM35">
        <v>1752</v>
      </c>
      <c r="AN35">
        <v>8</v>
      </c>
      <c r="AO35" t="s">
        <v>37</v>
      </c>
      <c r="AP35" t="s">
        <v>39</v>
      </c>
      <c r="AQ35">
        <v>10</v>
      </c>
      <c r="AR35">
        <v>207</v>
      </c>
      <c r="AS35" t="s">
        <v>81</v>
      </c>
      <c r="AT35">
        <v>65103</v>
      </c>
      <c r="AU35" t="s">
        <v>266</v>
      </c>
      <c r="AV35" t="s">
        <v>82</v>
      </c>
      <c r="AW35" t="s">
        <v>23</v>
      </c>
      <c r="AX35" t="s">
        <v>24</v>
      </c>
      <c r="AY35" t="s">
        <v>38</v>
      </c>
      <c r="AZ35" t="s">
        <v>197</v>
      </c>
      <c r="BA35" t="s">
        <v>303</v>
      </c>
      <c r="BB35">
        <v>0</v>
      </c>
      <c r="BC35">
        <v>0</v>
      </c>
      <c r="BD35" t="s">
        <v>199</v>
      </c>
      <c r="BE35" t="s">
        <v>199</v>
      </c>
      <c r="BF35">
        <v>0</v>
      </c>
      <c r="BG35">
        <v>0</v>
      </c>
      <c r="BH35" t="s">
        <v>200</v>
      </c>
      <c r="BI35">
        <v>13</v>
      </c>
      <c r="BJ35">
        <v>6160389</v>
      </c>
      <c r="BK35" t="s">
        <v>201</v>
      </c>
      <c r="BL35" t="s">
        <v>190</v>
      </c>
    </row>
    <row r="36" spans="1:64" x14ac:dyDescent="0.3">
      <c r="A36">
        <v>223</v>
      </c>
      <c r="B36" t="s">
        <v>186</v>
      </c>
      <c r="C36">
        <v>3</v>
      </c>
      <c r="D36">
        <v>6160389</v>
      </c>
      <c r="E36" t="s">
        <v>202</v>
      </c>
      <c r="F36" t="s">
        <v>188</v>
      </c>
      <c r="G36">
        <v>9989281</v>
      </c>
      <c r="H36" s="35">
        <v>46032</v>
      </c>
      <c r="I36" s="35">
        <v>46032</v>
      </c>
      <c r="J36">
        <v>2026</v>
      </c>
      <c r="K36">
        <v>1</v>
      </c>
      <c r="L36" t="s">
        <v>242</v>
      </c>
      <c r="M36">
        <v>1</v>
      </c>
      <c r="N36" t="s">
        <v>190</v>
      </c>
      <c r="O36" t="s">
        <v>191</v>
      </c>
      <c r="P36" t="s">
        <v>199</v>
      </c>
      <c r="Q36" t="s">
        <v>199</v>
      </c>
      <c r="R36">
        <v>2</v>
      </c>
      <c r="S36">
        <v>10</v>
      </c>
      <c r="T36">
        <v>1019</v>
      </c>
      <c r="U36">
        <v>3</v>
      </c>
      <c r="V36" t="s">
        <v>270</v>
      </c>
      <c r="W36" t="s">
        <v>46</v>
      </c>
      <c r="X36" t="s">
        <v>19</v>
      </c>
      <c r="Y36" t="s">
        <v>41</v>
      </c>
      <c r="Z36" t="s">
        <v>41</v>
      </c>
      <c r="AA36">
        <v>60</v>
      </c>
      <c r="AB36">
        <v>201001</v>
      </c>
      <c r="AC36" t="s">
        <v>248</v>
      </c>
      <c r="AD36" t="s">
        <v>249</v>
      </c>
      <c r="AE36">
        <v>26</v>
      </c>
      <c r="AF36">
        <v>26</v>
      </c>
      <c r="AG36">
        <v>212.8</v>
      </c>
      <c r="AH36">
        <v>0</v>
      </c>
      <c r="AI36">
        <v>0</v>
      </c>
      <c r="AJ36">
        <v>0</v>
      </c>
      <c r="AK36">
        <v>995.9</v>
      </c>
      <c r="AL36">
        <v>5532.8</v>
      </c>
      <c r="AM36">
        <v>6529</v>
      </c>
      <c r="AN36">
        <v>8</v>
      </c>
      <c r="AO36" t="s">
        <v>37</v>
      </c>
      <c r="AP36" t="s">
        <v>39</v>
      </c>
      <c r="AQ36">
        <v>10</v>
      </c>
      <c r="AR36">
        <v>113</v>
      </c>
      <c r="AS36" t="s">
        <v>89</v>
      </c>
      <c r="AT36">
        <v>82101</v>
      </c>
      <c r="AU36" t="s">
        <v>252</v>
      </c>
      <c r="AV36" t="s">
        <v>80</v>
      </c>
      <c r="AW36" t="s">
        <v>23</v>
      </c>
      <c r="AX36" t="s">
        <v>24</v>
      </c>
      <c r="AY36" t="s">
        <v>38</v>
      </c>
      <c r="AZ36" t="s">
        <v>197</v>
      </c>
      <c r="BA36" t="s">
        <v>303</v>
      </c>
      <c r="BB36">
        <v>0</v>
      </c>
      <c r="BC36">
        <v>0</v>
      </c>
      <c r="BD36" t="s">
        <v>199</v>
      </c>
      <c r="BE36" t="s">
        <v>199</v>
      </c>
      <c r="BF36">
        <v>0</v>
      </c>
      <c r="BG36">
        <v>0</v>
      </c>
      <c r="BH36" t="s">
        <v>200</v>
      </c>
      <c r="BI36">
        <v>13</v>
      </c>
      <c r="BJ36">
        <v>6160389</v>
      </c>
      <c r="BK36" t="s">
        <v>201</v>
      </c>
      <c r="BL36" t="s">
        <v>190</v>
      </c>
    </row>
    <row r="37" spans="1:64" x14ac:dyDescent="0.3">
      <c r="A37">
        <v>223</v>
      </c>
      <c r="B37" t="s">
        <v>186</v>
      </c>
      <c r="C37">
        <v>3</v>
      </c>
      <c r="D37">
        <v>6160389</v>
      </c>
      <c r="E37" t="s">
        <v>202</v>
      </c>
      <c r="F37" t="s">
        <v>188</v>
      </c>
      <c r="G37">
        <v>9989281</v>
      </c>
      <c r="H37" s="35">
        <v>46032</v>
      </c>
      <c r="I37" s="35">
        <v>46032</v>
      </c>
      <c r="J37">
        <v>2026</v>
      </c>
      <c r="K37">
        <v>1</v>
      </c>
      <c r="L37" t="s">
        <v>242</v>
      </c>
      <c r="M37">
        <v>1</v>
      </c>
      <c r="N37" t="s">
        <v>203</v>
      </c>
      <c r="O37" t="s">
        <v>191</v>
      </c>
      <c r="P37" t="s">
        <v>199</v>
      </c>
      <c r="Q37" t="s">
        <v>199</v>
      </c>
      <c r="R37">
        <v>2</v>
      </c>
      <c r="S37">
        <v>10</v>
      </c>
      <c r="T37">
        <v>1019</v>
      </c>
      <c r="U37">
        <v>3</v>
      </c>
      <c r="V37" t="s">
        <v>270</v>
      </c>
      <c r="W37" t="s">
        <v>46</v>
      </c>
      <c r="X37" t="s">
        <v>19</v>
      </c>
      <c r="Y37" t="s">
        <v>41</v>
      </c>
      <c r="Z37" t="s">
        <v>41</v>
      </c>
      <c r="AA37">
        <v>60</v>
      </c>
      <c r="AB37">
        <v>930025</v>
      </c>
      <c r="AC37" t="s">
        <v>306</v>
      </c>
      <c r="AD37" t="s">
        <v>307</v>
      </c>
      <c r="AE37">
        <v>0.27777777777777002</v>
      </c>
      <c r="AF37">
        <v>10</v>
      </c>
      <c r="AG37">
        <v>57.58</v>
      </c>
      <c r="AH37">
        <v>0</v>
      </c>
      <c r="AI37">
        <v>0</v>
      </c>
      <c r="AJ37">
        <v>0</v>
      </c>
      <c r="AK37">
        <v>103.64</v>
      </c>
      <c r="AL37">
        <v>575.79999999999995</v>
      </c>
      <c r="AM37">
        <v>679</v>
      </c>
      <c r="AN37">
        <v>8</v>
      </c>
      <c r="AO37" t="s">
        <v>37</v>
      </c>
      <c r="AP37" t="s">
        <v>39</v>
      </c>
      <c r="AQ37">
        <v>10</v>
      </c>
      <c r="AR37">
        <v>209</v>
      </c>
      <c r="AS37" t="s">
        <v>88</v>
      </c>
      <c r="AT37">
        <v>0</v>
      </c>
      <c r="AU37" t="s">
        <v>199</v>
      </c>
      <c r="AV37" t="s">
        <v>82</v>
      </c>
      <c r="AW37" t="s">
        <v>23</v>
      </c>
      <c r="AX37" t="s">
        <v>24</v>
      </c>
      <c r="AY37" t="s">
        <v>38</v>
      </c>
      <c r="AZ37" t="s">
        <v>197</v>
      </c>
      <c r="BA37" t="s">
        <v>303</v>
      </c>
      <c r="BB37">
        <v>0</v>
      </c>
      <c r="BC37">
        <v>0</v>
      </c>
      <c r="BD37" t="s">
        <v>199</v>
      </c>
      <c r="BE37" t="s">
        <v>199</v>
      </c>
      <c r="BF37">
        <v>0</v>
      </c>
      <c r="BG37">
        <v>0</v>
      </c>
      <c r="BH37" t="s">
        <v>200</v>
      </c>
      <c r="BI37">
        <v>13</v>
      </c>
      <c r="BJ37">
        <v>6160389</v>
      </c>
      <c r="BK37" t="s">
        <v>201</v>
      </c>
      <c r="BL37" t="s">
        <v>190</v>
      </c>
    </row>
    <row r="38" spans="1:64" x14ac:dyDescent="0.3">
      <c r="A38">
        <v>109</v>
      </c>
      <c r="B38" t="s">
        <v>186</v>
      </c>
      <c r="C38">
        <v>3</v>
      </c>
      <c r="D38">
        <v>6162152</v>
      </c>
      <c r="E38" t="s">
        <v>187</v>
      </c>
      <c r="F38" t="s">
        <v>188</v>
      </c>
      <c r="G38">
        <v>9991044</v>
      </c>
      <c r="H38" s="35">
        <v>46034</v>
      </c>
      <c r="I38" s="35">
        <v>46034</v>
      </c>
      <c r="J38">
        <v>2026</v>
      </c>
      <c r="K38">
        <v>1</v>
      </c>
      <c r="L38" t="s">
        <v>242</v>
      </c>
      <c r="M38">
        <v>1</v>
      </c>
      <c r="N38" t="s">
        <v>190</v>
      </c>
      <c r="O38" t="s">
        <v>191</v>
      </c>
      <c r="P38" t="s">
        <v>199</v>
      </c>
      <c r="Q38" t="s">
        <v>199</v>
      </c>
      <c r="R38">
        <v>3</v>
      </c>
      <c r="S38">
        <v>12</v>
      </c>
      <c r="T38">
        <v>2280</v>
      </c>
      <c r="U38">
        <v>3</v>
      </c>
      <c r="V38" t="s">
        <v>193</v>
      </c>
      <c r="W38" t="s">
        <v>29</v>
      </c>
      <c r="X38" t="s">
        <v>19</v>
      </c>
      <c r="Y38" t="s">
        <v>30</v>
      </c>
      <c r="Z38" t="s">
        <v>30</v>
      </c>
      <c r="AA38">
        <v>14</v>
      </c>
      <c r="AB38">
        <v>101135</v>
      </c>
      <c r="AC38" t="s">
        <v>308</v>
      </c>
      <c r="AD38" t="s">
        <v>309</v>
      </c>
      <c r="AE38">
        <v>0.25</v>
      </c>
      <c r="AF38">
        <v>2</v>
      </c>
      <c r="AG38">
        <v>349.28</v>
      </c>
      <c r="AH38">
        <v>0</v>
      </c>
      <c r="AI38">
        <v>0</v>
      </c>
      <c r="AJ38">
        <v>0</v>
      </c>
      <c r="AK38">
        <v>125.74</v>
      </c>
      <c r="AL38">
        <v>698.56</v>
      </c>
      <c r="AM38">
        <v>824</v>
      </c>
      <c r="AN38">
        <v>93</v>
      </c>
      <c r="AO38" t="s">
        <v>250</v>
      </c>
      <c r="AP38" t="s">
        <v>251</v>
      </c>
      <c r="AQ38">
        <v>10</v>
      </c>
      <c r="AR38">
        <v>105</v>
      </c>
      <c r="AS38" t="s">
        <v>85</v>
      </c>
      <c r="AT38">
        <v>677001</v>
      </c>
      <c r="AU38" t="s">
        <v>273</v>
      </c>
      <c r="AV38" t="s">
        <v>86</v>
      </c>
      <c r="AW38" t="s">
        <v>23</v>
      </c>
      <c r="AX38" t="s">
        <v>24</v>
      </c>
      <c r="AY38" t="s">
        <v>253</v>
      </c>
      <c r="AZ38" t="s">
        <v>197</v>
      </c>
      <c r="BA38" t="s">
        <v>310</v>
      </c>
      <c r="BB38">
        <v>0</v>
      </c>
      <c r="BC38">
        <v>0</v>
      </c>
      <c r="BD38" t="s">
        <v>199</v>
      </c>
      <c r="BE38" t="s">
        <v>199</v>
      </c>
      <c r="BF38">
        <v>0</v>
      </c>
      <c r="BG38">
        <v>0</v>
      </c>
      <c r="BH38" t="s">
        <v>200</v>
      </c>
      <c r="BI38">
        <v>13</v>
      </c>
      <c r="BJ38">
        <v>6162152</v>
      </c>
      <c r="BK38" t="s">
        <v>201</v>
      </c>
      <c r="BL38" t="s">
        <v>190</v>
      </c>
    </row>
    <row r="39" spans="1:64" x14ac:dyDescent="0.3">
      <c r="A39">
        <v>109</v>
      </c>
      <c r="B39" t="s">
        <v>186</v>
      </c>
      <c r="C39">
        <v>3</v>
      </c>
      <c r="D39">
        <v>6162152</v>
      </c>
      <c r="E39" t="s">
        <v>187</v>
      </c>
      <c r="F39" t="s">
        <v>188</v>
      </c>
      <c r="G39">
        <v>9991044</v>
      </c>
      <c r="H39" s="35">
        <v>46034</v>
      </c>
      <c r="I39" s="35">
        <v>46034</v>
      </c>
      <c r="J39">
        <v>2026</v>
      </c>
      <c r="K39">
        <v>1</v>
      </c>
      <c r="L39" t="s">
        <v>242</v>
      </c>
      <c r="M39">
        <v>1</v>
      </c>
      <c r="N39" t="s">
        <v>190</v>
      </c>
      <c r="O39" t="s">
        <v>191</v>
      </c>
      <c r="P39" t="s">
        <v>199</v>
      </c>
      <c r="Q39" t="s">
        <v>199</v>
      </c>
      <c r="R39">
        <v>3</v>
      </c>
      <c r="S39">
        <v>12</v>
      </c>
      <c r="T39">
        <v>2280</v>
      </c>
      <c r="U39">
        <v>3</v>
      </c>
      <c r="V39" t="s">
        <v>193</v>
      </c>
      <c r="W39" t="s">
        <v>29</v>
      </c>
      <c r="X39" t="s">
        <v>19</v>
      </c>
      <c r="Y39" t="s">
        <v>30</v>
      </c>
      <c r="Z39" t="s">
        <v>30</v>
      </c>
      <c r="AA39">
        <v>14</v>
      </c>
      <c r="AB39">
        <v>800088</v>
      </c>
      <c r="AC39" t="s">
        <v>276</v>
      </c>
      <c r="AD39" t="s">
        <v>277</v>
      </c>
      <c r="AE39">
        <v>0.25</v>
      </c>
      <c r="AF39">
        <v>2</v>
      </c>
      <c r="AG39">
        <v>349.28</v>
      </c>
      <c r="AH39">
        <v>0</v>
      </c>
      <c r="AI39">
        <v>0</v>
      </c>
      <c r="AJ39">
        <v>0</v>
      </c>
      <c r="AK39">
        <v>125.74</v>
      </c>
      <c r="AL39">
        <v>698.56</v>
      </c>
      <c r="AM39">
        <v>824</v>
      </c>
      <c r="AN39">
        <v>93</v>
      </c>
      <c r="AO39" t="s">
        <v>250</v>
      </c>
      <c r="AP39" t="s">
        <v>251</v>
      </c>
      <c r="AQ39">
        <v>10</v>
      </c>
      <c r="AR39">
        <v>105</v>
      </c>
      <c r="AS39" t="s">
        <v>85</v>
      </c>
      <c r="AT39">
        <v>677001</v>
      </c>
      <c r="AU39" t="s">
        <v>273</v>
      </c>
      <c r="AV39" t="s">
        <v>86</v>
      </c>
      <c r="AW39" t="s">
        <v>23</v>
      </c>
      <c r="AX39" t="s">
        <v>24</v>
      </c>
      <c r="AY39" t="s">
        <v>253</v>
      </c>
      <c r="AZ39" t="s">
        <v>197</v>
      </c>
      <c r="BA39" t="s">
        <v>310</v>
      </c>
      <c r="BB39">
        <v>0</v>
      </c>
      <c r="BC39">
        <v>0</v>
      </c>
      <c r="BD39" t="s">
        <v>199</v>
      </c>
      <c r="BE39" t="s">
        <v>199</v>
      </c>
      <c r="BF39">
        <v>0</v>
      </c>
      <c r="BG39">
        <v>0</v>
      </c>
      <c r="BH39" t="s">
        <v>200</v>
      </c>
      <c r="BI39">
        <v>13</v>
      </c>
      <c r="BJ39">
        <v>6162152</v>
      </c>
      <c r="BK39" t="s">
        <v>201</v>
      </c>
      <c r="BL39" t="s">
        <v>190</v>
      </c>
    </row>
    <row r="40" spans="1:64" x14ac:dyDescent="0.3">
      <c r="A40">
        <v>109</v>
      </c>
      <c r="B40" t="s">
        <v>186</v>
      </c>
      <c r="C40">
        <v>3</v>
      </c>
      <c r="D40">
        <v>6162152</v>
      </c>
      <c r="E40" t="s">
        <v>187</v>
      </c>
      <c r="F40" t="s">
        <v>188</v>
      </c>
      <c r="G40">
        <v>9991044</v>
      </c>
      <c r="H40" s="35">
        <v>46034</v>
      </c>
      <c r="I40" s="35">
        <v>46034</v>
      </c>
      <c r="J40">
        <v>2026</v>
      </c>
      <c r="K40">
        <v>1</v>
      </c>
      <c r="L40" t="s">
        <v>242</v>
      </c>
      <c r="M40">
        <v>1</v>
      </c>
      <c r="N40" t="s">
        <v>190</v>
      </c>
      <c r="O40" t="s">
        <v>191</v>
      </c>
      <c r="P40" t="s">
        <v>199</v>
      </c>
      <c r="Q40" t="s">
        <v>199</v>
      </c>
      <c r="R40">
        <v>3</v>
      </c>
      <c r="S40">
        <v>12</v>
      </c>
      <c r="T40">
        <v>2280</v>
      </c>
      <c r="U40">
        <v>3</v>
      </c>
      <c r="V40" t="s">
        <v>193</v>
      </c>
      <c r="W40" t="s">
        <v>29</v>
      </c>
      <c r="X40" t="s">
        <v>19</v>
      </c>
      <c r="Y40" t="s">
        <v>30</v>
      </c>
      <c r="Z40" t="s">
        <v>30</v>
      </c>
      <c r="AA40">
        <v>14</v>
      </c>
      <c r="AB40">
        <v>101038</v>
      </c>
      <c r="AC40" t="s">
        <v>271</v>
      </c>
      <c r="AD40" t="s">
        <v>272</v>
      </c>
      <c r="AE40">
        <v>0.2</v>
      </c>
      <c r="AF40">
        <v>2</v>
      </c>
      <c r="AG40">
        <v>357.83</v>
      </c>
      <c r="AH40">
        <v>0</v>
      </c>
      <c r="AI40">
        <v>0</v>
      </c>
      <c r="AJ40">
        <v>0</v>
      </c>
      <c r="AK40">
        <v>128.82</v>
      </c>
      <c r="AL40">
        <v>715.66</v>
      </c>
      <c r="AM40">
        <v>844</v>
      </c>
      <c r="AN40">
        <v>93</v>
      </c>
      <c r="AO40" t="s">
        <v>250</v>
      </c>
      <c r="AP40" t="s">
        <v>251</v>
      </c>
      <c r="AQ40">
        <v>10</v>
      </c>
      <c r="AR40">
        <v>105</v>
      </c>
      <c r="AS40" t="s">
        <v>85</v>
      </c>
      <c r="AT40">
        <v>677001</v>
      </c>
      <c r="AU40" t="s">
        <v>273</v>
      </c>
      <c r="AV40" t="s">
        <v>86</v>
      </c>
      <c r="AW40" t="s">
        <v>23</v>
      </c>
      <c r="AX40" t="s">
        <v>24</v>
      </c>
      <c r="AY40" t="s">
        <v>253</v>
      </c>
      <c r="AZ40" t="s">
        <v>197</v>
      </c>
      <c r="BA40" t="s">
        <v>310</v>
      </c>
      <c r="BB40">
        <v>0</v>
      </c>
      <c r="BC40">
        <v>0</v>
      </c>
      <c r="BD40" t="s">
        <v>199</v>
      </c>
      <c r="BE40" t="s">
        <v>199</v>
      </c>
      <c r="BF40">
        <v>0</v>
      </c>
      <c r="BG40">
        <v>0</v>
      </c>
      <c r="BH40" t="s">
        <v>200</v>
      </c>
      <c r="BI40">
        <v>13</v>
      </c>
      <c r="BJ40">
        <v>6162152</v>
      </c>
      <c r="BK40" t="s">
        <v>201</v>
      </c>
      <c r="BL40" t="s">
        <v>190</v>
      </c>
    </row>
    <row r="41" spans="1:64" x14ac:dyDescent="0.3">
      <c r="A41">
        <v>242</v>
      </c>
      <c r="B41" t="s">
        <v>186</v>
      </c>
      <c r="C41">
        <v>3</v>
      </c>
      <c r="D41">
        <v>6165708</v>
      </c>
      <c r="E41" t="s">
        <v>275</v>
      </c>
      <c r="F41" t="s">
        <v>188</v>
      </c>
      <c r="G41">
        <v>9994601</v>
      </c>
      <c r="H41" s="35">
        <v>46036</v>
      </c>
      <c r="I41" s="35">
        <v>46036</v>
      </c>
      <c r="J41">
        <v>2026</v>
      </c>
      <c r="K41">
        <v>1</v>
      </c>
      <c r="L41" t="s">
        <v>242</v>
      </c>
      <c r="M41">
        <v>1</v>
      </c>
      <c r="N41" t="s">
        <v>190</v>
      </c>
      <c r="O41" t="s">
        <v>191</v>
      </c>
      <c r="P41" t="s">
        <v>199</v>
      </c>
      <c r="Q41" t="s">
        <v>199</v>
      </c>
      <c r="R41">
        <v>3</v>
      </c>
      <c r="S41">
        <v>14</v>
      </c>
      <c r="T41">
        <v>2280</v>
      </c>
      <c r="U41">
        <v>3</v>
      </c>
      <c r="V41" t="s">
        <v>193</v>
      </c>
      <c r="W41" t="s">
        <v>29</v>
      </c>
      <c r="X41" t="s">
        <v>19</v>
      </c>
      <c r="Y41" t="s">
        <v>30</v>
      </c>
      <c r="Z41" t="s">
        <v>30</v>
      </c>
      <c r="AA41">
        <v>14</v>
      </c>
      <c r="AB41">
        <v>621045</v>
      </c>
      <c r="AC41" t="s">
        <v>209</v>
      </c>
      <c r="AD41" t="s">
        <v>210</v>
      </c>
      <c r="AE41">
        <v>1</v>
      </c>
      <c r="AF41">
        <v>12</v>
      </c>
      <c r="AG41">
        <v>161.94999999999999</v>
      </c>
      <c r="AH41">
        <v>0</v>
      </c>
      <c r="AI41">
        <v>0</v>
      </c>
      <c r="AJ41">
        <v>0</v>
      </c>
      <c r="AK41">
        <v>349.81</v>
      </c>
      <c r="AL41">
        <v>1943.4</v>
      </c>
      <c r="AM41">
        <v>2293</v>
      </c>
      <c r="AN41">
        <v>93</v>
      </c>
      <c r="AO41" t="s">
        <v>250</v>
      </c>
      <c r="AP41" t="s">
        <v>251</v>
      </c>
      <c r="AQ41">
        <v>10</v>
      </c>
      <c r="AR41">
        <v>138</v>
      </c>
      <c r="AS41" t="s">
        <v>90</v>
      </c>
      <c r="AT41">
        <v>73101</v>
      </c>
      <c r="AU41" t="s">
        <v>211</v>
      </c>
      <c r="AV41" t="s">
        <v>91</v>
      </c>
      <c r="AW41" t="s">
        <v>23</v>
      </c>
      <c r="AX41" t="s">
        <v>24</v>
      </c>
      <c r="AY41" t="s">
        <v>253</v>
      </c>
      <c r="AZ41" t="s">
        <v>197</v>
      </c>
      <c r="BA41" t="s">
        <v>311</v>
      </c>
      <c r="BB41">
        <v>0</v>
      </c>
      <c r="BC41">
        <v>0</v>
      </c>
      <c r="BD41" t="s">
        <v>199</v>
      </c>
      <c r="BE41" t="s">
        <v>199</v>
      </c>
      <c r="BF41">
        <v>0</v>
      </c>
      <c r="BG41">
        <v>0</v>
      </c>
      <c r="BH41" t="s">
        <v>200</v>
      </c>
      <c r="BI41">
        <v>13</v>
      </c>
      <c r="BJ41">
        <v>6165708</v>
      </c>
      <c r="BK41" t="s">
        <v>201</v>
      </c>
      <c r="BL41" t="s">
        <v>190</v>
      </c>
    </row>
    <row r="42" spans="1:64" x14ac:dyDescent="0.3">
      <c r="A42">
        <v>242</v>
      </c>
      <c r="B42" t="s">
        <v>186</v>
      </c>
      <c r="C42">
        <v>3</v>
      </c>
      <c r="D42">
        <v>6165713</v>
      </c>
      <c r="E42" t="s">
        <v>275</v>
      </c>
      <c r="F42" t="s">
        <v>188</v>
      </c>
      <c r="G42">
        <v>9994606</v>
      </c>
      <c r="H42" s="35">
        <v>46036</v>
      </c>
      <c r="I42" s="35">
        <v>46036</v>
      </c>
      <c r="J42">
        <v>2026</v>
      </c>
      <c r="K42">
        <v>1</v>
      </c>
      <c r="L42" t="s">
        <v>242</v>
      </c>
      <c r="M42">
        <v>1</v>
      </c>
      <c r="N42" t="s">
        <v>203</v>
      </c>
      <c r="O42" t="s">
        <v>191</v>
      </c>
      <c r="P42" t="s">
        <v>199</v>
      </c>
      <c r="Q42" t="s">
        <v>199</v>
      </c>
      <c r="R42">
        <v>3</v>
      </c>
      <c r="S42">
        <v>14</v>
      </c>
      <c r="T42">
        <v>2280</v>
      </c>
      <c r="U42">
        <v>3</v>
      </c>
      <c r="V42" t="s">
        <v>193</v>
      </c>
      <c r="W42" t="s">
        <v>29</v>
      </c>
      <c r="X42" t="s">
        <v>19</v>
      </c>
      <c r="Y42" t="s">
        <v>30</v>
      </c>
      <c r="Z42" t="s">
        <v>30</v>
      </c>
      <c r="AA42">
        <v>14</v>
      </c>
      <c r="AB42">
        <v>930012</v>
      </c>
      <c r="AC42" t="s">
        <v>312</v>
      </c>
      <c r="AD42" t="s">
        <v>313</v>
      </c>
      <c r="AE42">
        <v>0.125</v>
      </c>
      <c r="AF42">
        <v>2</v>
      </c>
      <c r="AG42">
        <v>87.25</v>
      </c>
      <c r="AH42">
        <v>0</v>
      </c>
      <c r="AI42">
        <v>0</v>
      </c>
      <c r="AJ42">
        <v>0</v>
      </c>
      <c r="AK42">
        <v>31.41</v>
      </c>
      <c r="AL42">
        <v>174.5</v>
      </c>
      <c r="AM42">
        <v>206</v>
      </c>
      <c r="AN42">
        <v>93</v>
      </c>
      <c r="AO42" t="s">
        <v>250</v>
      </c>
      <c r="AP42" t="s">
        <v>251</v>
      </c>
      <c r="AQ42">
        <v>10</v>
      </c>
      <c r="AR42">
        <v>208</v>
      </c>
      <c r="AS42" t="s">
        <v>92</v>
      </c>
      <c r="AT42">
        <v>0</v>
      </c>
      <c r="AU42" t="s">
        <v>199</v>
      </c>
      <c r="AV42" t="s">
        <v>82</v>
      </c>
      <c r="AW42" t="s">
        <v>23</v>
      </c>
      <c r="AX42" t="s">
        <v>24</v>
      </c>
      <c r="AY42" t="s">
        <v>253</v>
      </c>
      <c r="AZ42" t="s">
        <v>197</v>
      </c>
      <c r="BA42" t="s">
        <v>314</v>
      </c>
      <c r="BB42">
        <v>0</v>
      </c>
      <c r="BC42">
        <v>0</v>
      </c>
      <c r="BD42" t="s">
        <v>199</v>
      </c>
      <c r="BE42" t="s">
        <v>199</v>
      </c>
      <c r="BF42">
        <v>0</v>
      </c>
      <c r="BG42">
        <v>0</v>
      </c>
      <c r="BH42" t="s">
        <v>200</v>
      </c>
      <c r="BI42">
        <v>13</v>
      </c>
      <c r="BJ42">
        <v>6165713</v>
      </c>
      <c r="BK42" t="s">
        <v>201</v>
      </c>
      <c r="BL42" t="s">
        <v>190</v>
      </c>
    </row>
    <row r="43" spans="1:64" x14ac:dyDescent="0.3">
      <c r="A43">
        <v>242</v>
      </c>
      <c r="B43" t="s">
        <v>186</v>
      </c>
      <c r="C43">
        <v>3</v>
      </c>
      <c r="D43">
        <v>6165713</v>
      </c>
      <c r="E43" t="s">
        <v>275</v>
      </c>
      <c r="F43" t="s">
        <v>188</v>
      </c>
      <c r="G43">
        <v>9994606</v>
      </c>
      <c r="H43" s="35">
        <v>46036</v>
      </c>
      <c r="I43" s="35">
        <v>46036</v>
      </c>
      <c r="J43">
        <v>2026</v>
      </c>
      <c r="K43">
        <v>1</v>
      </c>
      <c r="L43" t="s">
        <v>242</v>
      </c>
      <c r="M43">
        <v>1</v>
      </c>
      <c r="N43" t="s">
        <v>190</v>
      </c>
      <c r="O43" t="s">
        <v>191</v>
      </c>
      <c r="P43" t="s">
        <v>199</v>
      </c>
      <c r="Q43" t="s">
        <v>199</v>
      </c>
      <c r="R43">
        <v>3</v>
      </c>
      <c r="S43">
        <v>14</v>
      </c>
      <c r="T43">
        <v>2280</v>
      </c>
      <c r="U43">
        <v>3</v>
      </c>
      <c r="V43" t="s">
        <v>193</v>
      </c>
      <c r="W43" t="s">
        <v>29</v>
      </c>
      <c r="X43" t="s">
        <v>19</v>
      </c>
      <c r="Y43" t="s">
        <v>30</v>
      </c>
      <c r="Z43" t="s">
        <v>30</v>
      </c>
      <c r="AA43">
        <v>14</v>
      </c>
      <c r="AB43">
        <v>621045</v>
      </c>
      <c r="AC43" t="s">
        <v>209</v>
      </c>
      <c r="AD43" t="s">
        <v>210</v>
      </c>
      <c r="AE43">
        <v>0.5</v>
      </c>
      <c r="AF43">
        <v>6</v>
      </c>
      <c r="AG43">
        <v>161.94999999999999</v>
      </c>
      <c r="AH43">
        <v>0</v>
      </c>
      <c r="AI43">
        <v>0</v>
      </c>
      <c r="AJ43">
        <v>0</v>
      </c>
      <c r="AK43">
        <v>174.91</v>
      </c>
      <c r="AL43">
        <v>971.7</v>
      </c>
      <c r="AM43">
        <v>1147</v>
      </c>
      <c r="AN43">
        <v>93</v>
      </c>
      <c r="AO43" t="s">
        <v>250</v>
      </c>
      <c r="AP43" t="s">
        <v>251</v>
      </c>
      <c r="AQ43">
        <v>10</v>
      </c>
      <c r="AR43">
        <v>138</v>
      </c>
      <c r="AS43" t="s">
        <v>90</v>
      </c>
      <c r="AT43">
        <v>73101</v>
      </c>
      <c r="AU43" t="s">
        <v>211</v>
      </c>
      <c r="AV43" t="s">
        <v>91</v>
      </c>
      <c r="AW43" t="s">
        <v>23</v>
      </c>
      <c r="AX43" t="s">
        <v>24</v>
      </c>
      <c r="AY43" t="s">
        <v>253</v>
      </c>
      <c r="AZ43" t="s">
        <v>197</v>
      </c>
      <c r="BA43" t="s">
        <v>314</v>
      </c>
      <c r="BB43">
        <v>0</v>
      </c>
      <c r="BC43">
        <v>0</v>
      </c>
      <c r="BD43" t="s">
        <v>199</v>
      </c>
      <c r="BE43" t="s">
        <v>199</v>
      </c>
      <c r="BF43">
        <v>0</v>
      </c>
      <c r="BG43">
        <v>0</v>
      </c>
      <c r="BH43" t="s">
        <v>200</v>
      </c>
      <c r="BI43">
        <v>13</v>
      </c>
      <c r="BJ43">
        <v>6165713</v>
      </c>
      <c r="BK43" t="s">
        <v>201</v>
      </c>
      <c r="BL43" t="s">
        <v>190</v>
      </c>
    </row>
    <row r="44" spans="1:64" x14ac:dyDescent="0.3">
      <c r="A44">
        <v>242</v>
      </c>
      <c r="B44" t="s">
        <v>186</v>
      </c>
      <c r="C44">
        <v>3</v>
      </c>
      <c r="D44">
        <v>6165713</v>
      </c>
      <c r="E44" t="s">
        <v>275</v>
      </c>
      <c r="F44" t="s">
        <v>188</v>
      </c>
      <c r="G44">
        <v>9994606</v>
      </c>
      <c r="H44" s="35">
        <v>46036</v>
      </c>
      <c r="I44" s="35">
        <v>46036</v>
      </c>
      <c r="J44">
        <v>2026</v>
      </c>
      <c r="K44">
        <v>1</v>
      </c>
      <c r="L44" t="s">
        <v>242</v>
      </c>
      <c r="M44">
        <v>1</v>
      </c>
      <c r="N44" t="s">
        <v>190</v>
      </c>
      <c r="O44" t="s">
        <v>191</v>
      </c>
      <c r="P44" t="s">
        <v>199</v>
      </c>
      <c r="Q44" t="s">
        <v>199</v>
      </c>
      <c r="R44">
        <v>3</v>
      </c>
      <c r="S44">
        <v>14</v>
      </c>
      <c r="T44">
        <v>2280</v>
      </c>
      <c r="U44">
        <v>3</v>
      </c>
      <c r="V44" t="s">
        <v>193</v>
      </c>
      <c r="W44" t="s">
        <v>29</v>
      </c>
      <c r="X44" t="s">
        <v>19</v>
      </c>
      <c r="Y44" t="s">
        <v>30</v>
      </c>
      <c r="Z44" t="s">
        <v>30</v>
      </c>
      <c r="AA44">
        <v>14</v>
      </c>
      <c r="AB44">
        <v>201001</v>
      </c>
      <c r="AC44" t="s">
        <v>248</v>
      </c>
      <c r="AD44" t="s">
        <v>249</v>
      </c>
      <c r="AE44">
        <v>5</v>
      </c>
      <c r="AF44">
        <v>5</v>
      </c>
      <c r="AG44">
        <v>221.67</v>
      </c>
      <c r="AH44">
        <v>0</v>
      </c>
      <c r="AI44">
        <v>0</v>
      </c>
      <c r="AJ44">
        <v>0</v>
      </c>
      <c r="AK44">
        <v>199.5</v>
      </c>
      <c r="AL44">
        <v>1108.3499999999999</v>
      </c>
      <c r="AM44">
        <v>1308</v>
      </c>
      <c r="AN44">
        <v>93</v>
      </c>
      <c r="AO44" t="s">
        <v>250</v>
      </c>
      <c r="AP44" t="s">
        <v>251</v>
      </c>
      <c r="AQ44">
        <v>10</v>
      </c>
      <c r="AR44">
        <v>113</v>
      </c>
      <c r="AS44" t="s">
        <v>89</v>
      </c>
      <c r="AT44">
        <v>82101</v>
      </c>
      <c r="AU44" t="s">
        <v>252</v>
      </c>
      <c r="AV44" t="s">
        <v>80</v>
      </c>
      <c r="AW44" t="s">
        <v>23</v>
      </c>
      <c r="AX44" t="s">
        <v>24</v>
      </c>
      <c r="AY44" t="s">
        <v>253</v>
      </c>
      <c r="AZ44" t="s">
        <v>197</v>
      </c>
      <c r="BA44" t="s">
        <v>314</v>
      </c>
      <c r="BB44">
        <v>0</v>
      </c>
      <c r="BC44">
        <v>0</v>
      </c>
      <c r="BD44" t="s">
        <v>199</v>
      </c>
      <c r="BE44" t="s">
        <v>199</v>
      </c>
      <c r="BF44">
        <v>0</v>
      </c>
      <c r="BG44">
        <v>0</v>
      </c>
      <c r="BH44" t="s">
        <v>200</v>
      </c>
      <c r="BI44">
        <v>13</v>
      </c>
      <c r="BJ44">
        <v>6165713</v>
      </c>
      <c r="BK44" t="s">
        <v>201</v>
      </c>
      <c r="BL44" t="s">
        <v>190</v>
      </c>
    </row>
    <row r="45" spans="1:64" x14ac:dyDescent="0.3">
      <c r="A45">
        <v>242</v>
      </c>
      <c r="B45" t="s">
        <v>186</v>
      </c>
      <c r="C45">
        <v>3</v>
      </c>
      <c r="D45">
        <v>6165713</v>
      </c>
      <c r="E45" t="s">
        <v>275</v>
      </c>
      <c r="F45" t="s">
        <v>188</v>
      </c>
      <c r="G45">
        <v>9994606</v>
      </c>
      <c r="H45" s="35">
        <v>46036</v>
      </c>
      <c r="I45" s="35">
        <v>46036</v>
      </c>
      <c r="J45">
        <v>2026</v>
      </c>
      <c r="K45">
        <v>1</v>
      </c>
      <c r="L45" t="s">
        <v>242</v>
      </c>
      <c r="M45">
        <v>1</v>
      </c>
      <c r="N45" t="s">
        <v>190</v>
      </c>
      <c r="O45" t="s">
        <v>191</v>
      </c>
      <c r="P45" t="s">
        <v>199</v>
      </c>
      <c r="Q45" t="s">
        <v>199</v>
      </c>
      <c r="R45">
        <v>3</v>
      </c>
      <c r="S45">
        <v>14</v>
      </c>
      <c r="T45">
        <v>2280</v>
      </c>
      <c r="U45">
        <v>3</v>
      </c>
      <c r="V45" t="s">
        <v>193</v>
      </c>
      <c r="W45" t="s">
        <v>29</v>
      </c>
      <c r="X45" t="s">
        <v>19</v>
      </c>
      <c r="Y45" t="s">
        <v>30</v>
      </c>
      <c r="Z45" t="s">
        <v>30</v>
      </c>
      <c r="AA45">
        <v>14</v>
      </c>
      <c r="AB45">
        <v>103113</v>
      </c>
      <c r="AC45" t="s">
        <v>290</v>
      </c>
      <c r="AD45" t="s">
        <v>291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93</v>
      </c>
      <c r="AO45" t="s">
        <v>250</v>
      </c>
      <c r="AP45" t="s">
        <v>251</v>
      </c>
      <c r="AQ45">
        <v>10</v>
      </c>
      <c r="AR45">
        <v>107</v>
      </c>
      <c r="AS45" t="s">
        <v>96</v>
      </c>
      <c r="AT45">
        <v>6770651</v>
      </c>
      <c r="AU45" t="s">
        <v>288</v>
      </c>
      <c r="AV45" t="s">
        <v>86</v>
      </c>
      <c r="AW45" t="s">
        <v>23</v>
      </c>
      <c r="AX45" t="s">
        <v>24</v>
      </c>
      <c r="AY45" t="s">
        <v>253</v>
      </c>
      <c r="AZ45" t="s">
        <v>197</v>
      </c>
      <c r="BA45" t="s">
        <v>314</v>
      </c>
      <c r="BB45">
        <v>0</v>
      </c>
      <c r="BC45">
        <v>0</v>
      </c>
      <c r="BD45" t="s">
        <v>199</v>
      </c>
      <c r="BE45" t="s">
        <v>199</v>
      </c>
      <c r="BF45">
        <v>0</v>
      </c>
      <c r="BG45">
        <v>0</v>
      </c>
      <c r="BH45" t="s">
        <v>200</v>
      </c>
      <c r="BI45">
        <v>13</v>
      </c>
      <c r="BJ45">
        <v>6165713</v>
      </c>
      <c r="BK45" t="s">
        <v>201</v>
      </c>
      <c r="BL45" t="s">
        <v>190</v>
      </c>
    </row>
    <row r="46" spans="1:64" x14ac:dyDescent="0.3">
      <c r="A46">
        <v>242</v>
      </c>
      <c r="B46" t="s">
        <v>186</v>
      </c>
      <c r="C46">
        <v>3</v>
      </c>
      <c r="D46">
        <v>6165713</v>
      </c>
      <c r="E46" t="s">
        <v>275</v>
      </c>
      <c r="F46" t="s">
        <v>188</v>
      </c>
      <c r="G46">
        <v>9994606</v>
      </c>
      <c r="H46" s="35">
        <v>46036</v>
      </c>
      <c r="I46" s="35">
        <v>46036</v>
      </c>
      <c r="J46">
        <v>2026</v>
      </c>
      <c r="K46">
        <v>1</v>
      </c>
      <c r="L46" t="s">
        <v>242</v>
      </c>
      <c r="M46">
        <v>1</v>
      </c>
      <c r="N46" t="s">
        <v>190</v>
      </c>
      <c r="O46" t="s">
        <v>191</v>
      </c>
      <c r="P46" t="s">
        <v>199</v>
      </c>
      <c r="Q46" t="s">
        <v>199</v>
      </c>
      <c r="R46">
        <v>3</v>
      </c>
      <c r="S46">
        <v>14</v>
      </c>
      <c r="T46">
        <v>2280</v>
      </c>
      <c r="U46">
        <v>3</v>
      </c>
      <c r="V46" t="s">
        <v>193</v>
      </c>
      <c r="W46" t="s">
        <v>29</v>
      </c>
      <c r="X46" t="s">
        <v>19</v>
      </c>
      <c r="Y46" t="s">
        <v>30</v>
      </c>
      <c r="Z46" t="s">
        <v>30</v>
      </c>
      <c r="AA46">
        <v>14</v>
      </c>
      <c r="AB46">
        <v>103001</v>
      </c>
      <c r="AC46" t="s">
        <v>286</v>
      </c>
      <c r="AD46" t="s">
        <v>287</v>
      </c>
      <c r="AE46">
        <v>1.2083333333333299</v>
      </c>
      <c r="AF46">
        <v>58</v>
      </c>
      <c r="AG46">
        <v>17.68</v>
      </c>
      <c r="AH46">
        <v>0</v>
      </c>
      <c r="AI46">
        <v>0</v>
      </c>
      <c r="AJ46">
        <v>0</v>
      </c>
      <c r="AK46">
        <v>184.58</v>
      </c>
      <c r="AL46">
        <v>1025.44</v>
      </c>
      <c r="AM46">
        <v>1210</v>
      </c>
      <c r="AN46">
        <v>93</v>
      </c>
      <c r="AO46" t="s">
        <v>250</v>
      </c>
      <c r="AP46" t="s">
        <v>251</v>
      </c>
      <c r="AQ46">
        <v>10</v>
      </c>
      <c r="AR46">
        <v>107</v>
      </c>
      <c r="AS46" t="s">
        <v>96</v>
      </c>
      <c r="AT46">
        <v>6770651</v>
      </c>
      <c r="AU46" t="s">
        <v>288</v>
      </c>
      <c r="AV46" t="s">
        <v>86</v>
      </c>
      <c r="AW46" t="s">
        <v>23</v>
      </c>
      <c r="AX46" t="s">
        <v>24</v>
      </c>
      <c r="AY46" t="s">
        <v>253</v>
      </c>
      <c r="AZ46" t="s">
        <v>197</v>
      </c>
      <c r="BA46" t="s">
        <v>314</v>
      </c>
      <c r="BB46">
        <v>0</v>
      </c>
      <c r="BC46">
        <v>0</v>
      </c>
      <c r="BD46" t="s">
        <v>199</v>
      </c>
      <c r="BE46" t="s">
        <v>199</v>
      </c>
      <c r="BF46">
        <v>0</v>
      </c>
      <c r="BG46">
        <v>0</v>
      </c>
      <c r="BH46" t="s">
        <v>200</v>
      </c>
      <c r="BI46">
        <v>13</v>
      </c>
      <c r="BJ46">
        <v>6165713</v>
      </c>
      <c r="BK46" t="s">
        <v>201</v>
      </c>
      <c r="BL46" t="s">
        <v>190</v>
      </c>
    </row>
    <row r="47" spans="1:64" x14ac:dyDescent="0.3">
      <c r="A47">
        <v>242</v>
      </c>
      <c r="B47" t="s">
        <v>186</v>
      </c>
      <c r="C47">
        <v>3</v>
      </c>
      <c r="D47">
        <v>6165731</v>
      </c>
      <c r="E47" t="s">
        <v>275</v>
      </c>
      <c r="F47" t="s">
        <v>188</v>
      </c>
      <c r="G47">
        <v>9994624</v>
      </c>
      <c r="H47" s="35">
        <v>46036</v>
      </c>
      <c r="I47" s="35">
        <v>46036</v>
      </c>
      <c r="J47">
        <v>2026</v>
      </c>
      <c r="K47">
        <v>1</v>
      </c>
      <c r="L47" t="s">
        <v>242</v>
      </c>
      <c r="M47">
        <v>1</v>
      </c>
      <c r="N47" t="s">
        <v>190</v>
      </c>
      <c r="O47" t="s">
        <v>191</v>
      </c>
      <c r="P47" t="s">
        <v>199</v>
      </c>
      <c r="Q47" t="s">
        <v>199</v>
      </c>
      <c r="R47">
        <v>3</v>
      </c>
      <c r="S47">
        <v>14</v>
      </c>
      <c r="T47">
        <v>2280</v>
      </c>
      <c r="U47">
        <v>3</v>
      </c>
      <c r="V47" t="s">
        <v>193</v>
      </c>
      <c r="W47" t="s">
        <v>29</v>
      </c>
      <c r="X47" t="s">
        <v>19</v>
      </c>
      <c r="Y47" t="s">
        <v>30</v>
      </c>
      <c r="Z47" t="s">
        <v>30</v>
      </c>
      <c r="AA47">
        <v>14</v>
      </c>
      <c r="AB47">
        <v>611052</v>
      </c>
      <c r="AC47" t="s">
        <v>225</v>
      </c>
      <c r="AD47" t="s">
        <v>226</v>
      </c>
      <c r="AE47">
        <v>1</v>
      </c>
      <c r="AF47">
        <v>24</v>
      </c>
      <c r="AG47">
        <v>20</v>
      </c>
      <c r="AH47">
        <v>0</v>
      </c>
      <c r="AI47">
        <v>0</v>
      </c>
      <c r="AJ47">
        <v>0</v>
      </c>
      <c r="AK47">
        <v>86.4</v>
      </c>
      <c r="AL47">
        <v>480</v>
      </c>
      <c r="AM47">
        <v>566</v>
      </c>
      <c r="AN47">
        <v>93</v>
      </c>
      <c r="AO47" t="s">
        <v>250</v>
      </c>
      <c r="AP47" t="s">
        <v>251</v>
      </c>
      <c r="AQ47">
        <v>10</v>
      </c>
      <c r="AR47">
        <v>114</v>
      </c>
      <c r="AS47" t="s">
        <v>79</v>
      </c>
      <c r="AT47">
        <v>66102</v>
      </c>
      <c r="AU47" t="s">
        <v>227</v>
      </c>
      <c r="AV47" t="s">
        <v>80</v>
      </c>
      <c r="AW47" t="s">
        <v>23</v>
      </c>
      <c r="AX47" t="s">
        <v>24</v>
      </c>
      <c r="AY47" t="s">
        <v>253</v>
      </c>
      <c r="AZ47" t="s">
        <v>197</v>
      </c>
      <c r="BA47" t="s">
        <v>315</v>
      </c>
      <c r="BB47">
        <v>0</v>
      </c>
      <c r="BC47">
        <v>0</v>
      </c>
      <c r="BD47" t="s">
        <v>199</v>
      </c>
      <c r="BE47" t="s">
        <v>199</v>
      </c>
      <c r="BF47">
        <v>0</v>
      </c>
      <c r="BG47">
        <v>0</v>
      </c>
      <c r="BH47" t="s">
        <v>200</v>
      </c>
      <c r="BI47">
        <v>13</v>
      </c>
      <c r="BJ47">
        <v>6165731</v>
      </c>
      <c r="BK47" t="s">
        <v>201</v>
      </c>
      <c r="BL47" t="s">
        <v>190</v>
      </c>
    </row>
    <row r="48" spans="1:64" x14ac:dyDescent="0.3">
      <c r="A48">
        <v>242</v>
      </c>
      <c r="B48" t="s">
        <v>186</v>
      </c>
      <c r="C48">
        <v>3</v>
      </c>
      <c r="D48">
        <v>6165765</v>
      </c>
      <c r="E48" t="s">
        <v>275</v>
      </c>
      <c r="F48" t="s">
        <v>188</v>
      </c>
      <c r="G48">
        <v>9994658</v>
      </c>
      <c r="H48" s="35">
        <v>46036</v>
      </c>
      <c r="I48" s="35">
        <v>46036</v>
      </c>
      <c r="J48">
        <v>2026</v>
      </c>
      <c r="K48">
        <v>1</v>
      </c>
      <c r="L48" t="s">
        <v>242</v>
      </c>
      <c r="M48">
        <v>1</v>
      </c>
      <c r="N48" t="s">
        <v>190</v>
      </c>
      <c r="O48" t="s">
        <v>191</v>
      </c>
      <c r="P48" t="s">
        <v>199</v>
      </c>
      <c r="Q48" t="s">
        <v>199</v>
      </c>
      <c r="R48">
        <v>3</v>
      </c>
      <c r="S48">
        <v>14</v>
      </c>
      <c r="T48">
        <v>19291</v>
      </c>
      <c r="U48">
        <v>3</v>
      </c>
      <c r="V48" t="s">
        <v>261</v>
      </c>
      <c r="W48" t="s">
        <v>35</v>
      </c>
      <c r="X48" t="s">
        <v>19</v>
      </c>
      <c r="Y48" t="s">
        <v>30</v>
      </c>
      <c r="Z48" t="s">
        <v>30</v>
      </c>
      <c r="AA48">
        <v>8</v>
      </c>
      <c r="AB48">
        <v>501000</v>
      </c>
      <c r="AC48" t="s">
        <v>316</v>
      </c>
      <c r="AD48" t="s">
        <v>317</v>
      </c>
      <c r="AE48">
        <v>1</v>
      </c>
      <c r="AF48">
        <v>4</v>
      </c>
      <c r="AG48">
        <v>114.4</v>
      </c>
      <c r="AH48">
        <v>0</v>
      </c>
      <c r="AI48">
        <v>0</v>
      </c>
      <c r="AJ48">
        <v>0</v>
      </c>
      <c r="AK48">
        <v>82.37</v>
      </c>
      <c r="AL48">
        <v>457.6</v>
      </c>
      <c r="AM48">
        <v>540</v>
      </c>
      <c r="AN48">
        <v>4</v>
      </c>
      <c r="AO48" t="s">
        <v>264</v>
      </c>
      <c r="AP48" t="s">
        <v>265</v>
      </c>
      <c r="AQ48">
        <v>10</v>
      </c>
      <c r="AR48">
        <v>114</v>
      </c>
      <c r="AS48" t="s">
        <v>79</v>
      </c>
      <c r="AT48">
        <v>66101</v>
      </c>
      <c r="AU48" t="s">
        <v>318</v>
      </c>
      <c r="AV48" t="s">
        <v>80</v>
      </c>
      <c r="AW48" t="s">
        <v>23</v>
      </c>
      <c r="AX48" t="s">
        <v>24</v>
      </c>
      <c r="AY48" t="s">
        <v>267</v>
      </c>
      <c r="AZ48" t="s">
        <v>197</v>
      </c>
      <c r="BA48" t="s">
        <v>319</v>
      </c>
      <c r="BB48">
        <v>0</v>
      </c>
      <c r="BC48">
        <v>0</v>
      </c>
      <c r="BD48" t="s">
        <v>199</v>
      </c>
      <c r="BE48" t="s">
        <v>199</v>
      </c>
      <c r="BF48">
        <v>0</v>
      </c>
      <c r="BG48">
        <v>0</v>
      </c>
      <c r="BH48" t="s">
        <v>200</v>
      </c>
      <c r="BI48">
        <v>13</v>
      </c>
      <c r="BJ48">
        <v>6165765</v>
      </c>
      <c r="BK48" t="s">
        <v>201</v>
      </c>
      <c r="BL48" t="s">
        <v>190</v>
      </c>
    </row>
    <row r="49" spans="1:64" x14ac:dyDescent="0.3">
      <c r="A49">
        <v>229</v>
      </c>
      <c r="B49" t="s">
        <v>186</v>
      </c>
      <c r="C49">
        <v>3</v>
      </c>
      <c r="D49">
        <v>6167060</v>
      </c>
      <c r="E49" t="s">
        <v>284</v>
      </c>
      <c r="F49" t="s">
        <v>188</v>
      </c>
      <c r="G49">
        <v>9995953</v>
      </c>
      <c r="H49" s="35">
        <v>46037</v>
      </c>
      <c r="I49" s="35">
        <v>46037</v>
      </c>
      <c r="J49">
        <v>2026</v>
      </c>
      <c r="K49">
        <v>1</v>
      </c>
      <c r="L49" t="s">
        <v>242</v>
      </c>
      <c r="M49">
        <v>1</v>
      </c>
      <c r="N49" t="s">
        <v>190</v>
      </c>
      <c r="O49" t="s">
        <v>191</v>
      </c>
      <c r="P49" t="s">
        <v>199</v>
      </c>
      <c r="Q49" t="s">
        <v>199</v>
      </c>
      <c r="R49">
        <v>3</v>
      </c>
      <c r="S49">
        <v>15</v>
      </c>
      <c r="T49">
        <v>37594</v>
      </c>
      <c r="U49">
        <v>3</v>
      </c>
      <c r="V49" t="s">
        <v>234</v>
      </c>
      <c r="W49" t="s">
        <v>47</v>
      </c>
      <c r="X49" t="s">
        <v>19</v>
      </c>
      <c r="Y49" t="s">
        <v>30</v>
      </c>
      <c r="Z49" t="s">
        <v>30</v>
      </c>
      <c r="AA49">
        <v>72</v>
      </c>
      <c r="AB49">
        <v>101005</v>
      </c>
      <c r="AC49" t="s">
        <v>320</v>
      </c>
      <c r="AD49" t="s">
        <v>321</v>
      </c>
      <c r="AE49">
        <v>1</v>
      </c>
      <c r="AF49">
        <v>30</v>
      </c>
      <c r="AG49">
        <v>73.41</v>
      </c>
      <c r="AH49">
        <v>0</v>
      </c>
      <c r="AI49">
        <v>0</v>
      </c>
      <c r="AJ49">
        <v>0</v>
      </c>
      <c r="AK49">
        <v>396.41</v>
      </c>
      <c r="AL49">
        <v>2202.3000000000002</v>
      </c>
      <c r="AM49">
        <v>2599</v>
      </c>
      <c r="AN49">
        <v>95</v>
      </c>
      <c r="AO49" t="s">
        <v>237</v>
      </c>
      <c r="AP49" t="s">
        <v>238</v>
      </c>
      <c r="AQ49">
        <v>10</v>
      </c>
      <c r="AR49">
        <v>105</v>
      </c>
      <c r="AS49" t="s">
        <v>85</v>
      </c>
      <c r="AT49">
        <v>677001</v>
      </c>
      <c r="AU49" t="s">
        <v>273</v>
      </c>
      <c r="AV49" t="s">
        <v>86</v>
      </c>
      <c r="AW49" t="s">
        <v>50</v>
      </c>
      <c r="AX49" t="s">
        <v>51</v>
      </c>
      <c r="AY49" t="s">
        <v>239</v>
      </c>
      <c r="AZ49" t="s">
        <v>240</v>
      </c>
      <c r="BA49" t="s">
        <v>322</v>
      </c>
      <c r="BB49">
        <v>0</v>
      </c>
      <c r="BC49">
        <v>0</v>
      </c>
      <c r="BD49" t="s">
        <v>199</v>
      </c>
      <c r="BE49" t="s">
        <v>199</v>
      </c>
      <c r="BF49">
        <v>0</v>
      </c>
      <c r="BG49">
        <v>0</v>
      </c>
      <c r="BH49" t="s">
        <v>200</v>
      </c>
      <c r="BI49">
        <v>13</v>
      </c>
      <c r="BJ49">
        <v>6167060</v>
      </c>
      <c r="BK49" t="s">
        <v>201</v>
      </c>
      <c r="BL49" t="s">
        <v>190</v>
      </c>
    </row>
    <row r="50" spans="1:64" x14ac:dyDescent="0.3">
      <c r="A50">
        <v>229</v>
      </c>
      <c r="B50" t="s">
        <v>186</v>
      </c>
      <c r="C50">
        <v>3</v>
      </c>
      <c r="D50">
        <v>6167060</v>
      </c>
      <c r="E50" t="s">
        <v>284</v>
      </c>
      <c r="F50" t="s">
        <v>188</v>
      </c>
      <c r="G50">
        <v>9995953</v>
      </c>
      <c r="H50" s="35">
        <v>46037</v>
      </c>
      <c r="I50" s="35">
        <v>46037</v>
      </c>
      <c r="J50">
        <v>2026</v>
      </c>
      <c r="K50">
        <v>1</v>
      </c>
      <c r="L50" t="s">
        <v>242</v>
      </c>
      <c r="M50">
        <v>1</v>
      </c>
      <c r="N50" t="s">
        <v>190</v>
      </c>
      <c r="O50" t="s">
        <v>191</v>
      </c>
      <c r="P50" t="s">
        <v>199</v>
      </c>
      <c r="Q50" t="s">
        <v>199</v>
      </c>
      <c r="R50">
        <v>3</v>
      </c>
      <c r="S50">
        <v>15</v>
      </c>
      <c r="T50">
        <v>37594</v>
      </c>
      <c r="U50">
        <v>3</v>
      </c>
      <c r="V50" t="s">
        <v>234</v>
      </c>
      <c r="W50" t="s">
        <v>47</v>
      </c>
      <c r="X50" t="s">
        <v>19</v>
      </c>
      <c r="Y50" t="s">
        <v>30</v>
      </c>
      <c r="Z50" t="s">
        <v>30</v>
      </c>
      <c r="AA50">
        <v>72</v>
      </c>
      <c r="AB50">
        <v>101027</v>
      </c>
      <c r="AC50" t="s">
        <v>323</v>
      </c>
      <c r="AD50" t="s">
        <v>324</v>
      </c>
      <c r="AE50">
        <v>1</v>
      </c>
      <c r="AF50">
        <v>24</v>
      </c>
      <c r="AG50">
        <v>73.41</v>
      </c>
      <c r="AH50">
        <v>0</v>
      </c>
      <c r="AI50">
        <v>0</v>
      </c>
      <c r="AJ50">
        <v>0</v>
      </c>
      <c r="AK50">
        <v>317.13</v>
      </c>
      <c r="AL50">
        <v>1761.84</v>
      </c>
      <c r="AM50">
        <v>2079</v>
      </c>
      <c r="AN50">
        <v>95</v>
      </c>
      <c r="AO50" t="s">
        <v>237</v>
      </c>
      <c r="AP50" t="s">
        <v>238</v>
      </c>
      <c r="AQ50">
        <v>10</v>
      </c>
      <c r="AR50">
        <v>105</v>
      </c>
      <c r="AS50" t="s">
        <v>85</v>
      </c>
      <c r="AT50">
        <v>677001</v>
      </c>
      <c r="AU50" t="s">
        <v>273</v>
      </c>
      <c r="AV50" t="s">
        <v>86</v>
      </c>
      <c r="AW50" t="s">
        <v>50</v>
      </c>
      <c r="AX50" t="s">
        <v>51</v>
      </c>
      <c r="AY50" t="s">
        <v>239</v>
      </c>
      <c r="AZ50" t="s">
        <v>240</v>
      </c>
      <c r="BA50" t="s">
        <v>322</v>
      </c>
      <c r="BB50">
        <v>0</v>
      </c>
      <c r="BC50">
        <v>0</v>
      </c>
      <c r="BD50" t="s">
        <v>199</v>
      </c>
      <c r="BE50" t="s">
        <v>199</v>
      </c>
      <c r="BF50">
        <v>0</v>
      </c>
      <c r="BG50">
        <v>0</v>
      </c>
      <c r="BH50" t="s">
        <v>200</v>
      </c>
      <c r="BI50">
        <v>13</v>
      </c>
      <c r="BJ50">
        <v>6167060</v>
      </c>
      <c r="BK50" t="s">
        <v>201</v>
      </c>
      <c r="BL50" t="s">
        <v>190</v>
      </c>
    </row>
    <row r="51" spans="1:64" x14ac:dyDescent="0.3">
      <c r="A51">
        <v>229</v>
      </c>
      <c r="B51" t="s">
        <v>186</v>
      </c>
      <c r="C51">
        <v>3</v>
      </c>
      <c r="D51">
        <v>6167060</v>
      </c>
      <c r="E51" t="s">
        <v>284</v>
      </c>
      <c r="F51" t="s">
        <v>188</v>
      </c>
      <c r="G51">
        <v>9995953</v>
      </c>
      <c r="H51" s="35">
        <v>46037</v>
      </c>
      <c r="I51" s="35">
        <v>46037</v>
      </c>
      <c r="J51">
        <v>2026</v>
      </c>
      <c r="K51">
        <v>1</v>
      </c>
      <c r="L51" t="s">
        <v>242</v>
      </c>
      <c r="M51">
        <v>1</v>
      </c>
      <c r="N51" t="s">
        <v>190</v>
      </c>
      <c r="O51" t="s">
        <v>191</v>
      </c>
      <c r="P51" t="s">
        <v>199</v>
      </c>
      <c r="Q51" t="s">
        <v>199</v>
      </c>
      <c r="R51">
        <v>3</v>
      </c>
      <c r="S51">
        <v>15</v>
      </c>
      <c r="T51">
        <v>37594</v>
      </c>
      <c r="U51">
        <v>3</v>
      </c>
      <c r="V51" t="s">
        <v>234</v>
      </c>
      <c r="W51" t="s">
        <v>47</v>
      </c>
      <c r="X51" t="s">
        <v>19</v>
      </c>
      <c r="Y51" t="s">
        <v>30</v>
      </c>
      <c r="Z51" t="s">
        <v>30</v>
      </c>
      <c r="AA51">
        <v>72</v>
      </c>
      <c r="AB51">
        <v>101028</v>
      </c>
      <c r="AC51" t="s">
        <v>325</v>
      </c>
      <c r="AD51" t="s">
        <v>326</v>
      </c>
      <c r="AE51">
        <v>1</v>
      </c>
      <c r="AF51">
        <v>18</v>
      </c>
      <c r="AG51">
        <v>98.4</v>
      </c>
      <c r="AH51">
        <v>0</v>
      </c>
      <c r="AI51">
        <v>0</v>
      </c>
      <c r="AJ51">
        <v>0</v>
      </c>
      <c r="AK51">
        <v>318.82</v>
      </c>
      <c r="AL51">
        <v>1771.2</v>
      </c>
      <c r="AM51">
        <v>2090</v>
      </c>
      <c r="AN51">
        <v>95</v>
      </c>
      <c r="AO51" t="s">
        <v>237</v>
      </c>
      <c r="AP51" t="s">
        <v>238</v>
      </c>
      <c r="AQ51">
        <v>10</v>
      </c>
      <c r="AR51">
        <v>105</v>
      </c>
      <c r="AS51" t="s">
        <v>85</v>
      </c>
      <c r="AT51">
        <v>677001</v>
      </c>
      <c r="AU51" t="s">
        <v>273</v>
      </c>
      <c r="AV51" t="s">
        <v>86</v>
      </c>
      <c r="AW51" t="s">
        <v>50</v>
      </c>
      <c r="AX51" t="s">
        <v>51</v>
      </c>
      <c r="AY51" t="s">
        <v>239</v>
      </c>
      <c r="AZ51" t="s">
        <v>240</v>
      </c>
      <c r="BA51" t="s">
        <v>322</v>
      </c>
      <c r="BB51">
        <v>0</v>
      </c>
      <c r="BC51">
        <v>0</v>
      </c>
      <c r="BD51" t="s">
        <v>199</v>
      </c>
      <c r="BE51" t="s">
        <v>199</v>
      </c>
      <c r="BF51">
        <v>0</v>
      </c>
      <c r="BG51">
        <v>0</v>
      </c>
      <c r="BH51" t="s">
        <v>200</v>
      </c>
      <c r="BI51">
        <v>13</v>
      </c>
      <c r="BJ51">
        <v>6167060</v>
      </c>
      <c r="BK51" t="s">
        <v>201</v>
      </c>
      <c r="BL51" t="s">
        <v>190</v>
      </c>
    </row>
    <row r="52" spans="1:64" x14ac:dyDescent="0.3">
      <c r="A52">
        <v>234</v>
      </c>
      <c r="B52" t="s">
        <v>186</v>
      </c>
      <c r="C52">
        <v>3</v>
      </c>
      <c r="D52">
        <v>6167932</v>
      </c>
      <c r="E52" t="s">
        <v>327</v>
      </c>
      <c r="F52" t="s">
        <v>188</v>
      </c>
      <c r="G52">
        <v>9996825</v>
      </c>
      <c r="H52" s="35">
        <v>46037</v>
      </c>
      <c r="I52" s="35">
        <v>46037</v>
      </c>
      <c r="J52">
        <v>2026</v>
      </c>
      <c r="K52">
        <v>1</v>
      </c>
      <c r="L52" t="s">
        <v>242</v>
      </c>
      <c r="M52">
        <v>1</v>
      </c>
      <c r="N52" t="s">
        <v>203</v>
      </c>
      <c r="O52" t="s">
        <v>191</v>
      </c>
      <c r="P52" t="s">
        <v>199</v>
      </c>
      <c r="Q52" t="s">
        <v>199</v>
      </c>
      <c r="R52">
        <v>3</v>
      </c>
      <c r="S52">
        <v>15</v>
      </c>
      <c r="T52">
        <v>36908</v>
      </c>
      <c r="U52">
        <v>3</v>
      </c>
      <c r="V52" t="s">
        <v>215</v>
      </c>
      <c r="W52" t="s">
        <v>67</v>
      </c>
      <c r="X52" t="s">
        <v>28</v>
      </c>
      <c r="Y52" t="s">
        <v>30</v>
      </c>
      <c r="Z52" t="s">
        <v>30</v>
      </c>
      <c r="AA52">
        <v>11</v>
      </c>
      <c r="AB52">
        <v>925064</v>
      </c>
      <c r="AC52" t="s">
        <v>281</v>
      </c>
      <c r="AD52" t="s">
        <v>282</v>
      </c>
      <c r="AE52">
        <v>1</v>
      </c>
      <c r="AF52">
        <v>50</v>
      </c>
      <c r="AG52">
        <v>32.53</v>
      </c>
      <c r="AH52">
        <v>0</v>
      </c>
      <c r="AI52">
        <v>0</v>
      </c>
      <c r="AJ52">
        <v>0</v>
      </c>
      <c r="AK52">
        <v>292.77</v>
      </c>
      <c r="AL52">
        <v>1626.5</v>
      </c>
      <c r="AM52">
        <v>1919</v>
      </c>
      <c r="AN52">
        <v>199</v>
      </c>
      <c r="AO52" t="s">
        <v>218</v>
      </c>
      <c r="AP52" t="s">
        <v>219</v>
      </c>
      <c r="AQ52">
        <v>10</v>
      </c>
      <c r="AR52">
        <v>117</v>
      </c>
      <c r="AS52" t="s">
        <v>94</v>
      </c>
      <c r="AT52">
        <v>65104</v>
      </c>
      <c r="AU52" t="s">
        <v>283</v>
      </c>
      <c r="AV52" t="s">
        <v>95</v>
      </c>
      <c r="AW52" t="s">
        <v>70</v>
      </c>
      <c r="AX52" t="s">
        <v>71</v>
      </c>
      <c r="AY52" t="s">
        <v>220</v>
      </c>
      <c r="AZ52" t="s">
        <v>221</v>
      </c>
      <c r="BA52" t="s">
        <v>328</v>
      </c>
      <c r="BB52">
        <v>0</v>
      </c>
      <c r="BC52">
        <v>0</v>
      </c>
      <c r="BD52" t="s">
        <v>199</v>
      </c>
      <c r="BE52" t="s">
        <v>199</v>
      </c>
      <c r="BF52">
        <v>0</v>
      </c>
      <c r="BG52">
        <v>0</v>
      </c>
      <c r="BH52" t="s">
        <v>200</v>
      </c>
      <c r="BI52">
        <v>13</v>
      </c>
      <c r="BJ52">
        <v>6167932</v>
      </c>
      <c r="BK52" t="s">
        <v>201</v>
      </c>
      <c r="BL52" t="s">
        <v>190</v>
      </c>
    </row>
    <row r="53" spans="1:64" x14ac:dyDescent="0.3">
      <c r="A53">
        <v>234</v>
      </c>
      <c r="B53" t="s">
        <v>186</v>
      </c>
      <c r="C53">
        <v>3</v>
      </c>
      <c r="D53">
        <v>6167932</v>
      </c>
      <c r="E53" t="s">
        <v>327</v>
      </c>
      <c r="F53" t="s">
        <v>188</v>
      </c>
      <c r="G53">
        <v>9996825</v>
      </c>
      <c r="H53" s="35">
        <v>46037</v>
      </c>
      <c r="I53" s="35">
        <v>46037</v>
      </c>
      <c r="J53">
        <v>2026</v>
      </c>
      <c r="K53">
        <v>1</v>
      </c>
      <c r="L53" t="s">
        <v>242</v>
      </c>
      <c r="M53">
        <v>1</v>
      </c>
      <c r="N53" t="s">
        <v>190</v>
      </c>
      <c r="O53" t="s">
        <v>191</v>
      </c>
      <c r="P53" t="s">
        <v>199</v>
      </c>
      <c r="Q53" t="s">
        <v>199</v>
      </c>
      <c r="R53">
        <v>3</v>
      </c>
      <c r="S53">
        <v>15</v>
      </c>
      <c r="T53">
        <v>36908</v>
      </c>
      <c r="U53">
        <v>3</v>
      </c>
      <c r="V53" t="s">
        <v>215</v>
      </c>
      <c r="W53" t="s">
        <v>67</v>
      </c>
      <c r="X53" t="s">
        <v>28</v>
      </c>
      <c r="Y53" t="s">
        <v>30</v>
      </c>
      <c r="Z53" t="s">
        <v>30</v>
      </c>
      <c r="AA53">
        <v>11</v>
      </c>
      <c r="AB53">
        <v>501000</v>
      </c>
      <c r="AC53" t="s">
        <v>316</v>
      </c>
      <c r="AD53" t="s">
        <v>317</v>
      </c>
      <c r="AE53">
        <v>1</v>
      </c>
      <c r="AF53">
        <v>4</v>
      </c>
      <c r="AG53">
        <v>113.26</v>
      </c>
      <c r="AH53">
        <v>0</v>
      </c>
      <c r="AI53">
        <v>0</v>
      </c>
      <c r="AJ53">
        <v>0</v>
      </c>
      <c r="AK53">
        <v>81.55</v>
      </c>
      <c r="AL53">
        <v>453.04</v>
      </c>
      <c r="AM53">
        <v>535</v>
      </c>
      <c r="AN53">
        <v>199</v>
      </c>
      <c r="AO53" t="s">
        <v>218</v>
      </c>
      <c r="AP53" t="s">
        <v>219</v>
      </c>
      <c r="AQ53">
        <v>10</v>
      </c>
      <c r="AR53">
        <v>114</v>
      </c>
      <c r="AS53" t="s">
        <v>79</v>
      </c>
      <c r="AT53">
        <v>66101</v>
      </c>
      <c r="AU53" t="s">
        <v>318</v>
      </c>
      <c r="AV53" t="s">
        <v>80</v>
      </c>
      <c r="AW53" t="s">
        <v>70</v>
      </c>
      <c r="AX53" t="s">
        <v>71</v>
      </c>
      <c r="AY53" t="s">
        <v>220</v>
      </c>
      <c r="AZ53" t="s">
        <v>221</v>
      </c>
      <c r="BA53" t="s">
        <v>328</v>
      </c>
      <c r="BB53">
        <v>0</v>
      </c>
      <c r="BC53">
        <v>0</v>
      </c>
      <c r="BD53" t="s">
        <v>199</v>
      </c>
      <c r="BE53" t="s">
        <v>199</v>
      </c>
      <c r="BF53">
        <v>0</v>
      </c>
      <c r="BG53">
        <v>0</v>
      </c>
      <c r="BH53" t="s">
        <v>200</v>
      </c>
      <c r="BI53">
        <v>13</v>
      </c>
      <c r="BJ53">
        <v>6167932</v>
      </c>
      <c r="BK53" t="s">
        <v>201</v>
      </c>
      <c r="BL53" t="s">
        <v>190</v>
      </c>
    </row>
    <row r="54" spans="1:64" x14ac:dyDescent="0.3">
      <c r="A54">
        <v>234</v>
      </c>
      <c r="B54" t="s">
        <v>186</v>
      </c>
      <c r="C54">
        <v>3</v>
      </c>
      <c r="D54">
        <v>6167932</v>
      </c>
      <c r="E54" t="s">
        <v>327</v>
      </c>
      <c r="F54" t="s">
        <v>188</v>
      </c>
      <c r="G54">
        <v>9996825</v>
      </c>
      <c r="H54" s="35">
        <v>46037</v>
      </c>
      <c r="I54" s="35">
        <v>46037</v>
      </c>
      <c r="J54">
        <v>2026</v>
      </c>
      <c r="K54">
        <v>1</v>
      </c>
      <c r="L54" t="s">
        <v>242</v>
      </c>
      <c r="M54">
        <v>1</v>
      </c>
      <c r="N54" t="s">
        <v>190</v>
      </c>
      <c r="O54" t="s">
        <v>191</v>
      </c>
      <c r="P54" t="s">
        <v>199</v>
      </c>
      <c r="Q54" t="s">
        <v>199</v>
      </c>
      <c r="R54">
        <v>3</v>
      </c>
      <c r="S54">
        <v>15</v>
      </c>
      <c r="T54">
        <v>36908</v>
      </c>
      <c r="U54">
        <v>3</v>
      </c>
      <c r="V54" t="s">
        <v>215</v>
      </c>
      <c r="W54" t="s">
        <v>67</v>
      </c>
      <c r="X54" t="s">
        <v>28</v>
      </c>
      <c r="Y54" t="s">
        <v>30</v>
      </c>
      <c r="Z54" t="s">
        <v>30</v>
      </c>
      <c r="AA54">
        <v>11</v>
      </c>
      <c r="AB54">
        <v>101034</v>
      </c>
      <c r="AC54" t="s">
        <v>329</v>
      </c>
      <c r="AD54" t="s">
        <v>330</v>
      </c>
      <c r="AE54">
        <v>1</v>
      </c>
      <c r="AF54">
        <v>10</v>
      </c>
      <c r="AG54">
        <v>197.39</v>
      </c>
      <c r="AH54">
        <v>0</v>
      </c>
      <c r="AI54">
        <v>0</v>
      </c>
      <c r="AJ54">
        <v>0</v>
      </c>
      <c r="AK54">
        <v>355.3</v>
      </c>
      <c r="AL54">
        <v>1973.9</v>
      </c>
      <c r="AM54">
        <v>2329</v>
      </c>
      <c r="AN54">
        <v>199</v>
      </c>
      <c r="AO54" t="s">
        <v>218</v>
      </c>
      <c r="AP54" t="s">
        <v>219</v>
      </c>
      <c r="AQ54">
        <v>10</v>
      </c>
      <c r="AR54">
        <v>136</v>
      </c>
      <c r="AS54" t="s">
        <v>87</v>
      </c>
      <c r="AT54">
        <v>677001</v>
      </c>
      <c r="AU54" t="s">
        <v>273</v>
      </c>
      <c r="AV54" t="s">
        <v>86</v>
      </c>
      <c r="AW54" t="s">
        <v>70</v>
      </c>
      <c r="AX54" t="s">
        <v>71</v>
      </c>
      <c r="AY54" t="s">
        <v>220</v>
      </c>
      <c r="AZ54" t="s">
        <v>221</v>
      </c>
      <c r="BA54" t="s">
        <v>328</v>
      </c>
      <c r="BB54">
        <v>0</v>
      </c>
      <c r="BC54">
        <v>0</v>
      </c>
      <c r="BD54" t="s">
        <v>199</v>
      </c>
      <c r="BE54" t="s">
        <v>199</v>
      </c>
      <c r="BF54">
        <v>0</v>
      </c>
      <c r="BG54">
        <v>0</v>
      </c>
      <c r="BH54" t="s">
        <v>200</v>
      </c>
      <c r="BI54">
        <v>13</v>
      </c>
      <c r="BJ54">
        <v>6167932</v>
      </c>
      <c r="BK54" t="s">
        <v>201</v>
      </c>
      <c r="BL54" t="s">
        <v>190</v>
      </c>
    </row>
    <row r="55" spans="1:64" x14ac:dyDescent="0.3">
      <c r="A55">
        <v>234</v>
      </c>
      <c r="B55" t="s">
        <v>186</v>
      </c>
      <c r="C55">
        <v>3</v>
      </c>
      <c r="D55">
        <v>6167932</v>
      </c>
      <c r="E55" t="s">
        <v>327</v>
      </c>
      <c r="F55" t="s">
        <v>188</v>
      </c>
      <c r="G55">
        <v>9996825</v>
      </c>
      <c r="H55" s="35">
        <v>46037</v>
      </c>
      <c r="I55" s="35">
        <v>46037</v>
      </c>
      <c r="J55">
        <v>2026</v>
      </c>
      <c r="K55">
        <v>1</v>
      </c>
      <c r="L55" t="s">
        <v>242</v>
      </c>
      <c r="M55">
        <v>1</v>
      </c>
      <c r="N55" t="s">
        <v>190</v>
      </c>
      <c r="O55" t="s">
        <v>191</v>
      </c>
      <c r="P55" t="s">
        <v>199</v>
      </c>
      <c r="Q55" t="s">
        <v>199</v>
      </c>
      <c r="R55">
        <v>3</v>
      </c>
      <c r="S55">
        <v>15</v>
      </c>
      <c r="T55">
        <v>36908</v>
      </c>
      <c r="U55">
        <v>3</v>
      </c>
      <c r="V55" t="s">
        <v>215</v>
      </c>
      <c r="W55" t="s">
        <v>67</v>
      </c>
      <c r="X55" t="s">
        <v>28</v>
      </c>
      <c r="Y55" t="s">
        <v>30</v>
      </c>
      <c r="Z55" t="s">
        <v>30</v>
      </c>
      <c r="AA55">
        <v>11</v>
      </c>
      <c r="AB55">
        <v>201001</v>
      </c>
      <c r="AC55" t="s">
        <v>248</v>
      </c>
      <c r="AD55" t="s">
        <v>249</v>
      </c>
      <c r="AE55">
        <v>25</v>
      </c>
      <c r="AF55">
        <v>25</v>
      </c>
      <c r="AG55">
        <v>210.59</v>
      </c>
      <c r="AH55">
        <v>0</v>
      </c>
      <c r="AI55">
        <v>0</v>
      </c>
      <c r="AJ55">
        <v>0</v>
      </c>
      <c r="AK55">
        <v>947.66</v>
      </c>
      <c r="AL55">
        <v>5264.75</v>
      </c>
      <c r="AM55">
        <v>6212</v>
      </c>
      <c r="AN55">
        <v>199</v>
      </c>
      <c r="AO55" t="s">
        <v>218</v>
      </c>
      <c r="AP55" t="s">
        <v>219</v>
      </c>
      <c r="AQ55">
        <v>10</v>
      </c>
      <c r="AR55">
        <v>113</v>
      </c>
      <c r="AS55" t="s">
        <v>89</v>
      </c>
      <c r="AT55">
        <v>82101</v>
      </c>
      <c r="AU55" t="s">
        <v>252</v>
      </c>
      <c r="AV55" t="s">
        <v>80</v>
      </c>
      <c r="AW55" t="s">
        <v>70</v>
      </c>
      <c r="AX55" t="s">
        <v>71</v>
      </c>
      <c r="AY55" t="s">
        <v>220</v>
      </c>
      <c r="AZ55" t="s">
        <v>221</v>
      </c>
      <c r="BA55" t="s">
        <v>328</v>
      </c>
      <c r="BB55">
        <v>0</v>
      </c>
      <c r="BC55">
        <v>0</v>
      </c>
      <c r="BD55" t="s">
        <v>199</v>
      </c>
      <c r="BE55" t="s">
        <v>199</v>
      </c>
      <c r="BF55">
        <v>0</v>
      </c>
      <c r="BG55">
        <v>0</v>
      </c>
      <c r="BH55" t="s">
        <v>200</v>
      </c>
      <c r="BI55">
        <v>13</v>
      </c>
      <c r="BJ55">
        <v>6167932</v>
      </c>
      <c r="BK55" t="s">
        <v>201</v>
      </c>
      <c r="BL55" t="s">
        <v>190</v>
      </c>
    </row>
    <row r="56" spans="1:64" x14ac:dyDescent="0.3">
      <c r="A56">
        <v>234</v>
      </c>
      <c r="B56" t="s">
        <v>186</v>
      </c>
      <c r="C56">
        <v>3</v>
      </c>
      <c r="D56">
        <v>6167932</v>
      </c>
      <c r="E56" t="s">
        <v>327</v>
      </c>
      <c r="F56" t="s">
        <v>188</v>
      </c>
      <c r="G56">
        <v>9996825</v>
      </c>
      <c r="H56" s="35">
        <v>46037</v>
      </c>
      <c r="I56" s="35">
        <v>46037</v>
      </c>
      <c r="J56">
        <v>2026</v>
      </c>
      <c r="K56">
        <v>1</v>
      </c>
      <c r="L56" t="s">
        <v>242</v>
      </c>
      <c r="M56">
        <v>1</v>
      </c>
      <c r="N56" t="s">
        <v>190</v>
      </c>
      <c r="O56" t="s">
        <v>191</v>
      </c>
      <c r="P56" t="s">
        <v>199</v>
      </c>
      <c r="Q56" t="s">
        <v>199</v>
      </c>
      <c r="R56">
        <v>3</v>
      </c>
      <c r="S56">
        <v>15</v>
      </c>
      <c r="T56">
        <v>36908</v>
      </c>
      <c r="U56">
        <v>3</v>
      </c>
      <c r="V56" t="s">
        <v>215</v>
      </c>
      <c r="W56" t="s">
        <v>67</v>
      </c>
      <c r="X56" t="s">
        <v>28</v>
      </c>
      <c r="Y56" t="s">
        <v>30</v>
      </c>
      <c r="Z56" t="s">
        <v>30</v>
      </c>
      <c r="AA56">
        <v>11</v>
      </c>
      <c r="AB56">
        <v>101038</v>
      </c>
      <c r="AC56" t="s">
        <v>271</v>
      </c>
      <c r="AD56" t="s">
        <v>272</v>
      </c>
      <c r="AE56">
        <v>1</v>
      </c>
      <c r="AF56">
        <v>10</v>
      </c>
      <c r="AG56">
        <v>354.25</v>
      </c>
      <c r="AH56">
        <v>0</v>
      </c>
      <c r="AI56">
        <v>0</v>
      </c>
      <c r="AJ56">
        <v>0</v>
      </c>
      <c r="AK56">
        <v>637.65</v>
      </c>
      <c r="AL56">
        <v>3542.5</v>
      </c>
      <c r="AM56">
        <v>4180</v>
      </c>
      <c r="AN56">
        <v>199</v>
      </c>
      <c r="AO56" t="s">
        <v>218</v>
      </c>
      <c r="AP56" t="s">
        <v>219</v>
      </c>
      <c r="AQ56">
        <v>10</v>
      </c>
      <c r="AR56">
        <v>105</v>
      </c>
      <c r="AS56" t="s">
        <v>85</v>
      </c>
      <c r="AT56">
        <v>677001</v>
      </c>
      <c r="AU56" t="s">
        <v>273</v>
      </c>
      <c r="AV56" t="s">
        <v>86</v>
      </c>
      <c r="AW56" t="s">
        <v>70</v>
      </c>
      <c r="AX56" t="s">
        <v>71</v>
      </c>
      <c r="AY56" t="s">
        <v>220</v>
      </c>
      <c r="AZ56" t="s">
        <v>221</v>
      </c>
      <c r="BA56" t="s">
        <v>328</v>
      </c>
      <c r="BB56">
        <v>0</v>
      </c>
      <c r="BC56">
        <v>0</v>
      </c>
      <c r="BD56" t="s">
        <v>199</v>
      </c>
      <c r="BE56" t="s">
        <v>199</v>
      </c>
      <c r="BF56">
        <v>0</v>
      </c>
      <c r="BG56">
        <v>0</v>
      </c>
      <c r="BH56" t="s">
        <v>200</v>
      </c>
      <c r="BI56">
        <v>13</v>
      </c>
      <c r="BJ56">
        <v>6167932</v>
      </c>
      <c r="BK56" t="s">
        <v>201</v>
      </c>
      <c r="BL56" t="s">
        <v>190</v>
      </c>
    </row>
    <row r="57" spans="1:64" x14ac:dyDescent="0.3">
      <c r="A57">
        <v>234</v>
      </c>
      <c r="B57" t="s">
        <v>186</v>
      </c>
      <c r="C57">
        <v>3</v>
      </c>
      <c r="D57">
        <v>6167932</v>
      </c>
      <c r="E57" t="s">
        <v>327</v>
      </c>
      <c r="F57" t="s">
        <v>188</v>
      </c>
      <c r="G57">
        <v>9996825</v>
      </c>
      <c r="H57" s="35">
        <v>46037</v>
      </c>
      <c r="I57" s="35">
        <v>46037</v>
      </c>
      <c r="J57">
        <v>2026</v>
      </c>
      <c r="K57">
        <v>1</v>
      </c>
      <c r="L57" t="s">
        <v>242</v>
      </c>
      <c r="M57">
        <v>1</v>
      </c>
      <c r="N57" t="s">
        <v>190</v>
      </c>
      <c r="O57" t="s">
        <v>191</v>
      </c>
      <c r="P57" t="s">
        <v>199</v>
      </c>
      <c r="Q57" t="s">
        <v>199</v>
      </c>
      <c r="R57">
        <v>3</v>
      </c>
      <c r="S57">
        <v>15</v>
      </c>
      <c r="T57">
        <v>36908</v>
      </c>
      <c r="U57">
        <v>3</v>
      </c>
      <c r="V57" t="s">
        <v>215</v>
      </c>
      <c r="W57" t="s">
        <v>67</v>
      </c>
      <c r="X57" t="s">
        <v>28</v>
      </c>
      <c r="Y57" t="s">
        <v>30</v>
      </c>
      <c r="Z57" t="s">
        <v>30</v>
      </c>
      <c r="AA57">
        <v>11</v>
      </c>
      <c r="AB57">
        <v>800089</v>
      </c>
      <c r="AC57" t="s">
        <v>295</v>
      </c>
      <c r="AD57" t="s">
        <v>296</v>
      </c>
      <c r="AE57">
        <v>1</v>
      </c>
      <c r="AF57">
        <v>8</v>
      </c>
      <c r="AG57">
        <v>345.79</v>
      </c>
      <c r="AH57">
        <v>0</v>
      </c>
      <c r="AI57">
        <v>0</v>
      </c>
      <c r="AJ57">
        <v>0</v>
      </c>
      <c r="AK57">
        <v>497.94</v>
      </c>
      <c r="AL57">
        <v>2766.32</v>
      </c>
      <c r="AM57">
        <v>3264</v>
      </c>
      <c r="AN57">
        <v>199</v>
      </c>
      <c r="AO57" t="s">
        <v>218</v>
      </c>
      <c r="AP57" t="s">
        <v>219</v>
      </c>
      <c r="AQ57">
        <v>10</v>
      </c>
      <c r="AR57">
        <v>105</v>
      </c>
      <c r="AS57" t="s">
        <v>85</v>
      </c>
      <c r="AT57">
        <v>677001</v>
      </c>
      <c r="AU57" t="s">
        <v>273</v>
      </c>
      <c r="AV57" t="s">
        <v>86</v>
      </c>
      <c r="AW57" t="s">
        <v>70</v>
      </c>
      <c r="AX57" t="s">
        <v>71</v>
      </c>
      <c r="AY57" t="s">
        <v>220</v>
      </c>
      <c r="AZ57" t="s">
        <v>221</v>
      </c>
      <c r="BA57" t="s">
        <v>328</v>
      </c>
      <c r="BB57">
        <v>0</v>
      </c>
      <c r="BC57">
        <v>0</v>
      </c>
      <c r="BD57" t="s">
        <v>199</v>
      </c>
      <c r="BE57" t="s">
        <v>199</v>
      </c>
      <c r="BF57">
        <v>0</v>
      </c>
      <c r="BG57">
        <v>0</v>
      </c>
      <c r="BH57" t="s">
        <v>200</v>
      </c>
      <c r="BI57">
        <v>13</v>
      </c>
      <c r="BJ57">
        <v>6167932</v>
      </c>
      <c r="BK57" t="s">
        <v>201</v>
      </c>
      <c r="BL57" t="s">
        <v>190</v>
      </c>
    </row>
    <row r="58" spans="1:64" x14ac:dyDescent="0.3">
      <c r="A58">
        <v>254</v>
      </c>
      <c r="B58" t="s">
        <v>186</v>
      </c>
      <c r="C58">
        <v>3</v>
      </c>
      <c r="D58">
        <v>6169368</v>
      </c>
      <c r="E58" t="s">
        <v>297</v>
      </c>
      <c r="F58" t="s">
        <v>188</v>
      </c>
      <c r="G58">
        <v>9998261</v>
      </c>
      <c r="H58" s="35">
        <v>46038</v>
      </c>
      <c r="I58" s="35">
        <v>46038</v>
      </c>
      <c r="J58">
        <v>2026</v>
      </c>
      <c r="K58">
        <v>1</v>
      </c>
      <c r="L58" t="s">
        <v>242</v>
      </c>
      <c r="M58">
        <v>1</v>
      </c>
      <c r="N58" t="s">
        <v>203</v>
      </c>
      <c r="O58" t="s">
        <v>191</v>
      </c>
      <c r="P58" t="s">
        <v>199</v>
      </c>
      <c r="Q58" t="s">
        <v>199</v>
      </c>
      <c r="R58">
        <v>3</v>
      </c>
      <c r="S58">
        <v>16</v>
      </c>
      <c r="T58">
        <v>5474</v>
      </c>
      <c r="U58">
        <v>3</v>
      </c>
      <c r="V58" t="s">
        <v>298</v>
      </c>
      <c r="W58" t="s">
        <v>54</v>
      </c>
      <c r="X58" t="s">
        <v>19</v>
      </c>
      <c r="Y58" t="s">
        <v>55</v>
      </c>
      <c r="Z58" t="s">
        <v>56</v>
      </c>
      <c r="AA58">
        <v>70</v>
      </c>
      <c r="AB58">
        <v>930025</v>
      </c>
      <c r="AC58" t="s">
        <v>306</v>
      </c>
      <c r="AD58" t="s">
        <v>307</v>
      </c>
      <c r="AE58">
        <v>0.16666666666666</v>
      </c>
      <c r="AF58">
        <v>6</v>
      </c>
      <c r="AG58">
        <v>58.16</v>
      </c>
      <c r="AH58">
        <v>0</v>
      </c>
      <c r="AI58">
        <v>0</v>
      </c>
      <c r="AJ58">
        <v>0</v>
      </c>
      <c r="AK58">
        <v>62.81</v>
      </c>
      <c r="AL58">
        <v>348.96</v>
      </c>
      <c r="AM58">
        <v>412</v>
      </c>
      <c r="AN58">
        <v>94</v>
      </c>
      <c r="AO58" t="s">
        <v>64</v>
      </c>
      <c r="AP58" t="s">
        <v>66</v>
      </c>
      <c r="AQ58">
        <v>10</v>
      </c>
      <c r="AR58">
        <v>209</v>
      </c>
      <c r="AS58" t="s">
        <v>88</v>
      </c>
      <c r="AT58">
        <v>0</v>
      </c>
      <c r="AU58" t="s">
        <v>199</v>
      </c>
      <c r="AV58" t="s">
        <v>82</v>
      </c>
      <c r="AW58" t="s">
        <v>50</v>
      </c>
      <c r="AX58" t="s">
        <v>51</v>
      </c>
      <c r="AY58" t="s">
        <v>65</v>
      </c>
      <c r="AZ58" t="s">
        <v>240</v>
      </c>
      <c r="BA58" t="s">
        <v>331</v>
      </c>
      <c r="BB58">
        <v>0</v>
      </c>
      <c r="BC58">
        <v>0</v>
      </c>
      <c r="BD58" t="s">
        <v>199</v>
      </c>
      <c r="BE58" t="s">
        <v>199</v>
      </c>
      <c r="BF58">
        <v>0</v>
      </c>
      <c r="BG58">
        <v>0</v>
      </c>
      <c r="BH58" t="s">
        <v>200</v>
      </c>
      <c r="BI58">
        <v>13</v>
      </c>
      <c r="BJ58">
        <v>6169368</v>
      </c>
      <c r="BK58" t="s">
        <v>201</v>
      </c>
      <c r="BL58" t="s">
        <v>190</v>
      </c>
    </row>
    <row r="59" spans="1:64" x14ac:dyDescent="0.3">
      <c r="A59">
        <v>254</v>
      </c>
      <c r="B59" t="s">
        <v>186</v>
      </c>
      <c r="C59">
        <v>3</v>
      </c>
      <c r="D59">
        <v>6169368</v>
      </c>
      <c r="E59" t="s">
        <v>297</v>
      </c>
      <c r="F59" t="s">
        <v>188</v>
      </c>
      <c r="G59">
        <v>9998261</v>
      </c>
      <c r="H59" s="35">
        <v>46038</v>
      </c>
      <c r="I59" s="35">
        <v>46038</v>
      </c>
      <c r="J59">
        <v>2026</v>
      </c>
      <c r="K59">
        <v>1</v>
      </c>
      <c r="L59" t="s">
        <v>242</v>
      </c>
      <c r="M59">
        <v>1</v>
      </c>
      <c r="N59" t="s">
        <v>203</v>
      </c>
      <c r="O59" t="s">
        <v>191</v>
      </c>
      <c r="P59" t="s">
        <v>199</v>
      </c>
      <c r="Q59" t="s">
        <v>199</v>
      </c>
      <c r="R59">
        <v>3</v>
      </c>
      <c r="S59">
        <v>16</v>
      </c>
      <c r="T59">
        <v>5474</v>
      </c>
      <c r="U59">
        <v>3</v>
      </c>
      <c r="V59" t="s">
        <v>298</v>
      </c>
      <c r="W59" t="s">
        <v>54</v>
      </c>
      <c r="X59" t="s">
        <v>19</v>
      </c>
      <c r="Y59" t="s">
        <v>55</v>
      </c>
      <c r="Z59" t="s">
        <v>56</v>
      </c>
      <c r="AA59">
        <v>70</v>
      </c>
      <c r="AB59">
        <v>930023</v>
      </c>
      <c r="AC59" t="s">
        <v>332</v>
      </c>
      <c r="AD59" t="s">
        <v>333</v>
      </c>
      <c r="AE59">
        <v>0.25</v>
      </c>
      <c r="AF59">
        <v>5</v>
      </c>
      <c r="AG59">
        <v>141.25</v>
      </c>
      <c r="AH59">
        <v>0</v>
      </c>
      <c r="AI59">
        <v>0</v>
      </c>
      <c r="AJ59">
        <v>0</v>
      </c>
      <c r="AK59">
        <v>127.13</v>
      </c>
      <c r="AL59">
        <v>706.25</v>
      </c>
      <c r="AM59">
        <v>833</v>
      </c>
      <c r="AN59">
        <v>94</v>
      </c>
      <c r="AO59" t="s">
        <v>64</v>
      </c>
      <c r="AP59" t="s">
        <v>66</v>
      </c>
      <c r="AQ59">
        <v>10</v>
      </c>
      <c r="AR59">
        <v>208</v>
      </c>
      <c r="AS59" t="s">
        <v>92</v>
      </c>
      <c r="AT59">
        <v>0</v>
      </c>
      <c r="AU59" t="s">
        <v>199</v>
      </c>
      <c r="AV59" t="s">
        <v>82</v>
      </c>
      <c r="AW59" t="s">
        <v>50</v>
      </c>
      <c r="AX59" t="s">
        <v>51</v>
      </c>
      <c r="AY59" t="s">
        <v>65</v>
      </c>
      <c r="AZ59" t="s">
        <v>240</v>
      </c>
      <c r="BA59" t="s">
        <v>331</v>
      </c>
      <c r="BB59">
        <v>0</v>
      </c>
      <c r="BC59">
        <v>0</v>
      </c>
      <c r="BD59" t="s">
        <v>199</v>
      </c>
      <c r="BE59" t="s">
        <v>199</v>
      </c>
      <c r="BF59">
        <v>0</v>
      </c>
      <c r="BG59">
        <v>0</v>
      </c>
      <c r="BH59" t="s">
        <v>200</v>
      </c>
      <c r="BI59">
        <v>13</v>
      </c>
      <c r="BJ59">
        <v>6169368</v>
      </c>
      <c r="BK59" t="s">
        <v>201</v>
      </c>
      <c r="BL59" t="s">
        <v>190</v>
      </c>
    </row>
    <row r="60" spans="1:64" x14ac:dyDescent="0.3">
      <c r="A60">
        <v>109</v>
      </c>
      <c r="B60" t="s">
        <v>186</v>
      </c>
      <c r="C60">
        <v>3</v>
      </c>
      <c r="D60">
        <v>6174901</v>
      </c>
      <c r="E60" t="s">
        <v>187</v>
      </c>
      <c r="F60" t="s">
        <v>188</v>
      </c>
      <c r="G60">
        <v>10003796</v>
      </c>
      <c r="H60" s="35">
        <v>46042</v>
      </c>
      <c r="I60" s="35">
        <v>46042</v>
      </c>
      <c r="J60">
        <v>2026</v>
      </c>
      <c r="K60">
        <v>1</v>
      </c>
      <c r="L60" t="s">
        <v>242</v>
      </c>
      <c r="M60">
        <v>1</v>
      </c>
      <c r="N60" t="s">
        <v>190</v>
      </c>
      <c r="O60" t="s">
        <v>191</v>
      </c>
      <c r="P60" t="s">
        <v>199</v>
      </c>
      <c r="Q60" t="s">
        <v>199</v>
      </c>
      <c r="R60">
        <v>4</v>
      </c>
      <c r="S60">
        <v>20</v>
      </c>
      <c r="T60">
        <v>19291</v>
      </c>
      <c r="U60">
        <v>3</v>
      </c>
      <c r="V60" t="s">
        <v>261</v>
      </c>
      <c r="W60" t="s">
        <v>35</v>
      </c>
      <c r="X60" t="s">
        <v>19</v>
      </c>
      <c r="Y60" t="s">
        <v>30</v>
      </c>
      <c r="Z60" t="s">
        <v>30</v>
      </c>
      <c r="AA60">
        <v>8</v>
      </c>
      <c r="AB60">
        <v>103001</v>
      </c>
      <c r="AC60" t="s">
        <v>286</v>
      </c>
      <c r="AD60" t="s">
        <v>287</v>
      </c>
      <c r="AE60">
        <v>9.6666666666666607</v>
      </c>
      <c r="AF60">
        <v>464</v>
      </c>
      <c r="AG60">
        <v>17.68</v>
      </c>
      <c r="AH60">
        <v>0</v>
      </c>
      <c r="AI60">
        <v>0</v>
      </c>
      <c r="AJ60">
        <v>0</v>
      </c>
      <c r="AK60">
        <v>1476.63</v>
      </c>
      <c r="AL60">
        <v>8203.52</v>
      </c>
      <c r="AM60">
        <v>9680</v>
      </c>
      <c r="AN60">
        <v>4</v>
      </c>
      <c r="AO60" t="s">
        <v>264</v>
      </c>
      <c r="AP60" t="s">
        <v>265</v>
      </c>
      <c r="AQ60">
        <v>10</v>
      </c>
      <c r="AR60">
        <v>107</v>
      </c>
      <c r="AS60" t="s">
        <v>96</v>
      </c>
      <c r="AT60">
        <v>6770651</v>
      </c>
      <c r="AU60" t="s">
        <v>288</v>
      </c>
      <c r="AV60" t="s">
        <v>86</v>
      </c>
      <c r="AW60" t="s">
        <v>23</v>
      </c>
      <c r="AX60" t="s">
        <v>24</v>
      </c>
      <c r="AY60" t="s">
        <v>267</v>
      </c>
      <c r="AZ60" t="s">
        <v>197</v>
      </c>
      <c r="BA60" t="s">
        <v>334</v>
      </c>
      <c r="BB60">
        <v>0</v>
      </c>
      <c r="BC60">
        <v>0</v>
      </c>
      <c r="BD60" t="s">
        <v>199</v>
      </c>
      <c r="BE60" t="s">
        <v>199</v>
      </c>
      <c r="BF60">
        <v>0</v>
      </c>
      <c r="BG60">
        <v>0</v>
      </c>
      <c r="BH60" t="s">
        <v>200</v>
      </c>
      <c r="BI60">
        <v>13</v>
      </c>
      <c r="BJ60">
        <v>6174901</v>
      </c>
      <c r="BK60" t="s">
        <v>201</v>
      </c>
      <c r="BL60" t="s">
        <v>190</v>
      </c>
    </row>
    <row r="61" spans="1:64" x14ac:dyDescent="0.3">
      <c r="A61">
        <v>109</v>
      </c>
      <c r="B61" t="s">
        <v>186</v>
      </c>
      <c r="C61">
        <v>3</v>
      </c>
      <c r="D61">
        <v>6174901</v>
      </c>
      <c r="E61" t="s">
        <v>187</v>
      </c>
      <c r="F61" t="s">
        <v>188</v>
      </c>
      <c r="G61">
        <v>10003796</v>
      </c>
      <c r="H61" s="35">
        <v>46042</v>
      </c>
      <c r="I61" s="35">
        <v>46042</v>
      </c>
      <c r="J61">
        <v>2026</v>
      </c>
      <c r="K61">
        <v>1</v>
      </c>
      <c r="L61" t="s">
        <v>242</v>
      </c>
      <c r="M61">
        <v>1</v>
      </c>
      <c r="N61" t="s">
        <v>190</v>
      </c>
      <c r="O61" t="s">
        <v>191</v>
      </c>
      <c r="P61" t="s">
        <v>199</v>
      </c>
      <c r="Q61" t="s">
        <v>199</v>
      </c>
      <c r="R61">
        <v>4</v>
      </c>
      <c r="S61">
        <v>20</v>
      </c>
      <c r="T61">
        <v>19291</v>
      </c>
      <c r="U61">
        <v>3</v>
      </c>
      <c r="V61" t="s">
        <v>261</v>
      </c>
      <c r="W61" t="s">
        <v>35</v>
      </c>
      <c r="X61" t="s">
        <v>19</v>
      </c>
      <c r="Y61" t="s">
        <v>30</v>
      </c>
      <c r="Z61" t="s">
        <v>30</v>
      </c>
      <c r="AA61">
        <v>8</v>
      </c>
      <c r="AB61">
        <v>103113</v>
      </c>
      <c r="AC61" t="s">
        <v>290</v>
      </c>
      <c r="AD61" t="s">
        <v>291</v>
      </c>
      <c r="AE61">
        <v>8</v>
      </c>
      <c r="AF61">
        <v>8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4</v>
      </c>
      <c r="AO61" t="s">
        <v>264</v>
      </c>
      <c r="AP61" t="s">
        <v>265</v>
      </c>
      <c r="AQ61">
        <v>10</v>
      </c>
      <c r="AR61">
        <v>107</v>
      </c>
      <c r="AS61" t="s">
        <v>96</v>
      </c>
      <c r="AT61">
        <v>6770651</v>
      </c>
      <c r="AU61" t="s">
        <v>288</v>
      </c>
      <c r="AV61" t="s">
        <v>86</v>
      </c>
      <c r="AW61" t="s">
        <v>23</v>
      </c>
      <c r="AX61" t="s">
        <v>24</v>
      </c>
      <c r="AY61" t="s">
        <v>267</v>
      </c>
      <c r="AZ61" t="s">
        <v>197</v>
      </c>
      <c r="BA61" t="s">
        <v>334</v>
      </c>
      <c r="BB61">
        <v>0</v>
      </c>
      <c r="BC61">
        <v>0</v>
      </c>
      <c r="BD61" t="s">
        <v>199</v>
      </c>
      <c r="BE61" t="s">
        <v>199</v>
      </c>
      <c r="BF61">
        <v>0</v>
      </c>
      <c r="BG61">
        <v>0</v>
      </c>
      <c r="BH61" t="s">
        <v>200</v>
      </c>
      <c r="BI61">
        <v>13</v>
      </c>
      <c r="BJ61">
        <v>6174901</v>
      </c>
      <c r="BK61" t="s">
        <v>201</v>
      </c>
      <c r="BL61" t="s">
        <v>190</v>
      </c>
    </row>
    <row r="62" spans="1:64" x14ac:dyDescent="0.3">
      <c r="A62">
        <v>242</v>
      </c>
      <c r="B62" t="s">
        <v>186</v>
      </c>
      <c r="C62">
        <v>3</v>
      </c>
      <c r="D62">
        <v>6177825</v>
      </c>
      <c r="E62" t="s">
        <v>275</v>
      </c>
      <c r="F62" t="s">
        <v>188</v>
      </c>
      <c r="G62">
        <v>10006723</v>
      </c>
      <c r="H62" s="35">
        <v>46044</v>
      </c>
      <c r="I62" s="35">
        <v>46044</v>
      </c>
      <c r="J62">
        <v>2026</v>
      </c>
      <c r="K62">
        <v>1</v>
      </c>
      <c r="L62" t="s">
        <v>242</v>
      </c>
      <c r="M62">
        <v>1</v>
      </c>
      <c r="N62" t="s">
        <v>190</v>
      </c>
      <c r="O62" t="s">
        <v>191</v>
      </c>
      <c r="P62" t="s">
        <v>199</v>
      </c>
      <c r="Q62" t="s">
        <v>199</v>
      </c>
      <c r="R62">
        <v>4</v>
      </c>
      <c r="S62">
        <v>22</v>
      </c>
      <c r="T62">
        <v>37594</v>
      </c>
      <c r="U62">
        <v>3</v>
      </c>
      <c r="V62" t="s">
        <v>234</v>
      </c>
      <c r="W62" t="s">
        <v>47</v>
      </c>
      <c r="X62" t="s">
        <v>19</v>
      </c>
      <c r="Y62" t="s">
        <v>30</v>
      </c>
      <c r="Z62" t="s">
        <v>30</v>
      </c>
      <c r="AA62">
        <v>72</v>
      </c>
      <c r="AB62">
        <v>621049</v>
      </c>
      <c r="AC62" t="s">
        <v>335</v>
      </c>
      <c r="AD62" t="s">
        <v>336</v>
      </c>
      <c r="AE62">
        <v>0.33333333333332998</v>
      </c>
      <c r="AF62">
        <v>2</v>
      </c>
      <c r="AG62">
        <v>148.9</v>
      </c>
      <c r="AH62">
        <v>0</v>
      </c>
      <c r="AI62">
        <v>0</v>
      </c>
      <c r="AJ62">
        <v>0</v>
      </c>
      <c r="AK62">
        <v>53.6</v>
      </c>
      <c r="AL62">
        <v>297.8</v>
      </c>
      <c r="AM62">
        <v>351</v>
      </c>
      <c r="AN62">
        <v>95</v>
      </c>
      <c r="AO62" t="s">
        <v>237</v>
      </c>
      <c r="AP62" t="s">
        <v>238</v>
      </c>
      <c r="AQ62">
        <v>10</v>
      </c>
      <c r="AR62">
        <v>278</v>
      </c>
      <c r="AS62" t="s">
        <v>102</v>
      </c>
      <c r="AT62">
        <v>73103</v>
      </c>
      <c r="AU62" t="s">
        <v>337</v>
      </c>
      <c r="AV62" t="s">
        <v>91</v>
      </c>
      <c r="AW62" t="s">
        <v>50</v>
      </c>
      <c r="AX62" t="s">
        <v>51</v>
      </c>
      <c r="AY62" t="s">
        <v>239</v>
      </c>
      <c r="AZ62" t="s">
        <v>240</v>
      </c>
      <c r="BA62" t="s">
        <v>338</v>
      </c>
      <c r="BB62">
        <v>0</v>
      </c>
      <c r="BC62">
        <v>0</v>
      </c>
      <c r="BD62" t="s">
        <v>199</v>
      </c>
      <c r="BE62" t="s">
        <v>199</v>
      </c>
      <c r="BF62">
        <v>0</v>
      </c>
      <c r="BG62">
        <v>0</v>
      </c>
      <c r="BH62" t="s">
        <v>200</v>
      </c>
      <c r="BI62">
        <v>13</v>
      </c>
      <c r="BJ62">
        <v>6177825</v>
      </c>
      <c r="BK62" t="s">
        <v>201</v>
      </c>
      <c r="BL62" t="s">
        <v>190</v>
      </c>
    </row>
    <row r="63" spans="1:64" x14ac:dyDescent="0.3">
      <c r="A63">
        <v>242</v>
      </c>
      <c r="B63" t="s">
        <v>186</v>
      </c>
      <c r="C63">
        <v>3</v>
      </c>
      <c r="D63">
        <v>6177825</v>
      </c>
      <c r="E63" t="s">
        <v>275</v>
      </c>
      <c r="F63" t="s">
        <v>188</v>
      </c>
      <c r="G63">
        <v>10006723</v>
      </c>
      <c r="H63" s="35">
        <v>46044</v>
      </c>
      <c r="I63" s="35">
        <v>46044</v>
      </c>
      <c r="J63">
        <v>2026</v>
      </c>
      <c r="K63">
        <v>1</v>
      </c>
      <c r="L63" t="s">
        <v>242</v>
      </c>
      <c r="M63">
        <v>1</v>
      </c>
      <c r="N63" t="s">
        <v>190</v>
      </c>
      <c r="O63" t="s">
        <v>191</v>
      </c>
      <c r="P63" t="s">
        <v>199</v>
      </c>
      <c r="Q63" t="s">
        <v>199</v>
      </c>
      <c r="R63">
        <v>4</v>
      </c>
      <c r="S63">
        <v>22</v>
      </c>
      <c r="T63">
        <v>37594</v>
      </c>
      <c r="U63">
        <v>3</v>
      </c>
      <c r="V63" t="s">
        <v>234</v>
      </c>
      <c r="W63" t="s">
        <v>47</v>
      </c>
      <c r="X63" t="s">
        <v>19</v>
      </c>
      <c r="Y63" t="s">
        <v>30</v>
      </c>
      <c r="Z63" t="s">
        <v>30</v>
      </c>
      <c r="AA63">
        <v>72</v>
      </c>
      <c r="AB63">
        <v>621050</v>
      </c>
      <c r="AC63" t="s">
        <v>339</v>
      </c>
      <c r="AD63" t="s">
        <v>340</v>
      </c>
      <c r="AE63">
        <v>0.33333333333332998</v>
      </c>
      <c r="AF63">
        <v>2</v>
      </c>
      <c r="AG63">
        <v>148.9</v>
      </c>
      <c r="AH63">
        <v>0</v>
      </c>
      <c r="AI63">
        <v>0</v>
      </c>
      <c r="AJ63">
        <v>0</v>
      </c>
      <c r="AK63">
        <v>53.6</v>
      </c>
      <c r="AL63">
        <v>297.8</v>
      </c>
      <c r="AM63">
        <v>351</v>
      </c>
      <c r="AN63">
        <v>95</v>
      </c>
      <c r="AO63" t="s">
        <v>237</v>
      </c>
      <c r="AP63" t="s">
        <v>238</v>
      </c>
      <c r="AQ63">
        <v>10</v>
      </c>
      <c r="AR63">
        <v>278</v>
      </c>
      <c r="AS63" t="s">
        <v>102</v>
      </c>
      <c r="AT63">
        <v>73103</v>
      </c>
      <c r="AU63" t="s">
        <v>337</v>
      </c>
      <c r="AV63" t="s">
        <v>91</v>
      </c>
      <c r="AW63" t="s">
        <v>50</v>
      </c>
      <c r="AX63" t="s">
        <v>51</v>
      </c>
      <c r="AY63" t="s">
        <v>239</v>
      </c>
      <c r="AZ63" t="s">
        <v>240</v>
      </c>
      <c r="BA63" t="s">
        <v>338</v>
      </c>
      <c r="BB63">
        <v>0</v>
      </c>
      <c r="BC63">
        <v>0</v>
      </c>
      <c r="BD63" t="s">
        <v>199</v>
      </c>
      <c r="BE63" t="s">
        <v>199</v>
      </c>
      <c r="BF63">
        <v>0</v>
      </c>
      <c r="BG63">
        <v>0</v>
      </c>
      <c r="BH63" t="s">
        <v>200</v>
      </c>
      <c r="BI63">
        <v>13</v>
      </c>
      <c r="BJ63">
        <v>6177825</v>
      </c>
      <c r="BK63" t="s">
        <v>201</v>
      </c>
      <c r="BL63" t="s">
        <v>190</v>
      </c>
    </row>
    <row r="64" spans="1:64" x14ac:dyDescent="0.3">
      <c r="A64">
        <v>242</v>
      </c>
      <c r="B64" t="s">
        <v>186</v>
      </c>
      <c r="C64">
        <v>3</v>
      </c>
      <c r="D64">
        <v>6177825</v>
      </c>
      <c r="E64" t="s">
        <v>275</v>
      </c>
      <c r="F64" t="s">
        <v>188</v>
      </c>
      <c r="G64">
        <v>10006723</v>
      </c>
      <c r="H64" s="35">
        <v>46044</v>
      </c>
      <c r="I64" s="35">
        <v>46044</v>
      </c>
      <c r="J64">
        <v>2026</v>
      </c>
      <c r="K64">
        <v>1</v>
      </c>
      <c r="L64" t="s">
        <v>242</v>
      </c>
      <c r="M64">
        <v>1</v>
      </c>
      <c r="N64" t="s">
        <v>190</v>
      </c>
      <c r="O64" t="s">
        <v>191</v>
      </c>
      <c r="P64" t="s">
        <v>199</v>
      </c>
      <c r="Q64" t="s">
        <v>199</v>
      </c>
      <c r="R64">
        <v>4</v>
      </c>
      <c r="S64">
        <v>22</v>
      </c>
      <c r="T64">
        <v>37594</v>
      </c>
      <c r="U64">
        <v>3</v>
      </c>
      <c r="V64" t="s">
        <v>234</v>
      </c>
      <c r="W64" t="s">
        <v>47</v>
      </c>
      <c r="X64" t="s">
        <v>19</v>
      </c>
      <c r="Y64" t="s">
        <v>30</v>
      </c>
      <c r="Z64" t="s">
        <v>30</v>
      </c>
      <c r="AA64">
        <v>72</v>
      </c>
      <c r="AB64">
        <v>621053</v>
      </c>
      <c r="AC64" t="s">
        <v>341</v>
      </c>
      <c r="AD64" t="s">
        <v>342</v>
      </c>
      <c r="AE64">
        <v>0.33333333333332998</v>
      </c>
      <c r="AF64">
        <v>2</v>
      </c>
      <c r="AG64">
        <v>148.9</v>
      </c>
      <c r="AH64">
        <v>0</v>
      </c>
      <c r="AI64">
        <v>0</v>
      </c>
      <c r="AJ64">
        <v>0</v>
      </c>
      <c r="AK64">
        <v>53.6</v>
      </c>
      <c r="AL64">
        <v>297.8</v>
      </c>
      <c r="AM64">
        <v>351</v>
      </c>
      <c r="AN64">
        <v>95</v>
      </c>
      <c r="AO64" t="s">
        <v>237</v>
      </c>
      <c r="AP64" t="s">
        <v>238</v>
      </c>
      <c r="AQ64">
        <v>10</v>
      </c>
      <c r="AR64">
        <v>278</v>
      </c>
      <c r="AS64" t="s">
        <v>102</v>
      </c>
      <c r="AT64">
        <v>73103</v>
      </c>
      <c r="AU64" t="s">
        <v>337</v>
      </c>
      <c r="AV64" t="s">
        <v>91</v>
      </c>
      <c r="AW64" t="s">
        <v>50</v>
      </c>
      <c r="AX64" t="s">
        <v>51</v>
      </c>
      <c r="AY64" t="s">
        <v>239</v>
      </c>
      <c r="AZ64" t="s">
        <v>240</v>
      </c>
      <c r="BA64" t="s">
        <v>338</v>
      </c>
      <c r="BB64">
        <v>0</v>
      </c>
      <c r="BC64">
        <v>0</v>
      </c>
      <c r="BD64" t="s">
        <v>199</v>
      </c>
      <c r="BE64" t="s">
        <v>199</v>
      </c>
      <c r="BF64">
        <v>0</v>
      </c>
      <c r="BG64">
        <v>0</v>
      </c>
      <c r="BH64" t="s">
        <v>200</v>
      </c>
      <c r="BI64">
        <v>13</v>
      </c>
      <c r="BJ64">
        <v>6177825</v>
      </c>
      <c r="BK64" t="s">
        <v>201</v>
      </c>
      <c r="BL64" t="s">
        <v>190</v>
      </c>
    </row>
    <row r="65" spans="1:64" x14ac:dyDescent="0.3">
      <c r="A65">
        <v>242</v>
      </c>
      <c r="B65" t="s">
        <v>186</v>
      </c>
      <c r="C65">
        <v>3</v>
      </c>
      <c r="D65">
        <v>6177825</v>
      </c>
      <c r="E65" t="s">
        <v>275</v>
      </c>
      <c r="F65" t="s">
        <v>188</v>
      </c>
      <c r="G65">
        <v>10006723</v>
      </c>
      <c r="H65" s="35">
        <v>46044</v>
      </c>
      <c r="I65" s="35">
        <v>46044</v>
      </c>
      <c r="J65">
        <v>2026</v>
      </c>
      <c r="K65">
        <v>1</v>
      </c>
      <c r="L65" t="s">
        <v>242</v>
      </c>
      <c r="M65">
        <v>1</v>
      </c>
      <c r="N65" t="s">
        <v>190</v>
      </c>
      <c r="O65" t="s">
        <v>191</v>
      </c>
      <c r="P65" t="s">
        <v>199</v>
      </c>
      <c r="Q65" t="s">
        <v>199</v>
      </c>
      <c r="R65">
        <v>4</v>
      </c>
      <c r="S65">
        <v>22</v>
      </c>
      <c r="T65">
        <v>37594</v>
      </c>
      <c r="U65">
        <v>3</v>
      </c>
      <c r="V65" t="s">
        <v>234</v>
      </c>
      <c r="W65" t="s">
        <v>47</v>
      </c>
      <c r="X65" t="s">
        <v>19</v>
      </c>
      <c r="Y65" t="s">
        <v>30</v>
      </c>
      <c r="Z65" t="s">
        <v>30</v>
      </c>
      <c r="AA65">
        <v>72</v>
      </c>
      <c r="AB65">
        <v>621054</v>
      </c>
      <c r="AC65" t="s">
        <v>343</v>
      </c>
      <c r="AD65" t="s">
        <v>344</v>
      </c>
      <c r="AE65">
        <v>0.33333333333332998</v>
      </c>
      <c r="AF65">
        <v>2</v>
      </c>
      <c r="AG65">
        <v>148.9</v>
      </c>
      <c r="AH65">
        <v>0</v>
      </c>
      <c r="AI65">
        <v>0</v>
      </c>
      <c r="AJ65">
        <v>0</v>
      </c>
      <c r="AK65">
        <v>53.6</v>
      </c>
      <c r="AL65">
        <v>297.8</v>
      </c>
      <c r="AM65">
        <v>351</v>
      </c>
      <c r="AN65">
        <v>95</v>
      </c>
      <c r="AO65" t="s">
        <v>237</v>
      </c>
      <c r="AP65" t="s">
        <v>238</v>
      </c>
      <c r="AQ65">
        <v>10</v>
      </c>
      <c r="AR65">
        <v>278</v>
      </c>
      <c r="AS65" t="s">
        <v>102</v>
      </c>
      <c r="AT65">
        <v>73103</v>
      </c>
      <c r="AU65" t="s">
        <v>337</v>
      </c>
      <c r="AV65" t="s">
        <v>91</v>
      </c>
      <c r="AW65" t="s">
        <v>50</v>
      </c>
      <c r="AX65" t="s">
        <v>51</v>
      </c>
      <c r="AY65" t="s">
        <v>239</v>
      </c>
      <c r="AZ65" t="s">
        <v>240</v>
      </c>
      <c r="BA65" t="s">
        <v>338</v>
      </c>
      <c r="BB65">
        <v>0</v>
      </c>
      <c r="BC65">
        <v>0</v>
      </c>
      <c r="BD65" t="s">
        <v>199</v>
      </c>
      <c r="BE65" t="s">
        <v>199</v>
      </c>
      <c r="BF65">
        <v>0</v>
      </c>
      <c r="BG65">
        <v>0</v>
      </c>
      <c r="BH65" t="s">
        <v>200</v>
      </c>
      <c r="BI65">
        <v>13</v>
      </c>
      <c r="BJ65">
        <v>6177825</v>
      </c>
      <c r="BK65" t="s">
        <v>201</v>
      </c>
      <c r="BL65" t="s">
        <v>190</v>
      </c>
    </row>
    <row r="66" spans="1:64" x14ac:dyDescent="0.3">
      <c r="A66">
        <v>242</v>
      </c>
      <c r="B66" t="s">
        <v>186</v>
      </c>
      <c r="C66">
        <v>3</v>
      </c>
      <c r="D66">
        <v>6177825</v>
      </c>
      <c r="E66" t="s">
        <v>275</v>
      </c>
      <c r="F66" t="s">
        <v>188</v>
      </c>
      <c r="G66">
        <v>10006723</v>
      </c>
      <c r="H66" s="35">
        <v>46044</v>
      </c>
      <c r="I66" s="35">
        <v>46044</v>
      </c>
      <c r="J66">
        <v>2026</v>
      </c>
      <c r="K66">
        <v>1</v>
      </c>
      <c r="L66" t="s">
        <v>242</v>
      </c>
      <c r="M66">
        <v>1</v>
      </c>
      <c r="N66" t="s">
        <v>190</v>
      </c>
      <c r="O66" t="s">
        <v>191</v>
      </c>
      <c r="P66" t="s">
        <v>199</v>
      </c>
      <c r="Q66" t="s">
        <v>199</v>
      </c>
      <c r="R66">
        <v>4</v>
      </c>
      <c r="S66">
        <v>22</v>
      </c>
      <c r="T66">
        <v>37594</v>
      </c>
      <c r="U66">
        <v>3</v>
      </c>
      <c r="V66" t="s">
        <v>234</v>
      </c>
      <c r="W66" t="s">
        <v>47</v>
      </c>
      <c r="X66" t="s">
        <v>19</v>
      </c>
      <c r="Y66" t="s">
        <v>30</v>
      </c>
      <c r="Z66" t="s">
        <v>30</v>
      </c>
      <c r="AA66">
        <v>72</v>
      </c>
      <c r="AB66">
        <v>621051</v>
      </c>
      <c r="AC66" t="s">
        <v>345</v>
      </c>
      <c r="AD66" t="s">
        <v>346</v>
      </c>
      <c r="AE66">
        <v>0.33333333333332998</v>
      </c>
      <c r="AF66">
        <v>2</v>
      </c>
      <c r="AG66">
        <v>148.9</v>
      </c>
      <c r="AH66">
        <v>0</v>
      </c>
      <c r="AI66">
        <v>0</v>
      </c>
      <c r="AJ66">
        <v>0</v>
      </c>
      <c r="AK66">
        <v>53.6</v>
      </c>
      <c r="AL66">
        <v>297.8</v>
      </c>
      <c r="AM66">
        <v>351</v>
      </c>
      <c r="AN66">
        <v>95</v>
      </c>
      <c r="AO66" t="s">
        <v>237</v>
      </c>
      <c r="AP66" t="s">
        <v>238</v>
      </c>
      <c r="AQ66">
        <v>10</v>
      </c>
      <c r="AR66">
        <v>278</v>
      </c>
      <c r="AS66" t="s">
        <v>102</v>
      </c>
      <c r="AT66">
        <v>73103</v>
      </c>
      <c r="AU66" t="s">
        <v>337</v>
      </c>
      <c r="AV66" t="s">
        <v>91</v>
      </c>
      <c r="AW66" t="s">
        <v>50</v>
      </c>
      <c r="AX66" t="s">
        <v>51</v>
      </c>
      <c r="AY66" t="s">
        <v>239</v>
      </c>
      <c r="AZ66" t="s">
        <v>240</v>
      </c>
      <c r="BA66" t="s">
        <v>338</v>
      </c>
      <c r="BB66">
        <v>0</v>
      </c>
      <c r="BC66">
        <v>0</v>
      </c>
      <c r="BD66" t="s">
        <v>199</v>
      </c>
      <c r="BE66" t="s">
        <v>199</v>
      </c>
      <c r="BF66">
        <v>0</v>
      </c>
      <c r="BG66">
        <v>0</v>
      </c>
      <c r="BH66" t="s">
        <v>200</v>
      </c>
      <c r="BI66">
        <v>13</v>
      </c>
      <c r="BJ66">
        <v>6177825</v>
      </c>
      <c r="BK66" t="s">
        <v>201</v>
      </c>
      <c r="BL66" t="s">
        <v>190</v>
      </c>
    </row>
    <row r="67" spans="1:64" x14ac:dyDescent="0.3">
      <c r="A67">
        <v>242</v>
      </c>
      <c r="B67" t="s">
        <v>186</v>
      </c>
      <c r="C67">
        <v>3</v>
      </c>
      <c r="D67">
        <v>6177825</v>
      </c>
      <c r="E67" t="s">
        <v>275</v>
      </c>
      <c r="F67" t="s">
        <v>188</v>
      </c>
      <c r="G67">
        <v>10006723</v>
      </c>
      <c r="H67" s="35">
        <v>46044</v>
      </c>
      <c r="I67" s="35">
        <v>46044</v>
      </c>
      <c r="J67">
        <v>2026</v>
      </c>
      <c r="K67">
        <v>1</v>
      </c>
      <c r="L67" t="s">
        <v>242</v>
      </c>
      <c r="M67">
        <v>1</v>
      </c>
      <c r="N67" t="s">
        <v>190</v>
      </c>
      <c r="O67" t="s">
        <v>191</v>
      </c>
      <c r="P67" t="s">
        <v>199</v>
      </c>
      <c r="Q67" t="s">
        <v>199</v>
      </c>
      <c r="R67">
        <v>4</v>
      </c>
      <c r="S67">
        <v>22</v>
      </c>
      <c r="T67">
        <v>37594</v>
      </c>
      <c r="U67">
        <v>3</v>
      </c>
      <c r="V67" t="s">
        <v>234</v>
      </c>
      <c r="W67" t="s">
        <v>47</v>
      </c>
      <c r="X67" t="s">
        <v>19</v>
      </c>
      <c r="Y67" t="s">
        <v>30</v>
      </c>
      <c r="Z67" t="s">
        <v>30</v>
      </c>
      <c r="AA67">
        <v>72</v>
      </c>
      <c r="AB67">
        <v>621052</v>
      </c>
      <c r="AC67" t="s">
        <v>347</v>
      </c>
      <c r="AD67" t="s">
        <v>348</v>
      </c>
      <c r="AE67">
        <v>0.33333333333332998</v>
      </c>
      <c r="AF67">
        <v>2</v>
      </c>
      <c r="AG67">
        <v>148.9</v>
      </c>
      <c r="AH67">
        <v>0</v>
      </c>
      <c r="AI67">
        <v>0</v>
      </c>
      <c r="AJ67">
        <v>0</v>
      </c>
      <c r="AK67">
        <v>53.6</v>
      </c>
      <c r="AL67">
        <v>297.8</v>
      </c>
      <c r="AM67">
        <v>351</v>
      </c>
      <c r="AN67">
        <v>95</v>
      </c>
      <c r="AO67" t="s">
        <v>237</v>
      </c>
      <c r="AP67" t="s">
        <v>238</v>
      </c>
      <c r="AQ67">
        <v>10</v>
      </c>
      <c r="AR67">
        <v>278</v>
      </c>
      <c r="AS67" t="s">
        <v>102</v>
      </c>
      <c r="AT67">
        <v>73103</v>
      </c>
      <c r="AU67" t="s">
        <v>337</v>
      </c>
      <c r="AV67" t="s">
        <v>91</v>
      </c>
      <c r="AW67" t="s">
        <v>50</v>
      </c>
      <c r="AX67" t="s">
        <v>51</v>
      </c>
      <c r="AY67" t="s">
        <v>239</v>
      </c>
      <c r="AZ67" t="s">
        <v>240</v>
      </c>
      <c r="BA67" t="s">
        <v>338</v>
      </c>
      <c r="BB67">
        <v>0</v>
      </c>
      <c r="BC67">
        <v>0</v>
      </c>
      <c r="BD67" t="s">
        <v>199</v>
      </c>
      <c r="BE67" t="s">
        <v>199</v>
      </c>
      <c r="BF67">
        <v>0</v>
      </c>
      <c r="BG67">
        <v>0</v>
      </c>
      <c r="BH67" t="s">
        <v>200</v>
      </c>
      <c r="BI67">
        <v>13</v>
      </c>
      <c r="BJ67">
        <v>6177825</v>
      </c>
      <c r="BK67" t="s">
        <v>201</v>
      </c>
      <c r="BL67" t="s">
        <v>190</v>
      </c>
    </row>
    <row r="68" spans="1:64" x14ac:dyDescent="0.3">
      <c r="A68">
        <v>242</v>
      </c>
      <c r="B68" t="s">
        <v>186</v>
      </c>
      <c r="C68">
        <v>3</v>
      </c>
      <c r="D68">
        <v>6177825</v>
      </c>
      <c r="E68" t="s">
        <v>275</v>
      </c>
      <c r="F68" t="s">
        <v>188</v>
      </c>
      <c r="G68">
        <v>10006723</v>
      </c>
      <c r="H68" s="35">
        <v>46044</v>
      </c>
      <c r="I68" s="35">
        <v>46044</v>
      </c>
      <c r="J68">
        <v>2026</v>
      </c>
      <c r="K68">
        <v>1</v>
      </c>
      <c r="L68" t="s">
        <v>242</v>
      </c>
      <c r="M68">
        <v>1</v>
      </c>
      <c r="N68" t="s">
        <v>203</v>
      </c>
      <c r="O68" t="s">
        <v>191</v>
      </c>
      <c r="P68" t="s">
        <v>199</v>
      </c>
      <c r="Q68" t="s">
        <v>199</v>
      </c>
      <c r="R68">
        <v>4</v>
      </c>
      <c r="S68">
        <v>22</v>
      </c>
      <c r="T68">
        <v>37594</v>
      </c>
      <c r="U68">
        <v>3</v>
      </c>
      <c r="V68" t="s">
        <v>234</v>
      </c>
      <c r="W68" t="s">
        <v>47</v>
      </c>
      <c r="X68" t="s">
        <v>19</v>
      </c>
      <c r="Y68" t="s">
        <v>30</v>
      </c>
      <c r="Z68" t="s">
        <v>30</v>
      </c>
      <c r="AA68">
        <v>72</v>
      </c>
      <c r="AB68">
        <v>925094</v>
      </c>
      <c r="AC68" t="s">
        <v>349</v>
      </c>
      <c r="AD68" t="s">
        <v>350</v>
      </c>
      <c r="AE68">
        <v>0.25</v>
      </c>
      <c r="AF68">
        <v>12</v>
      </c>
      <c r="AG68">
        <v>46.08</v>
      </c>
      <c r="AH68">
        <v>0</v>
      </c>
      <c r="AI68">
        <v>0</v>
      </c>
      <c r="AJ68">
        <v>0</v>
      </c>
      <c r="AK68">
        <v>99.53</v>
      </c>
      <c r="AL68">
        <v>552.96</v>
      </c>
      <c r="AM68">
        <v>652</v>
      </c>
      <c r="AN68">
        <v>95</v>
      </c>
      <c r="AO68" t="s">
        <v>237</v>
      </c>
      <c r="AP68" t="s">
        <v>238</v>
      </c>
      <c r="AQ68">
        <v>10</v>
      </c>
      <c r="AR68">
        <v>117</v>
      </c>
      <c r="AS68" t="s">
        <v>94</v>
      </c>
      <c r="AT68">
        <v>65104</v>
      </c>
      <c r="AU68" t="s">
        <v>283</v>
      </c>
      <c r="AV68" t="s">
        <v>95</v>
      </c>
      <c r="AW68" t="s">
        <v>50</v>
      </c>
      <c r="AX68" t="s">
        <v>51</v>
      </c>
      <c r="AY68" t="s">
        <v>239</v>
      </c>
      <c r="AZ68" t="s">
        <v>240</v>
      </c>
      <c r="BA68" t="s">
        <v>338</v>
      </c>
      <c r="BB68">
        <v>0</v>
      </c>
      <c r="BC68">
        <v>0</v>
      </c>
      <c r="BD68" t="s">
        <v>199</v>
      </c>
      <c r="BE68" t="s">
        <v>199</v>
      </c>
      <c r="BF68">
        <v>0</v>
      </c>
      <c r="BG68">
        <v>0</v>
      </c>
      <c r="BH68" t="s">
        <v>200</v>
      </c>
      <c r="BI68">
        <v>13</v>
      </c>
      <c r="BJ68">
        <v>6177825</v>
      </c>
      <c r="BK68" t="s">
        <v>201</v>
      </c>
      <c r="BL68" t="s">
        <v>190</v>
      </c>
    </row>
    <row r="69" spans="1:64" x14ac:dyDescent="0.3">
      <c r="A69">
        <v>242</v>
      </c>
      <c r="B69" t="s">
        <v>186</v>
      </c>
      <c r="C69">
        <v>3</v>
      </c>
      <c r="D69">
        <v>6177825</v>
      </c>
      <c r="E69" t="s">
        <v>275</v>
      </c>
      <c r="F69" t="s">
        <v>188</v>
      </c>
      <c r="G69">
        <v>10006723</v>
      </c>
      <c r="H69" s="35">
        <v>46044</v>
      </c>
      <c r="I69" s="35">
        <v>46044</v>
      </c>
      <c r="J69">
        <v>2026</v>
      </c>
      <c r="K69">
        <v>1</v>
      </c>
      <c r="L69" t="s">
        <v>242</v>
      </c>
      <c r="M69">
        <v>1</v>
      </c>
      <c r="N69" t="s">
        <v>203</v>
      </c>
      <c r="O69" t="s">
        <v>191</v>
      </c>
      <c r="P69" t="s">
        <v>199</v>
      </c>
      <c r="Q69" t="s">
        <v>199</v>
      </c>
      <c r="R69">
        <v>4</v>
      </c>
      <c r="S69">
        <v>22</v>
      </c>
      <c r="T69">
        <v>37594</v>
      </c>
      <c r="U69">
        <v>3</v>
      </c>
      <c r="V69" t="s">
        <v>234</v>
      </c>
      <c r="W69" t="s">
        <v>47</v>
      </c>
      <c r="X69" t="s">
        <v>19</v>
      </c>
      <c r="Y69" t="s">
        <v>30</v>
      </c>
      <c r="Z69" t="s">
        <v>30</v>
      </c>
      <c r="AA69">
        <v>72</v>
      </c>
      <c r="AB69">
        <v>925095</v>
      </c>
      <c r="AC69" t="s">
        <v>351</v>
      </c>
      <c r="AD69" t="s">
        <v>352</v>
      </c>
      <c r="AE69">
        <v>0.25</v>
      </c>
      <c r="AF69">
        <v>12</v>
      </c>
      <c r="AG69">
        <v>46.08</v>
      </c>
      <c r="AH69">
        <v>0</v>
      </c>
      <c r="AI69">
        <v>0</v>
      </c>
      <c r="AJ69">
        <v>0</v>
      </c>
      <c r="AK69">
        <v>99.53</v>
      </c>
      <c r="AL69">
        <v>552.96</v>
      </c>
      <c r="AM69">
        <v>652</v>
      </c>
      <c r="AN69">
        <v>95</v>
      </c>
      <c r="AO69" t="s">
        <v>237</v>
      </c>
      <c r="AP69" t="s">
        <v>238</v>
      </c>
      <c r="AQ69">
        <v>10</v>
      </c>
      <c r="AR69">
        <v>117</v>
      </c>
      <c r="AS69" t="s">
        <v>94</v>
      </c>
      <c r="AT69">
        <v>65104</v>
      </c>
      <c r="AU69" t="s">
        <v>283</v>
      </c>
      <c r="AV69" t="s">
        <v>95</v>
      </c>
      <c r="AW69" t="s">
        <v>50</v>
      </c>
      <c r="AX69" t="s">
        <v>51</v>
      </c>
      <c r="AY69" t="s">
        <v>239</v>
      </c>
      <c r="AZ69" t="s">
        <v>240</v>
      </c>
      <c r="BA69" t="s">
        <v>338</v>
      </c>
      <c r="BB69">
        <v>0</v>
      </c>
      <c r="BC69">
        <v>0</v>
      </c>
      <c r="BD69" t="s">
        <v>199</v>
      </c>
      <c r="BE69" t="s">
        <v>199</v>
      </c>
      <c r="BF69">
        <v>0</v>
      </c>
      <c r="BG69">
        <v>0</v>
      </c>
      <c r="BH69" t="s">
        <v>200</v>
      </c>
      <c r="BI69">
        <v>13</v>
      </c>
      <c r="BJ69">
        <v>6177825</v>
      </c>
      <c r="BK69" t="s">
        <v>201</v>
      </c>
      <c r="BL69" t="s">
        <v>190</v>
      </c>
    </row>
    <row r="70" spans="1:64" x14ac:dyDescent="0.3">
      <c r="A70">
        <v>242</v>
      </c>
      <c r="B70" t="s">
        <v>186</v>
      </c>
      <c r="C70">
        <v>3</v>
      </c>
      <c r="D70">
        <v>6177825</v>
      </c>
      <c r="E70" t="s">
        <v>275</v>
      </c>
      <c r="F70" t="s">
        <v>188</v>
      </c>
      <c r="G70">
        <v>10006723</v>
      </c>
      <c r="H70" s="35">
        <v>46044</v>
      </c>
      <c r="I70" s="35">
        <v>46044</v>
      </c>
      <c r="J70">
        <v>2026</v>
      </c>
      <c r="K70">
        <v>1</v>
      </c>
      <c r="L70" t="s">
        <v>242</v>
      </c>
      <c r="M70">
        <v>1</v>
      </c>
      <c r="N70" t="s">
        <v>203</v>
      </c>
      <c r="O70" t="s">
        <v>191</v>
      </c>
      <c r="P70" t="s">
        <v>199</v>
      </c>
      <c r="Q70" t="s">
        <v>199</v>
      </c>
      <c r="R70">
        <v>4</v>
      </c>
      <c r="S70">
        <v>22</v>
      </c>
      <c r="T70">
        <v>37594</v>
      </c>
      <c r="U70">
        <v>3</v>
      </c>
      <c r="V70" t="s">
        <v>234</v>
      </c>
      <c r="W70" t="s">
        <v>47</v>
      </c>
      <c r="X70" t="s">
        <v>19</v>
      </c>
      <c r="Y70" t="s">
        <v>30</v>
      </c>
      <c r="Z70" t="s">
        <v>30</v>
      </c>
      <c r="AA70">
        <v>72</v>
      </c>
      <c r="AB70">
        <v>925064</v>
      </c>
      <c r="AC70" t="s">
        <v>281</v>
      </c>
      <c r="AD70" t="s">
        <v>282</v>
      </c>
      <c r="AE70">
        <v>0.24</v>
      </c>
      <c r="AF70">
        <v>12</v>
      </c>
      <c r="AG70">
        <v>32.86</v>
      </c>
      <c r="AH70">
        <v>0</v>
      </c>
      <c r="AI70">
        <v>0</v>
      </c>
      <c r="AJ70">
        <v>0</v>
      </c>
      <c r="AK70">
        <v>70.98</v>
      </c>
      <c r="AL70">
        <v>394.32</v>
      </c>
      <c r="AM70">
        <v>465</v>
      </c>
      <c r="AN70">
        <v>95</v>
      </c>
      <c r="AO70" t="s">
        <v>237</v>
      </c>
      <c r="AP70" t="s">
        <v>238</v>
      </c>
      <c r="AQ70">
        <v>10</v>
      </c>
      <c r="AR70">
        <v>117</v>
      </c>
      <c r="AS70" t="s">
        <v>94</v>
      </c>
      <c r="AT70">
        <v>65104</v>
      </c>
      <c r="AU70" t="s">
        <v>283</v>
      </c>
      <c r="AV70" t="s">
        <v>95</v>
      </c>
      <c r="AW70" t="s">
        <v>50</v>
      </c>
      <c r="AX70" t="s">
        <v>51</v>
      </c>
      <c r="AY70" t="s">
        <v>239</v>
      </c>
      <c r="AZ70" t="s">
        <v>240</v>
      </c>
      <c r="BA70" t="s">
        <v>338</v>
      </c>
      <c r="BB70">
        <v>0</v>
      </c>
      <c r="BC70">
        <v>0</v>
      </c>
      <c r="BD70" t="s">
        <v>199</v>
      </c>
      <c r="BE70" t="s">
        <v>199</v>
      </c>
      <c r="BF70">
        <v>0</v>
      </c>
      <c r="BG70">
        <v>0</v>
      </c>
      <c r="BH70" t="s">
        <v>200</v>
      </c>
      <c r="BI70">
        <v>13</v>
      </c>
      <c r="BJ70">
        <v>6177825</v>
      </c>
      <c r="BK70" t="s">
        <v>201</v>
      </c>
      <c r="BL70" t="s">
        <v>190</v>
      </c>
    </row>
    <row r="71" spans="1:64" x14ac:dyDescent="0.3">
      <c r="A71">
        <v>254</v>
      </c>
      <c r="B71" t="s">
        <v>186</v>
      </c>
      <c r="C71">
        <v>3</v>
      </c>
      <c r="D71">
        <v>6179902</v>
      </c>
      <c r="E71" t="s">
        <v>297</v>
      </c>
      <c r="F71" t="s">
        <v>188</v>
      </c>
      <c r="G71">
        <v>10008800</v>
      </c>
      <c r="H71" s="35">
        <v>46045</v>
      </c>
      <c r="I71" s="35">
        <v>46045</v>
      </c>
      <c r="J71">
        <v>2026</v>
      </c>
      <c r="K71">
        <v>1</v>
      </c>
      <c r="L71" t="s">
        <v>242</v>
      </c>
      <c r="M71">
        <v>1</v>
      </c>
      <c r="N71" t="s">
        <v>190</v>
      </c>
      <c r="O71" t="s">
        <v>191</v>
      </c>
      <c r="P71" t="s">
        <v>199</v>
      </c>
      <c r="Q71" t="s">
        <v>199</v>
      </c>
      <c r="R71">
        <v>4</v>
      </c>
      <c r="S71">
        <v>23</v>
      </c>
      <c r="T71">
        <v>5474</v>
      </c>
      <c r="U71">
        <v>3</v>
      </c>
      <c r="V71" t="s">
        <v>298</v>
      </c>
      <c r="W71" t="s">
        <v>54</v>
      </c>
      <c r="X71" t="s">
        <v>19</v>
      </c>
      <c r="Y71" t="s">
        <v>55</v>
      </c>
      <c r="Z71" t="s">
        <v>56</v>
      </c>
      <c r="AA71">
        <v>70</v>
      </c>
      <c r="AB71">
        <v>611053</v>
      </c>
      <c r="AC71" t="s">
        <v>229</v>
      </c>
      <c r="AD71" t="s">
        <v>230</v>
      </c>
      <c r="AE71">
        <v>1</v>
      </c>
      <c r="AF71">
        <v>24</v>
      </c>
      <c r="AG71">
        <v>20</v>
      </c>
      <c r="AH71">
        <v>0</v>
      </c>
      <c r="AI71">
        <v>0</v>
      </c>
      <c r="AJ71">
        <v>0</v>
      </c>
      <c r="AK71">
        <v>86.4</v>
      </c>
      <c r="AL71">
        <v>480</v>
      </c>
      <c r="AM71">
        <v>566</v>
      </c>
      <c r="AN71">
        <v>94</v>
      </c>
      <c r="AO71" t="s">
        <v>64</v>
      </c>
      <c r="AP71" t="s">
        <v>66</v>
      </c>
      <c r="AQ71">
        <v>10</v>
      </c>
      <c r="AR71">
        <v>114</v>
      </c>
      <c r="AS71" t="s">
        <v>79</v>
      </c>
      <c r="AT71">
        <v>66102</v>
      </c>
      <c r="AU71" t="s">
        <v>227</v>
      </c>
      <c r="AV71" t="s">
        <v>80</v>
      </c>
      <c r="AW71" t="s">
        <v>50</v>
      </c>
      <c r="AX71" t="s">
        <v>51</v>
      </c>
      <c r="AY71" t="s">
        <v>65</v>
      </c>
      <c r="AZ71" t="s">
        <v>240</v>
      </c>
      <c r="BA71" t="s">
        <v>353</v>
      </c>
      <c r="BB71">
        <v>0</v>
      </c>
      <c r="BC71">
        <v>0</v>
      </c>
      <c r="BD71" t="s">
        <v>199</v>
      </c>
      <c r="BE71" t="s">
        <v>199</v>
      </c>
      <c r="BF71">
        <v>0</v>
      </c>
      <c r="BG71">
        <v>0</v>
      </c>
      <c r="BH71" t="s">
        <v>200</v>
      </c>
      <c r="BI71">
        <v>13</v>
      </c>
      <c r="BJ71">
        <v>6179902</v>
      </c>
      <c r="BK71" t="s">
        <v>201</v>
      </c>
      <c r="BL71" t="s">
        <v>190</v>
      </c>
    </row>
    <row r="72" spans="1:64" x14ac:dyDescent="0.3">
      <c r="A72">
        <v>254</v>
      </c>
      <c r="B72" t="s">
        <v>186</v>
      </c>
      <c r="C72">
        <v>3</v>
      </c>
      <c r="D72">
        <v>6179902</v>
      </c>
      <c r="E72" t="s">
        <v>297</v>
      </c>
      <c r="F72" t="s">
        <v>188</v>
      </c>
      <c r="G72">
        <v>10008800</v>
      </c>
      <c r="H72" s="35">
        <v>46045</v>
      </c>
      <c r="I72" s="35">
        <v>46045</v>
      </c>
      <c r="J72">
        <v>2026</v>
      </c>
      <c r="K72">
        <v>1</v>
      </c>
      <c r="L72" t="s">
        <v>242</v>
      </c>
      <c r="M72">
        <v>1</v>
      </c>
      <c r="N72" t="s">
        <v>190</v>
      </c>
      <c r="O72" t="s">
        <v>191</v>
      </c>
      <c r="P72" t="s">
        <v>199</v>
      </c>
      <c r="Q72" t="s">
        <v>199</v>
      </c>
      <c r="R72">
        <v>4</v>
      </c>
      <c r="S72">
        <v>23</v>
      </c>
      <c r="T72">
        <v>5474</v>
      </c>
      <c r="U72">
        <v>3</v>
      </c>
      <c r="V72" t="s">
        <v>298</v>
      </c>
      <c r="W72" t="s">
        <v>54</v>
      </c>
      <c r="X72" t="s">
        <v>19</v>
      </c>
      <c r="Y72" t="s">
        <v>55</v>
      </c>
      <c r="Z72" t="s">
        <v>56</v>
      </c>
      <c r="AA72">
        <v>70</v>
      </c>
      <c r="AB72">
        <v>511005</v>
      </c>
      <c r="AC72" t="s">
        <v>231</v>
      </c>
      <c r="AD72" t="s">
        <v>232</v>
      </c>
      <c r="AE72">
        <v>2</v>
      </c>
      <c r="AF72">
        <v>24</v>
      </c>
      <c r="AG72">
        <v>64.44</v>
      </c>
      <c r="AH72">
        <v>0</v>
      </c>
      <c r="AI72">
        <v>0</v>
      </c>
      <c r="AJ72">
        <v>0</v>
      </c>
      <c r="AK72">
        <v>278.38</v>
      </c>
      <c r="AL72">
        <v>1546.56</v>
      </c>
      <c r="AM72">
        <v>1825</v>
      </c>
      <c r="AN72">
        <v>94</v>
      </c>
      <c r="AO72" t="s">
        <v>64</v>
      </c>
      <c r="AP72" t="s">
        <v>66</v>
      </c>
      <c r="AQ72">
        <v>10</v>
      </c>
      <c r="AR72">
        <v>114</v>
      </c>
      <c r="AS72" t="s">
        <v>79</v>
      </c>
      <c r="AT72">
        <v>66102</v>
      </c>
      <c r="AU72" t="s">
        <v>227</v>
      </c>
      <c r="AV72" t="s">
        <v>80</v>
      </c>
      <c r="AW72" t="s">
        <v>50</v>
      </c>
      <c r="AX72" t="s">
        <v>51</v>
      </c>
      <c r="AY72" t="s">
        <v>65</v>
      </c>
      <c r="AZ72" t="s">
        <v>240</v>
      </c>
      <c r="BA72" t="s">
        <v>353</v>
      </c>
      <c r="BB72">
        <v>0</v>
      </c>
      <c r="BC72">
        <v>0</v>
      </c>
      <c r="BD72" t="s">
        <v>199</v>
      </c>
      <c r="BE72" t="s">
        <v>199</v>
      </c>
      <c r="BF72">
        <v>0</v>
      </c>
      <c r="BG72">
        <v>0</v>
      </c>
      <c r="BH72" t="s">
        <v>200</v>
      </c>
      <c r="BI72">
        <v>13</v>
      </c>
      <c r="BJ72">
        <v>6179902</v>
      </c>
      <c r="BK72" t="s">
        <v>201</v>
      </c>
      <c r="BL72" t="s">
        <v>190</v>
      </c>
    </row>
    <row r="73" spans="1:64" x14ac:dyDescent="0.3">
      <c r="A73">
        <v>109</v>
      </c>
      <c r="B73" t="s">
        <v>186</v>
      </c>
      <c r="C73">
        <v>3</v>
      </c>
      <c r="D73">
        <v>6182432</v>
      </c>
      <c r="E73" t="s">
        <v>187</v>
      </c>
      <c r="F73" t="s">
        <v>188</v>
      </c>
      <c r="G73">
        <v>10011330</v>
      </c>
      <c r="H73" s="35">
        <v>46046</v>
      </c>
      <c r="I73" s="35">
        <v>46046</v>
      </c>
      <c r="J73">
        <v>2026</v>
      </c>
      <c r="K73">
        <v>1</v>
      </c>
      <c r="L73" t="s">
        <v>242</v>
      </c>
      <c r="M73">
        <v>1</v>
      </c>
      <c r="N73" t="s">
        <v>190</v>
      </c>
      <c r="O73" t="s">
        <v>191</v>
      </c>
      <c r="P73" t="s">
        <v>199</v>
      </c>
      <c r="Q73" t="s">
        <v>199</v>
      </c>
      <c r="R73">
        <v>4</v>
      </c>
      <c r="S73">
        <v>24</v>
      </c>
      <c r="T73">
        <v>19291</v>
      </c>
      <c r="U73">
        <v>3</v>
      </c>
      <c r="V73" t="s">
        <v>261</v>
      </c>
      <c r="W73" t="s">
        <v>35</v>
      </c>
      <c r="X73" t="s">
        <v>19</v>
      </c>
      <c r="Y73" t="s">
        <v>30</v>
      </c>
      <c r="Z73" t="s">
        <v>30</v>
      </c>
      <c r="AA73">
        <v>8</v>
      </c>
      <c r="AB73">
        <v>201001</v>
      </c>
      <c r="AC73" t="s">
        <v>248</v>
      </c>
      <c r="AD73" t="s">
        <v>249</v>
      </c>
      <c r="AE73">
        <v>5</v>
      </c>
      <c r="AF73">
        <v>5</v>
      </c>
      <c r="AG73">
        <v>221.67</v>
      </c>
      <c r="AH73">
        <v>0</v>
      </c>
      <c r="AI73">
        <v>0</v>
      </c>
      <c r="AJ73">
        <v>0</v>
      </c>
      <c r="AK73">
        <v>199.5</v>
      </c>
      <c r="AL73">
        <v>1108.3499999999999</v>
      </c>
      <c r="AM73">
        <v>1308</v>
      </c>
      <c r="AN73">
        <v>4</v>
      </c>
      <c r="AO73" t="s">
        <v>264</v>
      </c>
      <c r="AP73" t="s">
        <v>265</v>
      </c>
      <c r="AQ73">
        <v>10</v>
      </c>
      <c r="AR73">
        <v>113</v>
      </c>
      <c r="AS73" t="s">
        <v>89</v>
      </c>
      <c r="AT73">
        <v>82101</v>
      </c>
      <c r="AU73" t="s">
        <v>252</v>
      </c>
      <c r="AV73" t="s">
        <v>80</v>
      </c>
      <c r="AW73" t="s">
        <v>23</v>
      </c>
      <c r="AX73" t="s">
        <v>24</v>
      </c>
      <c r="AY73" t="s">
        <v>267</v>
      </c>
      <c r="AZ73" t="s">
        <v>197</v>
      </c>
      <c r="BA73" t="s">
        <v>354</v>
      </c>
      <c r="BB73">
        <v>0</v>
      </c>
      <c r="BC73">
        <v>0</v>
      </c>
      <c r="BD73" t="s">
        <v>199</v>
      </c>
      <c r="BE73" t="s">
        <v>199</v>
      </c>
      <c r="BF73">
        <v>0</v>
      </c>
      <c r="BG73">
        <v>0</v>
      </c>
      <c r="BH73" t="s">
        <v>200</v>
      </c>
      <c r="BI73">
        <v>13</v>
      </c>
      <c r="BJ73">
        <v>6182432</v>
      </c>
      <c r="BK73" t="s">
        <v>201</v>
      </c>
      <c r="BL73" t="s">
        <v>190</v>
      </c>
    </row>
    <row r="74" spans="1:64" x14ac:dyDescent="0.3">
      <c r="A74">
        <v>223</v>
      </c>
      <c r="B74" t="s">
        <v>186</v>
      </c>
      <c r="C74">
        <v>3</v>
      </c>
      <c r="D74">
        <v>6182489</v>
      </c>
      <c r="E74" t="s">
        <v>202</v>
      </c>
      <c r="F74" t="s">
        <v>188</v>
      </c>
      <c r="G74">
        <v>10011387</v>
      </c>
      <c r="H74" s="35">
        <v>46046</v>
      </c>
      <c r="I74" s="35">
        <v>46046</v>
      </c>
      <c r="J74">
        <v>2026</v>
      </c>
      <c r="K74">
        <v>1</v>
      </c>
      <c r="L74" t="s">
        <v>242</v>
      </c>
      <c r="M74">
        <v>1</v>
      </c>
      <c r="N74" t="s">
        <v>190</v>
      </c>
      <c r="O74" t="s">
        <v>191</v>
      </c>
      <c r="P74" t="s">
        <v>199</v>
      </c>
      <c r="Q74" t="s">
        <v>199</v>
      </c>
      <c r="R74">
        <v>4</v>
      </c>
      <c r="S74">
        <v>24</v>
      </c>
      <c r="T74">
        <v>29579</v>
      </c>
      <c r="U74">
        <v>3</v>
      </c>
      <c r="V74" t="s">
        <v>224</v>
      </c>
      <c r="W74" t="s">
        <v>40</v>
      </c>
      <c r="X74" t="s">
        <v>19</v>
      </c>
      <c r="Y74" t="s">
        <v>41</v>
      </c>
      <c r="Z74" t="s">
        <v>41</v>
      </c>
      <c r="AA74">
        <v>60</v>
      </c>
      <c r="AB74">
        <v>101027</v>
      </c>
      <c r="AC74" t="s">
        <v>323</v>
      </c>
      <c r="AD74" t="s">
        <v>324</v>
      </c>
      <c r="AE74">
        <v>2</v>
      </c>
      <c r="AF74">
        <v>48</v>
      </c>
      <c r="AG74">
        <v>73.41</v>
      </c>
      <c r="AH74">
        <v>0</v>
      </c>
      <c r="AI74">
        <v>0</v>
      </c>
      <c r="AJ74">
        <v>0</v>
      </c>
      <c r="AK74">
        <v>634.26</v>
      </c>
      <c r="AL74">
        <v>3523.68</v>
      </c>
      <c r="AM74">
        <v>4158</v>
      </c>
      <c r="AN74">
        <v>8</v>
      </c>
      <c r="AO74" t="s">
        <v>37</v>
      </c>
      <c r="AP74" t="s">
        <v>39</v>
      </c>
      <c r="AQ74">
        <v>10</v>
      </c>
      <c r="AR74">
        <v>105</v>
      </c>
      <c r="AS74" t="s">
        <v>85</v>
      </c>
      <c r="AT74">
        <v>677001</v>
      </c>
      <c r="AU74" t="s">
        <v>273</v>
      </c>
      <c r="AV74" t="s">
        <v>86</v>
      </c>
      <c r="AW74" t="s">
        <v>23</v>
      </c>
      <c r="AX74" t="s">
        <v>24</v>
      </c>
      <c r="AY74" t="s">
        <v>38</v>
      </c>
      <c r="AZ74" t="s">
        <v>197</v>
      </c>
      <c r="BA74" t="s">
        <v>355</v>
      </c>
      <c r="BB74">
        <v>0</v>
      </c>
      <c r="BC74">
        <v>0</v>
      </c>
      <c r="BD74" t="s">
        <v>199</v>
      </c>
      <c r="BE74" t="s">
        <v>199</v>
      </c>
      <c r="BF74">
        <v>0</v>
      </c>
      <c r="BG74">
        <v>0</v>
      </c>
      <c r="BH74" t="s">
        <v>200</v>
      </c>
      <c r="BI74">
        <v>13</v>
      </c>
      <c r="BJ74">
        <v>6182489</v>
      </c>
      <c r="BK74" t="s">
        <v>201</v>
      </c>
      <c r="BL74" t="s">
        <v>190</v>
      </c>
    </row>
    <row r="75" spans="1:64" x14ac:dyDescent="0.3">
      <c r="A75">
        <v>223</v>
      </c>
      <c r="B75" t="s">
        <v>186</v>
      </c>
      <c r="C75">
        <v>3</v>
      </c>
      <c r="D75">
        <v>6182489</v>
      </c>
      <c r="E75" t="s">
        <v>202</v>
      </c>
      <c r="F75" t="s">
        <v>188</v>
      </c>
      <c r="G75">
        <v>10011387</v>
      </c>
      <c r="H75" s="35">
        <v>46046</v>
      </c>
      <c r="I75" s="35">
        <v>46046</v>
      </c>
      <c r="J75">
        <v>2026</v>
      </c>
      <c r="K75">
        <v>1</v>
      </c>
      <c r="L75" t="s">
        <v>242</v>
      </c>
      <c r="M75">
        <v>1</v>
      </c>
      <c r="N75" t="s">
        <v>190</v>
      </c>
      <c r="O75" t="s">
        <v>191</v>
      </c>
      <c r="P75" t="s">
        <v>199</v>
      </c>
      <c r="Q75" t="s">
        <v>199</v>
      </c>
      <c r="R75">
        <v>4</v>
      </c>
      <c r="S75">
        <v>24</v>
      </c>
      <c r="T75">
        <v>29579</v>
      </c>
      <c r="U75">
        <v>3</v>
      </c>
      <c r="V75" t="s">
        <v>224</v>
      </c>
      <c r="W75" t="s">
        <v>40</v>
      </c>
      <c r="X75" t="s">
        <v>19</v>
      </c>
      <c r="Y75" t="s">
        <v>41</v>
      </c>
      <c r="Z75" t="s">
        <v>41</v>
      </c>
      <c r="AA75">
        <v>60</v>
      </c>
      <c r="AB75">
        <v>101005</v>
      </c>
      <c r="AC75" t="s">
        <v>320</v>
      </c>
      <c r="AD75" t="s">
        <v>321</v>
      </c>
      <c r="AE75">
        <v>2</v>
      </c>
      <c r="AF75">
        <v>60</v>
      </c>
      <c r="AG75">
        <v>73.41</v>
      </c>
      <c r="AH75">
        <v>0</v>
      </c>
      <c r="AI75">
        <v>0</v>
      </c>
      <c r="AJ75">
        <v>0</v>
      </c>
      <c r="AK75">
        <v>792.83</v>
      </c>
      <c r="AL75">
        <v>4404.6000000000004</v>
      </c>
      <c r="AM75">
        <v>5197</v>
      </c>
      <c r="AN75">
        <v>8</v>
      </c>
      <c r="AO75" t="s">
        <v>37</v>
      </c>
      <c r="AP75" t="s">
        <v>39</v>
      </c>
      <c r="AQ75">
        <v>10</v>
      </c>
      <c r="AR75">
        <v>105</v>
      </c>
      <c r="AS75" t="s">
        <v>85</v>
      </c>
      <c r="AT75">
        <v>677001</v>
      </c>
      <c r="AU75" t="s">
        <v>273</v>
      </c>
      <c r="AV75" t="s">
        <v>86</v>
      </c>
      <c r="AW75" t="s">
        <v>23</v>
      </c>
      <c r="AX75" t="s">
        <v>24</v>
      </c>
      <c r="AY75" t="s">
        <v>38</v>
      </c>
      <c r="AZ75" t="s">
        <v>197</v>
      </c>
      <c r="BA75" t="s">
        <v>355</v>
      </c>
      <c r="BB75">
        <v>0</v>
      </c>
      <c r="BC75">
        <v>0</v>
      </c>
      <c r="BD75" t="s">
        <v>199</v>
      </c>
      <c r="BE75" t="s">
        <v>199</v>
      </c>
      <c r="BF75">
        <v>0</v>
      </c>
      <c r="BG75">
        <v>0</v>
      </c>
      <c r="BH75" t="s">
        <v>200</v>
      </c>
      <c r="BI75">
        <v>13</v>
      </c>
      <c r="BJ75">
        <v>6182489</v>
      </c>
      <c r="BK75" t="s">
        <v>201</v>
      </c>
      <c r="BL75" t="s">
        <v>190</v>
      </c>
    </row>
    <row r="76" spans="1:64" x14ac:dyDescent="0.3">
      <c r="A76">
        <v>109</v>
      </c>
      <c r="B76" t="s">
        <v>186</v>
      </c>
      <c r="C76">
        <v>3</v>
      </c>
      <c r="D76">
        <v>6184315</v>
      </c>
      <c r="E76" t="s">
        <v>187</v>
      </c>
      <c r="F76" t="s">
        <v>188</v>
      </c>
      <c r="G76">
        <v>10013213</v>
      </c>
      <c r="H76" s="35">
        <v>46048</v>
      </c>
      <c r="I76" s="35">
        <v>46048</v>
      </c>
      <c r="J76">
        <v>2026</v>
      </c>
      <c r="K76">
        <v>1</v>
      </c>
      <c r="L76" t="s">
        <v>242</v>
      </c>
      <c r="M76">
        <v>1</v>
      </c>
      <c r="N76" t="s">
        <v>203</v>
      </c>
      <c r="O76" t="s">
        <v>191</v>
      </c>
      <c r="P76" t="s">
        <v>199</v>
      </c>
      <c r="Q76" t="s">
        <v>199</v>
      </c>
      <c r="R76">
        <v>5</v>
      </c>
      <c r="S76">
        <v>26</v>
      </c>
      <c r="T76">
        <v>19291</v>
      </c>
      <c r="U76">
        <v>3</v>
      </c>
      <c r="V76" t="s">
        <v>261</v>
      </c>
      <c r="W76" t="s">
        <v>35</v>
      </c>
      <c r="X76" t="s">
        <v>19</v>
      </c>
      <c r="Y76" t="s">
        <v>30</v>
      </c>
      <c r="Z76" t="s">
        <v>30</v>
      </c>
      <c r="AA76">
        <v>8</v>
      </c>
      <c r="AB76">
        <v>800791</v>
      </c>
      <c r="AC76" t="s">
        <v>262</v>
      </c>
      <c r="AD76" t="s">
        <v>263</v>
      </c>
      <c r="AE76">
        <v>0.52</v>
      </c>
      <c r="AF76">
        <v>13</v>
      </c>
      <c r="AG76">
        <v>153.11000000000001</v>
      </c>
      <c r="AH76">
        <v>0</v>
      </c>
      <c r="AI76">
        <v>0</v>
      </c>
      <c r="AJ76">
        <v>0</v>
      </c>
      <c r="AK76">
        <v>358.28</v>
      </c>
      <c r="AL76">
        <v>1990.43</v>
      </c>
      <c r="AM76">
        <v>2349</v>
      </c>
      <c r="AN76">
        <v>4</v>
      </c>
      <c r="AO76" t="s">
        <v>264</v>
      </c>
      <c r="AP76" t="s">
        <v>265</v>
      </c>
      <c r="AQ76">
        <v>10</v>
      </c>
      <c r="AR76">
        <v>207</v>
      </c>
      <c r="AS76" t="s">
        <v>81</v>
      </c>
      <c r="AT76">
        <v>65103</v>
      </c>
      <c r="AU76" t="s">
        <v>266</v>
      </c>
      <c r="AV76" t="s">
        <v>82</v>
      </c>
      <c r="AW76" t="s">
        <v>23</v>
      </c>
      <c r="AX76" t="s">
        <v>24</v>
      </c>
      <c r="AY76" t="s">
        <v>267</v>
      </c>
      <c r="AZ76" t="s">
        <v>197</v>
      </c>
      <c r="BA76" t="s">
        <v>356</v>
      </c>
      <c r="BB76">
        <v>0</v>
      </c>
      <c r="BC76">
        <v>0</v>
      </c>
      <c r="BD76" t="s">
        <v>199</v>
      </c>
      <c r="BE76" t="s">
        <v>199</v>
      </c>
      <c r="BF76">
        <v>0</v>
      </c>
      <c r="BG76">
        <v>0</v>
      </c>
      <c r="BH76" t="s">
        <v>200</v>
      </c>
      <c r="BI76">
        <v>18</v>
      </c>
      <c r="BJ76">
        <v>6184315</v>
      </c>
      <c r="BK76" t="s">
        <v>201</v>
      </c>
      <c r="BL76" t="s">
        <v>190</v>
      </c>
    </row>
    <row r="77" spans="1:64" x14ac:dyDescent="0.3">
      <c r="A77">
        <v>242</v>
      </c>
      <c r="B77" t="s">
        <v>186</v>
      </c>
      <c r="C77">
        <v>3</v>
      </c>
      <c r="D77">
        <v>6190484</v>
      </c>
      <c r="E77" t="s">
        <v>275</v>
      </c>
      <c r="F77" t="s">
        <v>188</v>
      </c>
      <c r="G77">
        <v>10019382</v>
      </c>
      <c r="H77" s="35">
        <v>46051</v>
      </c>
      <c r="I77" s="35">
        <v>46051</v>
      </c>
      <c r="J77">
        <v>2026</v>
      </c>
      <c r="K77">
        <v>1</v>
      </c>
      <c r="L77" t="s">
        <v>242</v>
      </c>
      <c r="M77">
        <v>1</v>
      </c>
      <c r="N77" t="s">
        <v>190</v>
      </c>
      <c r="O77" t="s">
        <v>191</v>
      </c>
      <c r="P77" t="s">
        <v>199</v>
      </c>
      <c r="Q77" t="s">
        <v>199</v>
      </c>
      <c r="R77">
        <v>5</v>
      </c>
      <c r="S77">
        <v>29</v>
      </c>
      <c r="T77">
        <v>37594</v>
      </c>
      <c r="U77">
        <v>3</v>
      </c>
      <c r="V77" t="s">
        <v>234</v>
      </c>
      <c r="W77" t="s">
        <v>47</v>
      </c>
      <c r="X77" t="s">
        <v>19</v>
      </c>
      <c r="Y77" t="s">
        <v>30</v>
      </c>
      <c r="Z77" t="s">
        <v>30</v>
      </c>
      <c r="AA77">
        <v>72</v>
      </c>
      <c r="AB77">
        <v>103001</v>
      </c>
      <c r="AC77" t="s">
        <v>286</v>
      </c>
      <c r="AD77" t="s">
        <v>287</v>
      </c>
      <c r="AE77">
        <v>3.625</v>
      </c>
      <c r="AF77">
        <v>174</v>
      </c>
      <c r="AG77">
        <v>17.68</v>
      </c>
      <c r="AH77">
        <v>0</v>
      </c>
      <c r="AI77">
        <v>0</v>
      </c>
      <c r="AJ77">
        <v>0</v>
      </c>
      <c r="AK77">
        <v>553.74</v>
      </c>
      <c r="AL77">
        <v>3076.32</v>
      </c>
      <c r="AM77">
        <v>3630</v>
      </c>
      <c r="AN77">
        <v>95</v>
      </c>
      <c r="AO77" t="s">
        <v>237</v>
      </c>
      <c r="AP77" t="s">
        <v>238</v>
      </c>
      <c r="AQ77">
        <v>10</v>
      </c>
      <c r="AR77">
        <v>107</v>
      </c>
      <c r="AS77" t="s">
        <v>96</v>
      </c>
      <c r="AT77">
        <v>6770651</v>
      </c>
      <c r="AU77" t="s">
        <v>288</v>
      </c>
      <c r="AV77" t="s">
        <v>86</v>
      </c>
      <c r="AW77" t="s">
        <v>50</v>
      </c>
      <c r="AX77" t="s">
        <v>51</v>
      </c>
      <c r="AY77" t="s">
        <v>239</v>
      </c>
      <c r="AZ77" t="s">
        <v>240</v>
      </c>
      <c r="BA77" t="s">
        <v>357</v>
      </c>
      <c r="BB77">
        <v>0</v>
      </c>
      <c r="BC77">
        <v>0</v>
      </c>
      <c r="BD77" t="s">
        <v>199</v>
      </c>
      <c r="BE77" t="s">
        <v>199</v>
      </c>
      <c r="BF77">
        <v>0</v>
      </c>
      <c r="BG77">
        <v>0</v>
      </c>
      <c r="BH77" t="s">
        <v>200</v>
      </c>
      <c r="BI77">
        <v>13</v>
      </c>
      <c r="BJ77">
        <v>6190484</v>
      </c>
      <c r="BK77" t="s">
        <v>201</v>
      </c>
      <c r="BL77" t="s">
        <v>190</v>
      </c>
    </row>
    <row r="78" spans="1:64" x14ac:dyDescent="0.3">
      <c r="A78">
        <v>242</v>
      </c>
      <c r="B78" t="s">
        <v>186</v>
      </c>
      <c r="C78">
        <v>3</v>
      </c>
      <c r="D78">
        <v>6190484</v>
      </c>
      <c r="E78" t="s">
        <v>275</v>
      </c>
      <c r="F78" t="s">
        <v>188</v>
      </c>
      <c r="G78">
        <v>10019382</v>
      </c>
      <c r="H78" s="35">
        <v>46051</v>
      </c>
      <c r="I78" s="35">
        <v>46051</v>
      </c>
      <c r="J78">
        <v>2026</v>
      </c>
      <c r="K78">
        <v>1</v>
      </c>
      <c r="L78" t="s">
        <v>242</v>
      </c>
      <c r="M78">
        <v>1</v>
      </c>
      <c r="N78" t="s">
        <v>190</v>
      </c>
      <c r="O78" t="s">
        <v>191</v>
      </c>
      <c r="P78" t="s">
        <v>199</v>
      </c>
      <c r="Q78" t="s">
        <v>199</v>
      </c>
      <c r="R78">
        <v>5</v>
      </c>
      <c r="S78">
        <v>29</v>
      </c>
      <c r="T78">
        <v>37594</v>
      </c>
      <c r="U78">
        <v>3</v>
      </c>
      <c r="V78" t="s">
        <v>234</v>
      </c>
      <c r="W78" t="s">
        <v>47</v>
      </c>
      <c r="X78" t="s">
        <v>19</v>
      </c>
      <c r="Y78" t="s">
        <v>30</v>
      </c>
      <c r="Z78" t="s">
        <v>30</v>
      </c>
      <c r="AA78">
        <v>72</v>
      </c>
      <c r="AB78">
        <v>103113</v>
      </c>
      <c r="AC78" t="s">
        <v>290</v>
      </c>
      <c r="AD78" t="s">
        <v>291</v>
      </c>
      <c r="AE78">
        <v>3</v>
      </c>
      <c r="AF78">
        <v>3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95</v>
      </c>
      <c r="AO78" t="s">
        <v>237</v>
      </c>
      <c r="AP78" t="s">
        <v>238</v>
      </c>
      <c r="AQ78">
        <v>10</v>
      </c>
      <c r="AR78">
        <v>107</v>
      </c>
      <c r="AS78" t="s">
        <v>96</v>
      </c>
      <c r="AT78">
        <v>6770651</v>
      </c>
      <c r="AU78" t="s">
        <v>288</v>
      </c>
      <c r="AV78" t="s">
        <v>86</v>
      </c>
      <c r="AW78" t="s">
        <v>50</v>
      </c>
      <c r="AX78" t="s">
        <v>51</v>
      </c>
      <c r="AY78" t="s">
        <v>239</v>
      </c>
      <c r="AZ78" t="s">
        <v>240</v>
      </c>
      <c r="BA78" t="s">
        <v>357</v>
      </c>
      <c r="BB78">
        <v>0</v>
      </c>
      <c r="BC78">
        <v>0</v>
      </c>
      <c r="BD78" t="s">
        <v>199</v>
      </c>
      <c r="BE78" t="s">
        <v>199</v>
      </c>
      <c r="BF78">
        <v>0</v>
      </c>
      <c r="BG78">
        <v>0</v>
      </c>
      <c r="BH78" t="s">
        <v>200</v>
      </c>
      <c r="BI78">
        <v>13</v>
      </c>
      <c r="BJ78">
        <v>6190484</v>
      </c>
      <c r="BK78" t="s">
        <v>201</v>
      </c>
      <c r="BL78" t="s">
        <v>190</v>
      </c>
    </row>
    <row r="79" spans="1:64" x14ac:dyDescent="0.3">
      <c r="A79">
        <v>242</v>
      </c>
      <c r="B79" t="s">
        <v>186</v>
      </c>
      <c r="C79">
        <v>3</v>
      </c>
      <c r="D79">
        <v>6190484</v>
      </c>
      <c r="E79" t="s">
        <v>275</v>
      </c>
      <c r="F79" t="s">
        <v>188</v>
      </c>
      <c r="G79">
        <v>10019382</v>
      </c>
      <c r="H79" s="35">
        <v>46051</v>
      </c>
      <c r="I79" s="35">
        <v>46051</v>
      </c>
      <c r="J79">
        <v>2026</v>
      </c>
      <c r="K79">
        <v>1</v>
      </c>
      <c r="L79" t="s">
        <v>242</v>
      </c>
      <c r="M79">
        <v>1</v>
      </c>
      <c r="N79" t="s">
        <v>190</v>
      </c>
      <c r="O79" t="s">
        <v>191</v>
      </c>
      <c r="P79" t="s">
        <v>199</v>
      </c>
      <c r="Q79" t="s">
        <v>199</v>
      </c>
      <c r="R79">
        <v>5</v>
      </c>
      <c r="S79">
        <v>29</v>
      </c>
      <c r="T79">
        <v>37594</v>
      </c>
      <c r="U79">
        <v>3</v>
      </c>
      <c r="V79" t="s">
        <v>234</v>
      </c>
      <c r="W79" t="s">
        <v>47</v>
      </c>
      <c r="X79" t="s">
        <v>19</v>
      </c>
      <c r="Y79" t="s">
        <v>30</v>
      </c>
      <c r="Z79" t="s">
        <v>30</v>
      </c>
      <c r="AA79">
        <v>72</v>
      </c>
      <c r="AB79">
        <v>621045</v>
      </c>
      <c r="AC79" t="s">
        <v>209</v>
      </c>
      <c r="AD79" t="s">
        <v>210</v>
      </c>
      <c r="AE79">
        <v>1</v>
      </c>
      <c r="AF79">
        <v>12</v>
      </c>
      <c r="AG79">
        <v>161.94999999999999</v>
      </c>
      <c r="AH79">
        <v>0</v>
      </c>
      <c r="AI79">
        <v>0</v>
      </c>
      <c r="AJ79">
        <v>0</v>
      </c>
      <c r="AK79">
        <v>349.81</v>
      </c>
      <c r="AL79">
        <v>1943.4</v>
      </c>
      <c r="AM79">
        <v>2293</v>
      </c>
      <c r="AN79">
        <v>95</v>
      </c>
      <c r="AO79" t="s">
        <v>237</v>
      </c>
      <c r="AP79" t="s">
        <v>238</v>
      </c>
      <c r="AQ79">
        <v>10</v>
      </c>
      <c r="AR79">
        <v>138</v>
      </c>
      <c r="AS79" t="s">
        <v>90</v>
      </c>
      <c r="AT79">
        <v>73101</v>
      </c>
      <c r="AU79" t="s">
        <v>211</v>
      </c>
      <c r="AV79" t="s">
        <v>91</v>
      </c>
      <c r="AW79" t="s">
        <v>50</v>
      </c>
      <c r="AX79" t="s">
        <v>51</v>
      </c>
      <c r="AY79" t="s">
        <v>239</v>
      </c>
      <c r="AZ79" t="s">
        <v>240</v>
      </c>
      <c r="BA79" t="s">
        <v>357</v>
      </c>
      <c r="BB79">
        <v>0</v>
      </c>
      <c r="BC79">
        <v>0</v>
      </c>
      <c r="BD79" t="s">
        <v>199</v>
      </c>
      <c r="BE79" t="s">
        <v>199</v>
      </c>
      <c r="BF79">
        <v>0</v>
      </c>
      <c r="BG79">
        <v>0</v>
      </c>
      <c r="BH79" t="s">
        <v>200</v>
      </c>
      <c r="BI79">
        <v>13</v>
      </c>
      <c r="BJ79">
        <v>6190484</v>
      </c>
      <c r="BK79" t="s">
        <v>201</v>
      </c>
      <c r="BL79" t="s">
        <v>190</v>
      </c>
    </row>
    <row r="80" spans="1:64" x14ac:dyDescent="0.3">
      <c r="A80">
        <v>125</v>
      </c>
      <c r="B80" t="s">
        <v>186</v>
      </c>
      <c r="C80">
        <v>3</v>
      </c>
      <c r="D80">
        <v>6191333</v>
      </c>
      <c r="E80" t="s">
        <v>213</v>
      </c>
      <c r="F80" t="s">
        <v>188</v>
      </c>
      <c r="G80">
        <v>10020231</v>
      </c>
      <c r="H80" s="35">
        <v>46051</v>
      </c>
      <c r="I80" s="35">
        <v>46051</v>
      </c>
      <c r="J80">
        <v>2026</v>
      </c>
      <c r="K80">
        <v>1</v>
      </c>
      <c r="L80" t="s">
        <v>242</v>
      </c>
      <c r="M80">
        <v>1</v>
      </c>
      <c r="N80" t="s">
        <v>203</v>
      </c>
      <c r="O80" t="s">
        <v>191</v>
      </c>
      <c r="P80" t="s">
        <v>199</v>
      </c>
      <c r="Q80" t="s">
        <v>199</v>
      </c>
      <c r="R80">
        <v>5</v>
      </c>
      <c r="S80">
        <v>29</v>
      </c>
      <c r="T80">
        <v>36908</v>
      </c>
      <c r="U80">
        <v>3</v>
      </c>
      <c r="V80" t="s">
        <v>215</v>
      </c>
      <c r="W80" t="s">
        <v>67</v>
      </c>
      <c r="X80" t="s">
        <v>28</v>
      </c>
      <c r="Y80" t="s">
        <v>30</v>
      </c>
      <c r="Z80" t="s">
        <v>30</v>
      </c>
      <c r="AA80">
        <v>11</v>
      </c>
      <c r="AB80">
        <v>930113</v>
      </c>
      <c r="AC80" t="s">
        <v>358</v>
      </c>
      <c r="AD80" t="s">
        <v>359</v>
      </c>
      <c r="AE80">
        <v>0.04</v>
      </c>
      <c r="AF80">
        <v>1</v>
      </c>
      <c r="AG80">
        <v>154.07</v>
      </c>
      <c r="AH80">
        <v>0</v>
      </c>
      <c r="AI80">
        <v>0</v>
      </c>
      <c r="AJ80">
        <v>0</v>
      </c>
      <c r="AK80">
        <v>27.73</v>
      </c>
      <c r="AL80">
        <v>154.07</v>
      </c>
      <c r="AM80">
        <v>182</v>
      </c>
      <c r="AN80">
        <v>199</v>
      </c>
      <c r="AO80" t="s">
        <v>218</v>
      </c>
      <c r="AP80" t="s">
        <v>219</v>
      </c>
      <c r="AQ80">
        <v>10</v>
      </c>
      <c r="AR80">
        <v>207</v>
      </c>
      <c r="AS80" t="s">
        <v>81</v>
      </c>
      <c r="AT80">
        <v>0</v>
      </c>
      <c r="AU80" t="s">
        <v>199</v>
      </c>
      <c r="AV80" t="s">
        <v>82</v>
      </c>
      <c r="AW80" t="s">
        <v>70</v>
      </c>
      <c r="AX80" t="s">
        <v>71</v>
      </c>
      <c r="AY80" t="s">
        <v>220</v>
      </c>
      <c r="AZ80" t="s">
        <v>221</v>
      </c>
      <c r="BA80" t="s">
        <v>360</v>
      </c>
      <c r="BB80">
        <v>0</v>
      </c>
      <c r="BC80">
        <v>0</v>
      </c>
      <c r="BD80" t="s">
        <v>199</v>
      </c>
      <c r="BE80" t="s">
        <v>199</v>
      </c>
      <c r="BF80">
        <v>0</v>
      </c>
      <c r="BG80">
        <v>0</v>
      </c>
      <c r="BH80" t="s">
        <v>200</v>
      </c>
      <c r="BI80">
        <v>13</v>
      </c>
      <c r="BJ80">
        <v>6191333</v>
      </c>
      <c r="BK80" t="s">
        <v>201</v>
      </c>
      <c r="BL80" t="s">
        <v>190</v>
      </c>
    </row>
    <row r="81" spans="1:64" x14ac:dyDescent="0.3">
      <c r="A81">
        <v>125</v>
      </c>
      <c r="B81" t="s">
        <v>186</v>
      </c>
      <c r="C81">
        <v>3</v>
      </c>
      <c r="D81">
        <v>6191333</v>
      </c>
      <c r="E81" t="s">
        <v>213</v>
      </c>
      <c r="F81" t="s">
        <v>188</v>
      </c>
      <c r="G81">
        <v>10020231</v>
      </c>
      <c r="H81" s="35">
        <v>46051</v>
      </c>
      <c r="I81" s="35">
        <v>46051</v>
      </c>
      <c r="J81">
        <v>2026</v>
      </c>
      <c r="K81">
        <v>1</v>
      </c>
      <c r="L81" t="s">
        <v>242</v>
      </c>
      <c r="M81">
        <v>1</v>
      </c>
      <c r="N81" t="s">
        <v>203</v>
      </c>
      <c r="O81" t="s">
        <v>191</v>
      </c>
      <c r="P81" t="s">
        <v>199</v>
      </c>
      <c r="Q81" t="s">
        <v>199</v>
      </c>
      <c r="R81">
        <v>5</v>
      </c>
      <c r="S81">
        <v>29</v>
      </c>
      <c r="T81">
        <v>36908</v>
      </c>
      <c r="U81">
        <v>3</v>
      </c>
      <c r="V81" t="s">
        <v>215</v>
      </c>
      <c r="W81" t="s">
        <v>67</v>
      </c>
      <c r="X81" t="s">
        <v>28</v>
      </c>
      <c r="Y81" t="s">
        <v>30</v>
      </c>
      <c r="Z81" t="s">
        <v>30</v>
      </c>
      <c r="AA81">
        <v>11</v>
      </c>
      <c r="AB81">
        <v>800793</v>
      </c>
      <c r="AC81" t="s">
        <v>361</v>
      </c>
      <c r="AD81" t="s">
        <v>362</v>
      </c>
      <c r="AE81">
        <v>0.08</v>
      </c>
      <c r="AF81">
        <v>2</v>
      </c>
      <c r="AG81">
        <v>153.11000000000001</v>
      </c>
      <c r="AH81">
        <v>0</v>
      </c>
      <c r="AI81">
        <v>0</v>
      </c>
      <c r="AJ81">
        <v>0</v>
      </c>
      <c r="AK81">
        <v>55.12</v>
      </c>
      <c r="AL81">
        <v>306.22000000000003</v>
      </c>
      <c r="AM81">
        <v>361</v>
      </c>
      <c r="AN81">
        <v>199</v>
      </c>
      <c r="AO81" t="s">
        <v>218</v>
      </c>
      <c r="AP81" t="s">
        <v>219</v>
      </c>
      <c r="AQ81">
        <v>10</v>
      </c>
      <c r="AR81">
        <v>207</v>
      </c>
      <c r="AS81" t="s">
        <v>81</v>
      </c>
      <c r="AT81">
        <v>65103</v>
      </c>
      <c r="AU81" t="s">
        <v>266</v>
      </c>
      <c r="AV81" t="s">
        <v>82</v>
      </c>
      <c r="AW81" t="s">
        <v>70</v>
      </c>
      <c r="AX81" t="s">
        <v>71</v>
      </c>
      <c r="AY81" t="s">
        <v>220</v>
      </c>
      <c r="AZ81" t="s">
        <v>221</v>
      </c>
      <c r="BA81" t="s">
        <v>360</v>
      </c>
      <c r="BB81">
        <v>0</v>
      </c>
      <c r="BC81">
        <v>0</v>
      </c>
      <c r="BD81" t="s">
        <v>199</v>
      </c>
      <c r="BE81" t="s">
        <v>199</v>
      </c>
      <c r="BF81">
        <v>0</v>
      </c>
      <c r="BG81">
        <v>0</v>
      </c>
      <c r="BH81" t="s">
        <v>200</v>
      </c>
      <c r="BI81">
        <v>13</v>
      </c>
      <c r="BJ81">
        <v>6191333</v>
      </c>
      <c r="BK81" t="s">
        <v>201</v>
      </c>
      <c r="BL81" t="s">
        <v>190</v>
      </c>
    </row>
    <row r="82" spans="1:64" x14ac:dyDescent="0.3">
      <c r="A82">
        <v>125</v>
      </c>
      <c r="B82" t="s">
        <v>186</v>
      </c>
      <c r="C82">
        <v>3</v>
      </c>
      <c r="D82">
        <v>6191333</v>
      </c>
      <c r="E82" t="s">
        <v>213</v>
      </c>
      <c r="F82" t="s">
        <v>188</v>
      </c>
      <c r="G82">
        <v>10020231</v>
      </c>
      <c r="H82" s="35">
        <v>46051</v>
      </c>
      <c r="I82" s="35">
        <v>46051</v>
      </c>
      <c r="J82">
        <v>2026</v>
      </c>
      <c r="K82">
        <v>1</v>
      </c>
      <c r="L82" t="s">
        <v>242</v>
      </c>
      <c r="M82">
        <v>1</v>
      </c>
      <c r="N82" t="s">
        <v>203</v>
      </c>
      <c r="O82" t="s">
        <v>191</v>
      </c>
      <c r="P82" t="s">
        <v>199</v>
      </c>
      <c r="Q82" t="s">
        <v>199</v>
      </c>
      <c r="R82">
        <v>5</v>
      </c>
      <c r="S82">
        <v>29</v>
      </c>
      <c r="T82">
        <v>36908</v>
      </c>
      <c r="U82">
        <v>3</v>
      </c>
      <c r="V82" t="s">
        <v>215</v>
      </c>
      <c r="W82" t="s">
        <v>67</v>
      </c>
      <c r="X82" t="s">
        <v>28</v>
      </c>
      <c r="Y82" t="s">
        <v>30</v>
      </c>
      <c r="Z82" t="s">
        <v>30</v>
      </c>
      <c r="AA82">
        <v>11</v>
      </c>
      <c r="AB82">
        <v>800791</v>
      </c>
      <c r="AC82" t="s">
        <v>262</v>
      </c>
      <c r="AD82" t="s">
        <v>263</v>
      </c>
      <c r="AE82">
        <v>0.04</v>
      </c>
      <c r="AF82">
        <v>1</v>
      </c>
      <c r="AG82">
        <v>153.11000000000001</v>
      </c>
      <c r="AH82">
        <v>0</v>
      </c>
      <c r="AI82">
        <v>0</v>
      </c>
      <c r="AJ82">
        <v>0</v>
      </c>
      <c r="AK82">
        <v>27.56</v>
      </c>
      <c r="AL82">
        <v>153.11000000000001</v>
      </c>
      <c r="AM82">
        <v>181</v>
      </c>
      <c r="AN82">
        <v>199</v>
      </c>
      <c r="AO82" t="s">
        <v>218</v>
      </c>
      <c r="AP82" t="s">
        <v>219</v>
      </c>
      <c r="AQ82">
        <v>10</v>
      </c>
      <c r="AR82">
        <v>207</v>
      </c>
      <c r="AS82" t="s">
        <v>81</v>
      </c>
      <c r="AT82">
        <v>65103</v>
      </c>
      <c r="AU82" t="s">
        <v>266</v>
      </c>
      <c r="AV82" t="s">
        <v>82</v>
      </c>
      <c r="AW82" t="s">
        <v>70</v>
      </c>
      <c r="AX82" t="s">
        <v>71</v>
      </c>
      <c r="AY82" t="s">
        <v>220</v>
      </c>
      <c r="AZ82" t="s">
        <v>221</v>
      </c>
      <c r="BA82" t="s">
        <v>360</v>
      </c>
      <c r="BB82">
        <v>0</v>
      </c>
      <c r="BC82">
        <v>0</v>
      </c>
      <c r="BD82" t="s">
        <v>199</v>
      </c>
      <c r="BE82" t="s">
        <v>199</v>
      </c>
      <c r="BF82">
        <v>0</v>
      </c>
      <c r="BG82">
        <v>0</v>
      </c>
      <c r="BH82" t="s">
        <v>200</v>
      </c>
      <c r="BI82">
        <v>13</v>
      </c>
      <c r="BJ82">
        <v>6191333</v>
      </c>
      <c r="BK82" t="s">
        <v>201</v>
      </c>
      <c r="BL82" t="s">
        <v>190</v>
      </c>
    </row>
    <row r="83" spans="1:64" x14ac:dyDescent="0.3">
      <c r="A83">
        <v>125</v>
      </c>
      <c r="B83" t="s">
        <v>186</v>
      </c>
      <c r="C83">
        <v>3</v>
      </c>
      <c r="D83">
        <v>6191333</v>
      </c>
      <c r="E83" t="s">
        <v>213</v>
      </c>
      <c r="F83" t="s">
        <v>188</v>
      </c>
      <c r="G83">
        <v>10020231</v>
      </c>
      <c r="H83" s="35">
        <v>46051</v>
      </c>
      <c r="I83" s="35">
        <v>46051</v>
      </c>
      <c r="J83">
        <v>2026</v>
      </c>
      <c r="K83">
        <v>1</v>
      </c>
      <c r="L83" t="s">
        <v>242</v>
      </c>
      <c r="M83">
        <v>1</v>
      </c>
      <c r="N83" t="s">
        <v>203</v>
      </c>
      <c r="O83" t="s">
        <v>191</v>
      </c>
      <c r="P83" t="s">
        <v>199</v>
      </c>
      <c r="Q83" t="s">
        <v>199</v>
      </c>
      <c r="R83">
        <v>5</v>
      </c>
      <c r="S83">
        <v>29</v>
      </c>
      <c r="T83">
        <v>36908</v>
      </c>
      <c r="U83">
        <v>3</v>
      </c>
      <c r="V83" t="s">
        <v>215</v>
      </c>
      <c r="W83" t="s">
        <v>67</v>
      </c>
      <c r="X83" t="s">
        <v>28</v>
      </c>
      <c r="Y83" t="s">
        <v>30</v>
      </c>
      <c r="Z83" t="s">
        <v>30</v>
      </c>
      <c r="AA83">
        <v>11</v>
      </c>
      <c r="AB83">
        <v>800796</v>
      </c>
      <c r="AC83" t="s">
        <v>363</v>
      </c>
      <c r="AD83" t="s">
        <v>364</v>
      </c>
      <c r="AE83">
        <v>0.08</v>
      </c>
      <c r="AF83">
        <v>2</v>
      </c>
      <c r="AG83">
        <v>153.11000000000001</v>
      </c>
      <c r="AH83">
        <v>0</v>
      </c>
      <c r="AI83">
        <v>0</v>
      </c>
      <c r="AJ83">
        <v>0</v>
      </c>
      <c r="AK83">
        <v>55.12</v>
      </c>
      <c r="AL83">
        <v>306.22000000000003</v>
      </c>
      <c r="AM83">
        <v>361</v>
      </c>
      <c r="AN83">
        <v>199</v>
      </c>
      <c r="AO83" t="s">
        <v>218</v>
      </c>
      <c r="AP83" t="s">
        <v>219</v>
      </c>
      <c r="AQ83">
        <v>10</v>
      </c>
      <c r="AR83">
        <v>207</v>
      </c>
      <c r="AS83" t="s">
        <v>81</v>
      </c>
      <c r="AT83">
        <v>65103</v>
      </c>
      <c r="AU83" t="s">
        <v>266</v>
      </c>
      <c r="AV83" t="s">
        <v>82</v>
      </c>
      <c r="AW83" t="s">
        <v>70</v>
      </c>
      <c r="AX83" t="s">
        <v>71</v>
      </c>
      <c r="AY83" t="s">
        <v>220</v>
      </c>
      <c r="AZ83" t="s">
        <v>221</v>
      </c>
      <c r="BA83" t="s">
        <v>360</v>
      </c>
      <c r="BB83">
        <v>0</v>
      </c>
      <c r="BC83">
        <v>0</v>
      </c>
      <c r="BD83" t="s">
        <v>199</v>
      </c>
      <c r="BE83" t="s">
        <v>199</v>
      </c>
      <c r="BF83">
        <v>0</v>
      </c>
      <c r="BG83">
        <v>0</v>
      </c>
      <c r="BH83" t="s">
        <v>200</v>
      </c>
      <c r="BI83">
        <v>13</v>
      </c>
      <c r="BJ83">
        <v>6191333</v>
      </c>
      <c r="BK83" t="s">
        <v>201</v>
      </c>
      <c r="BL83" t="s">
        <v>190</v>
      </c>
    </row>
    <row r="84" spans="1:64" x14ac:dyDescent="0.3">
      <c r="A84">
        <v>125</v>
      </c>
      <c r="B84" t="s">
        <v>186</v>
      </c>
      <c r="C84">
        <v>3</v>
      </c>
      <c r="D84">
        <v>6191333</v>
      </c>
      <c r="E84" t="s">
        <v>213</v>
      </c>
      <c r="F84" t="s">
        <v>188</v>
      </c>
      <c r="G84">
        <v>10020231</v>
      </c>
      <c r="H84" s="35">
        <v>46051</v>
      </c>
      <c r="I84" s="35">
        <v>46051</v>
      </c>
      <c r="J84">
        <v>2026</v>
      </c>
      <c r="K84">
        <v>1</v>
      </c>
      <c r="L84" t="s">
        <v>242</v>
      </c>
      <c r="M84">
        <v>1</v>
      </c>
      <c r="N84" t="s">
        <v>203</v>
      </c>
      <c r="O84" t="s">
        <v>191</v>
      </c>
      <c r="P84" t="s">
        <v>199</v>
      </c>
      <c r="Q84" t="s">
        <v>199</v>
      </c>
      <c r="R84">
        <v>5</v>
      </c>
      <c r="S84">
        <v>29</v>
      </c>
      <c r="T84">
        <v>36908</v>
      </c>
      <c r="U84">
        <v>3</v>
      </c>
      <c r="V84" t="s">
        <v>215</v>
      </c>
      <c r="W84" t="s">
        <v>67</v>
      </c>
      <c r="X84" t="s">
        <v>28</v>
      </c>
      <c r="Y84" t="s">
        <v>30</v>
      </c>
      <c r="Z84" t="s">
        <v>30</v>
      </c>
      <c r="AA84">
        <v>11</v>
      </c>
      <c r="AB84">
        <v>800792</v>
      </c>
      <c r="AC84" t="s">
        <v>304</v>
      </c>
      <c r="AD84" t="s">
        <v>305</v>
      </c>
      <c r="AE84">
        <v>0.08</v>
      </c>
      <c r="AF84">
        <v>2</v>
      </c>
      <c r="AG84">
        <v>153.11000000000001</v>
      </c>
      <c r="AH84">
        <v>0</v>
      </c>
      <c r="AI84">
        <v>0</v>
      </c>
      <c r="AJ84">
        <v>0</v>
      </c>
      <c r="AK84">
        <v>55.12</v>
      </c>
      <c r="AL84">
        <v>306.22000000000003</v>
      </c>
      <c r="AM84">
        <v>361</v>
      </c>
      <c r="AN84">
        <v>199</v>
      </c>
      <c r="AO84" t="s">
        <v>218</v>
      </c>
      <c r="AP84" t="s">
        <v>219</v>
      </c>
      <c r="AQ84">
        <v>10</v>
      </c>
      <c r="AR84">
        <v>207</v>
      </c>
      <c r="AS84" t="s">
        <v>81</v>
      </c>
      <c r="AT84">
        <v>65103</v>
      </c>
      <c r="AU84" t="s">
        <v>266</v>
      </c>
      <c r="AV84" t="s">
        <v>82</v>
      </c>
      <c r="AW84" t="s">
        <v>70</v>
      </c>
      <c r="AX84" t="s">
        <v>71</v>
      </c>
      <c r="AY84" t="s">
        <v>220</v>
      </c>
      <c r="AZ84" t="s">
        <v>221</v>
      </c>
      <c r="BA84" t="s">
        <v>360</v>
      </c>
      <c r="BB84">
        <v>0</v>
      </c>
      <c r="BC84">
        <v>0</v>
      </c>
      <c r="BD84" t="s">
        <v>199</v>
      </c>
      <c r="BE84" t="s">
        <v>199</v>
      </c>
      <c r="BF84">
        <v>0</v>
      </c>
      <c r="BG84">
        <v>0</v>
      </c>
      <c r="BH84" t="s">
        <v>200</v>
      </c>
      <c r="BI84">
        <v>13</v>
      </c>
      <c r="BJ84">
        <v>6191333</v>
      </c>
      <c r="BK84" t="s">
        <v>201</v>
      </c>
      <c r="BL84" t="s">
        <v>190</v>
      </c>
    </row>
    <row r="85" spans="1:64" x14ac:dyDescent="0.3">
      <c r="A85">
        <v>125</v>
      </c>
      <c r="B85" t="s">
        <v>186</v>
      </c>
      <c r="C85">
        <v>3</v>
      </c>
      <c r="D85">
        <v>6191333</v>
      </c>
      <c r="E85" t="s">
        <v>213</v>
      </c>
      <c r="F85" t="s">
        <v>188</v>
      </c>
      <c r="G85">
        <v>10020231</v>
      </c>
      <c r="H85" s="35">
        <v>46051</v>
      </c>
      <c r="I85" s="35">
        <v>46051</v>
      </c>
      <c r="J85">
        <v>2026</v>
      </c>
      <c r="K85">
        <v>1</v>
      </c>
      <c r="L85" t="s">
        <v>242</v>
      </c>
      <c r="M85">
        <v>1</v>
      </c>
      <c r="N85" t="s">
        <v>203</v>
      </c>
      <c r="O85" t="s">
        <v>191</v>
      </c>
      <c r="P85" t="s">
        <v>199</v>
      </c>
      <c r="Q85" t="s">
        <v>199</v>
      </c>
      <c r="R85">
        <v>5</v>
      </c>
      <c r="S85">
        <v>29</v>
      </c>
      <c r="T85">
        <v>36908</v>
      </c>
      <c r="U85">
        <v>3</v>
      </c>
      <c r="V85" t="s">
        <v>215</v>
      </c>
      <c r="W85" t="s">
        <v>67</v>
      </c>
      <c r="X85" t="s">
        <v>28</v>
      </c>
      <c r="Y85" t="s">
        <v>30</v>
      </c>
      <c r="Z85" t="s">
        <v>30</v>
      </c>
      <c r="AA85">
        <v>11</v>
      </c>
      <c r="AB85">
        <v>930153</v>
      </c>
      <c r="AC85" t="s">
        <v>365</v>
      </c>
      <c r="AD85" t="s">
        <v>366</v>
      </c>
      <c r="AE85">
        <v>0.08</v>
      </c>
      <c r="AF85">
        <v>2</v>
      </c>
      <c r="AG85">
        <v>153.11000000000001</v>
      </c>
      <c r="AH85">
        <v>0</v>
      </c>
      <c r="AI85">
        <v>0</v>
      </c>
      <c r="AJ85">
        <v>0</v>
      </c>
      <c r="AK85">
        <v>55.12</v>
      </c>
      <c r="AL85">
        <v>306.22000000000003</v>
      </c>
      <c r="AM85">
        <v>361</v>
      </c>
      <c r="AN85">
        <v>199</v>
      </c>
      <c r="AO85" t="s">
        <v>218</v>
      </c>
      <c r="AP85" t="s">
        <v>219</v>
      </c>
      <c r="AQ85">
        <v>10</v>
      </c>
      <c r="AR85">
        <v>207</v>
      </c>
      <c r="AS85" t="s">
        <v>81</v>
      </c>
      <c r="AT85">
        <v>65103</v>
      </c>
      <c r="AU85" t="s">
        <v>266</v>
      </c>
      <c r="AV85" t="s">
        <v>82</v>
      </c>
      <c r="AW85" t="s">
        <v>70</v>
      </c>
      <c r="AX85" t="s">
        <v>71</v>
      </c>
      <c r="AY85" t="s">
        <v>220</v>
      </c>
      <c r="AZ85" t="s">
        <v>221</v>
      </c>
      <c r="BA85" t="s">
        <v>360</v>
      </c>
      <c r="BB85">
        <v>0</v>
      </c>
      <c r="BC85">
        <v>0</v>
      </c>
      <c r="BD85" t="s">
        <v>199</v>
      </c>
      <c r="BE85" t="s">
        <v>199</v>
      </c>
      <c r="BF85">
        <v>0</v>
      </c>
      <c r="BG85">
        <v>0</v>
      </c>
      <c r="BH85" t="s">
        <v>200</v>
      </c>
      <c r="BI85">
        <v>13</v>
      </c>
      <c r="BJ85">
        <v>6191333</v>
      </c>
      <c r="BK85" t="s">
        <v>201</v>
      </c>
      <c r="BL85" t="s">
        <v>190</v>
      </c>
    </row>
    <row r="86" spans="1:64" x14ac:dyDescent="0.3">
      <c r="A86">
        <v>254</v>
      </c>
      <c r="B86" t="s">
        <v>186</v>
      </c>
      <c r="C86">
        <v>3</v>
      </c>
      <c r="D86">
        <v>6192826</v>
      </c>
      <c r="E86" t="s">
        <v>297</v>
      </c>
      <c r="F86" t="s">
        <v>188</v>
      </c>
      <c r="G86">
        <v>10021724</v>
      </c>
      <c r="H86" s="35">
        <v>46052</v>
      </c>
      <c r="I86" s="35">
        <v>46052</v>
      </c>
      <c r="J86">
        <v>2026</v>
      </c>
      <c r="K86">
        <v>1</v>
      </c>
      <c r="L86" t="s">
        <v>242</v>
      </c>
      <c r="M86">
        <v>1</v>
      </c>
      <c r="N86" t="s">
        <v>203</v>
      </c>
      <c r="O86" t="s">
        <v>191</v>
      </c>
      <c r="P86" t="s">
        <v>199</v>
      </c>
      <c r="Q86" t="s">
        <v>199</v>
      </c>
      <c r="R86">
        <v>5</v>
      </c>
      <c r="S86">
        <v>30</v>
      </c>
      <c r="T86">
        <v>5474</v>
      </c>
      <c r="U86">
        <v>3</v>
      </c>
      <c r="V86" t="s">
        <v>298</v>
      </c>
      <c r="W86" t="s">
        <v>54</v>
      </c>
      <c r="X86" t="s">
        <v>19</v>
      </c>
      <c r="Y86" t="s">
        <v>55</v>
      </c>
      <c r="Z86" t="s">
        <v>56</v>
      </c>
      <c r="AA86">
        <v>70</v>
      </c>
      <c r="AB86">
        <v>982005</v>
      </c>
      <c r="AC86" t="s">
        <v>367</v>
      </c>
      <c r="AD86" t="s">
        <v>368</v>
      </c>
      <c r="AE86">
        <v>3</v>
      </c>
      <c r="AF86">
        <v>3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94</v>
      </c>
      <c r="AO86" t="s">
        <v>64</v>
      </c>
      <c r="AP86" t="s">
        <v>66</v>
      </c>
      <c r="AQ86">
        <v>10</v>
      </c>
      <c r="AR86">
        <v>167</v>
      </c>
      <c r="AS86" t="s">
        <v>100</v>
      </c>
      <c r="AT86">
        <v>65105</v>
      </c>
      <c r="AU86" t="s">
        <v>257</v>
      </c>
      <c r="AV86" t="s">
        <v>101</v>
      </c>
      <c r="AW86" t="s">
        <v>50</v>
      </c>
      <c r="AX86" t="s">
        <v>51</v>
      </c>
      <c r="AY86" t="s">
        <v>65</v>
      </c>
      <c r="AZ86" t="s">
        <v>240</v>
      </c>
      <c r="BA86" t="s">
        <v>369</v>
      </c>
      <c r="BB86">
        <v>0</v>
      </c>
      <c r="BC86">
        <v>1</v>
      </c>
      <c r="BD86">
        <v>3303</v>
      </c>
      <c r="BE86" t="s">
        <v>370</v>
      </c>
      <c r="BF86">
        <v>0</v>
      </c>
      <c r="BG86">
        <v>0</v>
      </c>
      <c r="BH86" t="s">
        <v>200</v>
      </c>
      <c r="BI86">
        <v>13</v>
      </c>
      <c r="BJ86">
        <v>6192826</v>
      </c>
      <c r="BK86" t="s">
        <v>201</v>
      </c>
      <c r="BL86" t="s">
        <v>190</v>
      </c>
    </row>
    <row r="87" spans="1:64" x14ac:dyDescent="0.3">
      <c r="A87">
        <v>254</v>
      </c>
      <c r="B87" t="s">
        <v>186</v>
      </c>
      <c r="C87">
        <v>3</v>
      </c>
      <c r="D87">
        <v>6192826</v>
      </c>
      <c r="E87" t="s">
        <v>297</v>
      </c>
      <c r="F87" t="s">
        <v>188</v>
      </c>
      <c r="G87">
        <v>10021724</v>
      </c>
      <c r="H87" s="35">
        <v>46052</v>
      </c>
      <c r="I87" s="35">
        <v>46052</v>
      </c>
      <c r="J87">
        <v>2026</v>
      </c>
      <c r="K87">
        <v>1</v>
      </c>
      <c r="L87" t="s">
        <v>242</v>
      </c>
      <c r="M87">
        <v>1</v>
      </c>
      <c r="N87" t="s">
        <v>203</v>
      </c>
      <c r="O87" t="s">
        <v>191</v>
      </c>
      <c r="P87" t="s">
        <v>199</v>
      </c>
      <c r="Q87" t="s">
        <v>199</v>
      </c>
      <c r="R87">
        <v>5</v>
      </c>
      <c r="S87">
        <v>30</v>
      </c>
      <c r="T87">
        <v>5474</v>
      </c>
      <c r="U87">
        <v>3</v>
      </c>
      <c r="V87" t="s">
        <v>298</v>
      </c>
      <c r="W87" t="s">
        <v>54</v>
      </c>
      <c r="X87" t="s">
        <v>19</v>
      </c>
      <c r="Y87" t="s">
        <v>55</v>
      </c>
      <c r="Z87" t="s">
        <v>56</v>
      </c>
      <c r="AA87">
        <v>70</v>
      </c>
      <c r="AB87">
        <v>982005</v>
      </c>
      <c r="AC87" t="s">
        <v>367</v>
      </c>
      <c r="AD87" t="s">
        <v>368</v>
      </c>
      <c r="AE87">
        <v>20</v>
      </c>
      <c r="AF87">
        <v>20</v>
      </c>
      <c r="AG87">
        <v>141.6</v>
      </c>
      <c r="AH87">
        <v>0</v>
      </c>
      <c r="AI87">
        <v>0</v>
      </c>
      <c r="AJ87">
        <v>0</v>
      </c>
      <c r="AK87">
        <v>509.76</v>
      </c>
      <c r="AL87">
        <v>2832</v>
      </c>
      <c r="AM87">
        <v>3342</v>
      </c>
      <c r="AN87">
        <v>94</v>
      </c>
      <c r="AO87" t="s">
        <v>64</v>
      </c>
      <c r="AP87" t="s">
        <v>66</v>
      </c>
      <c r="AQ87">
        <v>10</v>
      </c>
      <c r="AR87">
        <v>167</v>
      </c>
      <c r="AS87" t="s">
        <v>100</v>
      </c>
      <c r="AT87">
        <v>65105</v>
      </c>
      <c r="AU87" t="s">
        <v>257</v>
      </c>
      <c r="AV87" t="s">
        <v>101</v>
      </c>
      <c r="AW87" t="s">
        <v>50</v>
      </c>
      <c r="AX87" t="s">
        <v>51</v>
      </c>
      <c r="AY87" t="s">
        <v>65</v>
      </c>
      <c r="AZ87" t="s">
        <v>240</v>
      </c>
      <c r="BA87" t="s">
        <v>369</v>
      </c>
      <c r="BB87">
        <v>0</v>
      </c>
      <c r="BC87">
        <v>0</v>
      </c>
      <c r="BD87" t="s">
        <v>199</v>
      </c>
      <c r="BE87" t="s">
        <v>199</v>
      </c>
      <c r="BF87">
        <v>0</v>
      </c>
      <c r="BG87">
        <v>0</v>
      </c>
      <c r="BH87" t="s">
        <v>200</v>
      </c>
      <c r="BI87">
        <v>13</v>
      </c>
      <c r="BJ87">
        <v>6192826</v>
      </c>
      <c r="BK87" t="s">
        <v>201</v>
      </c>
      <c r="BL87" t="s">
        <v>190</v>
      </c>
    </row>
    <row r="88" spans="1:64" x14ac:dyDescent="0.3">
      <c r="A88">
        <v>254</v>
      </c>
      <c r="B88" t="s">
        <v>186</v>
      </c>
      <c r="C88">
        <v>3</v>
      </c>
      <c r="D88">
        <v>6192826</v>
      </c>
      <c r="E88" t="s">
        <v>297</v>
      </c>
      <c r="F88" t="s">
        <v>188</v>
      </c>
      <c r="G88">
        <v>10021724</v>
      </c>
      <c r="H88" s="35">
        <v>46052</v>
      </c>
      <c r="I88" s="35">
        <v>46052</v>
      </c>
      <c r="J88">
        <v>2026</v>
      </c>
      <c r="K88">
        <v>1</v>
      </c>
      <c r="L88" t="s">
        <v>242</v>
      </c>
      <c r="M88">
        <v>1</v>
      </c>
      <c r="N88" t="s">
        <v>203</v>
      </c>
      <c r="O88" t="s">
        <v>191</v>
      </c>
      <c r="P88" t="s">
        <v>199</v>
      </c>
      <c r="Q88" t="s">
        <v>199</v>
      </c>
      <c r="R88">
        <v>5</v>
      </c>
      <c r="S88">
        <v>30</v>
      </c>
      <c r="T88">
        <v>5474</v>
      </c>
      <c r="U88">
        <v>3</v>
      </c>
      <c r="V88" t="s">
        <v>298</v>
      </c>
      <c r="W88" t="s">
        <v>54</v>
      </c>
      <c r="X88" t="s">
        <v>19</v>
      </c>
      <c r="Y88" t="s">
        <v>55</v>
      </c>
      <c r="Z88" t="s">
        <v>56</v>
      </c>
      <c r="AA88">
        <v>70</v>
      </c>
      <c r="AB88">
        <v>930023</v>
      </c>
      <c r="AC88" t="s">
        <v>332</v>
      </c>
      <c r="AD88" t="s">
        <v>333</v>
      </c>
      <c r="AE88">
        <v>0.3</v>
      </c>
      <c r="AF88">
        <v>6</v>
      </c>
      <c r="AG88">
        <v>140.75</v>
      </c>
      <c r="AH88">
        <v>0</v>
      </c>
      <c r="AI88">
        <v>0</v>
      </c>
      <c r="AJ88">
        <v>0</v>
      </c>
      <c r="AK88">
        <v>152.01</v>
      </c>
      <c r="AL88">
        <v>844.5</v>
      </c>
      <c r="AM88">
        <v>997</v>
      </c>
      <c r="AN88">
        <v>94</v>
      </c>
      <c r="AO88" t="s">
        <v>64</v>
      </c>
      <c r="AP88" t="s">
        <v>66</v>
      </c>
      <c r="AQ88">
        <v>10</v>
      </c>
      <c r="AR88">
        <v>208</v>
      </c>
      <c r="AS88" t="s">
        <v>92</v>
      </c>
      <c r="AT88">
        <v>0</v>
      </c>
      <c r="AU88" t="s">
        <v>199</v>
      </c>
      <c r="AV88" t="s">
        <v>82</v>
      </c>
      <c r="AW88" t="s">
        <v>50</v>
      </c>
      <c r="AX88" t="s">
        <v>51</v>
      </c>
      <c r="AY88" t="s">
        <v>65</v>
      </c>
      <c r="AZ88" t="s">
        <v>240</v>
      </c>
      <c r="BA88" t="s">
        <v>369</v>
      </c>
      <c r="BB88">
        <v>0</v>
      </c>
      <c r="BC88">
        <v>0</v>
      </c>
      <c r="BD88" t="s">
        <v>199</v>
      </c>
      <c r="BE88" t="s">
        <v>199</v>
      </c>
      <c r="BF88">
        <v>0</v>
      </c>
      <c r="BG88">
        <v>0</v>
      </c>
      <c r="BH88" t="s">
        <v>200</v>
      </c>
      <c r="BI88">
        <v>13</v>
      </c>
      <c r="BJ88">
        <v>6192826</v>
      </c>
      <c r="BK88" t="s">
        <v>201</v>
      </c>
      <c r="BL88" t="s">
        <v>190</v>
      </c>
    </row>
    <row r="89" spans="1:64" x14ac:dyDescent="0.3">
      <c r="A89">
        <v>223</v>
      </c>
      <c r="B89" t="s">
        <v>186</v>
      </c>
      <c r="C89">
        <v>3</v>
      </c>
      <c r="D89">
        <v>6195253</v>
      </c>
      <c r="E89" t="s">
        <v>202</v>
      </c>
      <c r="F89" t="s">
        <v>188</v>
      </c>
      <c r="G89">
        <v>10024154</v>
      </c>
      <c r="H89" s="35">
        <v>46053</v>
      </c>
      <c r="I89" s="35">
        <v>46053</v>
      </c>
      <c r="J89">
        <v>2026</v>
      </c>
      <c r="K89">
        <v>1</v>
      </c>
      <c r="L89" t="s">
        <v>242</v>
      </c>
      <c r="M89">
        <v>1</v>
      </c>
      <c r="N89" t="s">
        <v>190</v>
      </c>
      <c r="O89" t="s">
        <v>191</v>
      </c>
      <c r="P89" t="s">
        <v>199</v>
      </c>
      <c r="Q89" t="s">
        <v>199</v>
      </c>
      <c r="R89">
        <v>5</v>
      </c>
      <c r="S89">
        <v>31</v>
      </c>
      <c r="T89">
        <v>1019</v>
      </c>
      <c r="U89">
        <v>3</v>
      </c>
      <c r="V89" t="s">
        <v>270</v>
      </c>
      <c r="W89" t="s">
        <v>46</v>
      </c>
      <c r="X89" t="s">
        <v>19</v>
      </c>
      <c r="Y89" t="s">
        <v>41</v>
      </c>
      <c r="Z89" t="s">
        <v>41</v>
      </c>
      <c r="AA89">
        <v>60</v>
      </c>
      <c r="AB89">
        <v>101038</v>
      </c>
      <c r="AC89" t="s">
        <v>271</v>
      </c>
      <c r="AD89" t="s">
        <v>272</v>
      </c>
      <c r="AE89">
        <v>1</v>
      </c>
      <c r="AF89">
        <v>10</v>
      </c>
      <c r="AG89">
        <v>357.83</v>
      </c>
      <c r="AH89">
        <v>0</v>
      </c>
      <c r="AI89">
        <v>0</v>
      </c>
      <c r="AJ89">
        <v>0</v>
      </c>
      <c r="AK89">
        <v>644.09</v>
      </c>
      <c r="AL89">
        <v>3578.3</v>
      </c>
      <c r="AM89">
        <v>4222</v>
      </c>
      <c r="AN89">
        <v>8</v>
      </c>
      <c r="AO89" t="s">
        <v>37</v>
      </c>
      <c r="AP89" t="s">
        <v>39</v>
      </c>
      <c r="AQ89">
        <v>10</v>
      </c>
      <c r="AR89">
        <v>105</v>
      </c>
      <c r="AS89" t="s">
        <v>85</v>
      </c>
      <c r="AT89">
        <v>677001</v>
      </c>
      <c r="AU89" t="s">
        <v>273</v>
      </c>
      <c r="AV89" t="s">
        <v>86</v>
      </c>
      <c r="AW89" t="s">
        <v>23</v>
      </c>
      <c r="AX89" t="s">
        <v>24</v>
      </c>
      <c r="AY89" t="s">
        <v>38</v>
      </c>
      <c r="AZ89" t="s">
        <v>197</v>
      </c>
      <c r="BA89" t="s">
        <v>371</v>
      </c>
      <c r="BB89">
        <v>0</v>
      </c>
      <c r="BC89">
        <v>0</v>
      </c>
      <c r="BD89" t="s">
        <v>199</v>
      </c>
      <c r="BE89" t="s">
        <v>199</v>
      </c>
      <c r="BF89">
        <v>0</v>
      </c>
      <c r="BG89">
        <v>0</v>
      </c>
      <c r="BH89" t="s">
        <v>200</v>
      </c>
      <c r="BI89">
        <v>13</v>
      </c>
      <c r="BJ89">
        <v>6195253</v>
      </c>
      <c r="BK89" t="s">
        <v>201</v>
      </c>
      <c r="BL89" t="s">
        <v>190</v>
      </c>
    </row>
    <row r="90" spans="1:64" x14ac:dyDescent="0.3">
      <c r="A90">
        <v>223</v>
      </c>
      <c r="B90" t="s">
        <v>186</v>
      </c>
      <c r="C90">
        <v>3</v>
      </c>
      <c r="D90">
        <v>6195253</v>
      </c>
      <c r="E90" t="s">
        <v>202</v>
      </c>
      <c r="F90" t="s">
        <v>188</v>
      </c>
      <c r="G90">
        <v>10024154</v>
      </c>
      <c r="H90" s="35">
        <v>46053</v>
      </c>
      <c r="I90" s="35">
        <v>46053</v>
      </c>
      <c r="J90">
        <v>2026</v>
      </c>
      <c r="K90">
        <v>1</v>
      </c>
      <c r="L90" t="s">
        <v>242</v>
      </c>
      <c r="M90">
        <v>1</v>
      </c>
      <c r="N90" t="s">
        <v>190</v>
      </c>
      <c r="O90" t="s">
        <v>191</v>
      </c>
      <c r="P90" t="s">
        <v>199</v>
      </c>
      <c r="Q90" t="s">
        <v>199</v>
      </c>
      <c r="R90">
        <v>5</v>
      </c>
      <c r="S90">
        <v>31</v>
      </c>
      <c r="T90">
        <v>1019</v>
      </c>
      <c r="U90">
        <v>3</v>
      </c>
      <c r="V90" t="s">
        <v>270</v>
      </c>
      <c r="W90" t="s">
        <v>46</v>
      </c>
      <c r="X90" t="s">
        <v>19</v>
      </c>
      <c r="Y90" t="s">
        <v>41</v>
      </c>
      <c r="Z90" t="s">
        <v>41</v>
      </c>
      <c r="AA90">
        <v>60</v>
      </c>
      <c r="AB90">
        <v>101026</v>
      </c>
      <c r="AC90" t="s">
        <v>372</v>
      </c>
      <c r="AD90" t="s">
        <v>373</v>
      </c>
      <c r="AE90">
        <v>5.5555555555550001E-2</v>
      </c>
      <c r="AF90">
        <v>2</v>
      </c>
      <c r="AG90">
        <v>33.06</v>
      </c>
      <c r="AH90">
        <v>0</v>
      </c>
      <c r="AI90">
        <v>0</v>
      </c>
      <c r="AJ90">
        <v>0</v>
      </c>
      <c r="AK90">
        <v>11.9</v>
      </c>
      <c r="AL90">
        <v>66.12</v>
      </c>
      <c r="AM90">
        <v>78</v>
      </c>
      <c r="AN90">
        <v>8</v>
      </c>
      <c r="AO90" t="s">
        <v>37</v>
      </c>
      <c r="AP90" t="s">
        <v>39</v>
      </c>
      <c r="AQ90">
        <v>10</v>
      </c>
      <c r="AR90">
        <v>136</v>
      </c>
      <c r="AS90" t="s">
        <v>87</v>
      </c>
      <c r="AT90">
        <v>677001</v>
      </c>
      <c r="AU90" t="s">
        <v>273</v>
      </c>
      <c r="AV90" t="s">
        <v>86</v>
      </c>
      <c r="AW90" t="s">
        <v>23</v>
      </c>
      <c r="AX90" t="s">
        <v>24</v>
      </c>
      <c r="AY90" t="s">
        <v>38</v>
      </c>
      <c r="AZ90" t="s">
        <v>197</v>
      </c>
      <c r="BA90" t="s">
        <v>371</v>
      </c>
      <c r="BB90">
        <v>0</v>
      </c>
      <c r="BC90">
        <v>0</v>
      </c>
      <c r="BD90" t="s">
        <v>199</v>
      </c>
      <c r="BE90" t="s">
        <v>199</v>
      </c>
      <c r="BF90">
        <v>0</v>
      </c>
      <c r="BG90">
        <v>0</v>
      </c>
      <c r="BH90" t="s">
        <v>200</v>
      </c>
      <c r="BI90">
        <v>13</v>
      </c>
      <c r="BJ90">
        <v>6195253</v>
      </c>
      <c r="BK90" t="s">
        <v>201</v>
      </c>
      <c r="BL90" t="s">
        <v>190</v>
      </c>
    </row>
    <row r="91" spans="1:64" x14ac:dyDescent="0.3">
      <c r="A91">
        <v>223</v>
      </c>
      <c r="B91" t="s">
        <v>186</v>
      </c>
      <c r="C91">
        <v>3</v>
      </c>
      <c r="D91">
        <v>6195253</v>
      </c>
      <c r="E91" t="s">
        <v>202</v>
      </c>
      <c r="F91" t="s">
        <v>188</v>
      </c>
      <c r="G91">
        <v>10024154</v>
      </c>
      <c r="H91" s="35">
        <v>46053</v>
      </c>
      <c r="I91" s="35">
        <v>46053</v>
      </c>
      <c r="J91">
        <v>2026</v>
      </c>
      <c r="K91">
        <v>1</v>
      </c>
      <c r="L91" t="s">
        <v>242</v>
      </c>
      <c r="M91">
        <v>1</v>
      </c>
      <c r="N91" t="s">
        <v>203</v>
      </c>
      <c r="O91" t="s">
        <v>191</v>
      </c>
      <c r="P91" t="s">
        <v>199</v>
      </c>
      <c r="Q91" t="s">
        <v>199</v>
      </c>
      <c r="R91">
        <v>5</v>
      </c>
      <c r="S91">
        <v>31</v>
      </c>
      <c r="T91">
        <v>1019</v>
      </c>
      <c r="U91">
        <v>3</v>
      </c>
      <c r="V91" t="s">
        <v>270</v>
      </c>
      <c r="W91" t="s">
        <v>46</v>
      </c>
      <c r="X91" t="s">
        <v>19</v>
      </c>
      <c r="Y91" t="s">
        <v>41</v>
      </c>
      <c r="Z91" t="s">
        <v>41</v>
      </c>
      <c r="AA91">
        <v>60</v>
      </c>
      <c r="AB91">
        <v>930188</v>
      </c>
      <c r="AC91" t="s">
        <v>374</v>
      </c>
      <c r="AD91" t="s">
        <v>375</v>
      </c>
      <c r="AE91">
        <v>1</v>
      </c>
      <c r="AF91">
        <v>15</v>
      </c>
      <c r="AG91">
        <v>56.36</v>
      </c>
      <c r="AH91">
        <v>0</v>
      </c>
      <c r="AI91">
        <v>0</v>
      </c>
      <c r="AJ91">
        <v>0</v>
      </c>
      <c r="AK91">
        <v>152.16999999999999</v>
      </c>
      <c r="AL91">
        <v>845.4</v>
      </c>
      <c r="AM91">
        <v>998</v>
      </c>
      <c r="AN91">
        <v>8</v>
      </c>
      <c r="AO91" t="s">
        <v>37</v>
      </c>
      <c r="AP91" t="s">
        <v>39</v>
      </c>
      <c r="AQ91">
        <v>10</v>
      </c>
      <c r="AR91">
        <v>206</v>
      </c>
      <c r="AS91" t="s">
        <v>83</v>
      </c>
      <c r="AT91">
        <v>0</v>
      </c>
      <c r="AU91" t="s">
        <v>199</v>
      </c>
      <c r="AV91" t="s">
        <v>82</v>
      </c>
      <c r="AW91" t="s">
        <v>23</v>
      </c>
      <c r="AX91" t="s">
        <v>24</v>
      </c>
      <c r="AY91" t="s">
        <v>38</v>
      </c>
      <c r="AZ91" t="s">
        <v>197</v>
      </c>
      <c r="BA91" t="s">
        <v>371</v>
      </c>
      <c r="BB91">
        <v>0</v>
      </c>
      <c r="BC91">
        <v>0</v>
      </c>
      <c r="BD91" t="s">
        <v>199</v>
      </c>
      <c r="BE91" t="s">
        <v>199</v>
      </c>
      <c r="BF91">
        <v>0</v>
      </c>
      <c r="BG91">
        <v>0</v>
      </c>
      <c r="BH91" t="s">
        <v>200</v>
      </c>
      <c r="BI91">
        <v>13</v>
      </c>
      <c r="BJ91">
        <v>6195253</v>
      </c>
      <c r="BK91" t="s">
        <v>201</v>
      </c>
      <c r="BL91" t="s">
        <v>190</v>
      </c>
    </row>
    <row r="92" spans="1:64" x14ac:dyDescent="0.3">
      <c r="A92">
        <v>109</v>
      </c>
      <c r="B92" t="s">
        <v>186</v>
      </c>
      <c r="C92">
        <v>3</v>
      </c>
      <c r="D92">
        <v>6195438</v>
      </c>
      <c r="E92" t="s">
        <v>187</v>
      </c>
      <c r="F92" t="s">
        <v>188</v>
      </c>
      <c r="G92">
        <v>10024339</v>
      </c>
      <c r="H92" s="35">
        <v>46053</v>
      </c>
      <c r="I92" s="35">
        <v>46053</v>
      </c>
      <c r="J92">
        <v>2026</v>
      </c>
      <c r="K92">
        <v>1</v>
      </c>
      <c r="L92" t="s">
        <v>242</v>
      </c>
      <c r="M92">
        <v>1</v>
      </c>
      <c r="N92" t="s">
        <v>190</v>
      </c>
      <c r="O92" t="s">
        <v>191</v>
      </c>
      <c r="P92" t="s">
        <v>199</v>
      </c>
      <c r="Q92" t="s">
        <v>199</v>
      </c>
      <c r="R92">
        <v>5</v>
      </c>
      <c r="S92">
        <v>31</v>
      </c>
      <c r="T92">
        <v>2280</v>
      </c>
      <c r="U92">
        <v>3</v>
      </c>
      <c r="V92" t="s">
        <v>193</v>
      </c>
      <c r="W92" t="s">
        <v>29</v>
      </c>
      <c r="X92" t="s">
        <v>19</v>
      </c>
      <c r="Y92" t="s">
        <v>30</v>
      </c>
      <c r="Z92" t="s">
        <v>30</v>
      </c>
      <c r="AA92">
        <v>14</v>
      </c>
      <c r="AB92">
        <v>201001</v>
      </c>
      <c r="AC92" t="s">
        <v>248</v>
      </c>
      <c r="AD92" t="s">
        <v>249</v>
      </c>
      <c r="AE92">
        <v>10</v>
      </c>
      <c r="AF92">
        <v>10</v>
      </c>
      <c r="AG92">
        <v>221.67</v>
      </c>
      <c r="AH92">
        <v>0</v>
      </c>
      <c r="AI92">
        <v>0</v>
      </c>
      <c r="AJ92">
        <v>0</v>
      </c>
      <c r="AK92">
        <v>399.01</v>
      </c>
      <c r="AL92">
        <v>2216.6999999999998</v>
      </c>
      <c r="AM92">
        <v>2616</v>
      </c>
      <c r="AN92">
        <v>93</v>
      </c>
      <c r="AO92" t="s">
        <v>250</v>
      </c>
      <c r="AP92" t="s">
        <v>251</v>
      </c>
      <c r="AQ92">
        <v>10</v>
      </c>
      <c r="AR92">
        <v>113</v>
      </c>
      <c r="AS92" t="s">
        <v>89</v>
      </c>
      <c r="AT92">
        <v>82101</v>
      </c>
      <c r="AU92" t="s">
        <v>252</v>
      </c>
      <c r="AV92" t="s">
        <v>80</v>
      </c>
      <c r="AW92" t="s">
        <v>23</v>
      </c>
      <c r="AX92" t="s">
        <v>24</v>
      </c>
      <c r="AY92" t="s">
        <v>253</v>
      </c>
      <c r="AZ92" t="s">
        <v>197</v>
      </c>
      <c r="BA92" t="s">
        <v>376</v>
      </c>
      <c r="BB92">
        <v>0</v>
      </c>
      <c r="BC92">
        <v>0</v>
      </c>
      <c r="BD92" t="s">
        <v>199</v>
      </c>
      <c r="BE92" t="s">
        <v>199</v>
      </c>
      <c r="BF92">
        <v>0</v>
      </c>
      <c r="BG92">
        <v>0</v>
      </c>
      <c r="BH92" t="s">
        <v>200</v>
      </c>
      <c r="BI92">
        <v>18</v>
      </c>
      <c r="BJ92">
        <v>6195438</v>
      </c>
      <c r="BK92" t="s">
        <v>201</v>
      </c>
      <c r="BL92" t="s">
        <v>190</v>
      </c>
    </row>
    <row r="93" spans="1:64" x14ac:dyDescent="0.3">
      <c r="A93">
        <v>109</v>
      </c>
      <c r="B93" t="s">
        <v>186</v>
      </c>
      <c r="C93">
        <v>3</v>
      </c>
      <c r="D93">
        <v>6195438</v>
      </c>
      <c r="E93" t="s">
        <v>187</v>
      </c>
      <c r="F93" t="s">
        <v>188</v>
      </c>
      <c r="G93">
        <v>10024339</v>
      </c>
      <c r="H93" s="35">
        <v>46053</v>
      </c>
      <c r="I93" s="35">
        <v>46053</v>
      </c>
      <c r="J93">
        <v>2026</v>
      </c>
      <c r="K93">
        <v>1</v>
      </c>
      <c r="L93" t="s">
        <v>242</v>
      </c>
      <c r="M93">
        <v>1</v>
      </c>
      <c r="N93" t="s">
        <v>203</v>
      </c>
      <c r="O93" t="s">
        <v>191</v>
      </c>
      <c r="P93" t="s">
        <v>199</v>
      </c>
      <c r="Q93" t="s">
        <v>199</v>
      </c>
      <c r="R93">
        <v>5</v>
      </c>
      <c r="S93">
        <v>31</v>
      </c>
      <c r="T93">
        <v>2280</v>
      </c>
      <c r="U93">
        <v>3</v>
      </c>
      <c r="V93" t="s">
        <v>193</v>
      </c>
      <c r="W93" t="s">
        <v>29</v>
      </c>
      <c r="X93" t="s">
        <v>19</v>
      </c>
      <c r="Y93" t="s">
        <v>30</v>
      </c>
      <c r="Z93" t="s">
        <v>30</v>
      </c>
      <c r="AA93">
        <v>14</v>
      </c>
      <c r="AB93">
        <v>611221</v>
      </c>
      <c r="AC93" t="s">
        <v>255</v>
      </c>
      <c r="AD93" t="s">
        <v>256</v>
      </c>
      <c r="AE93">
        <v>1</v>
      </c>
      <c r="AF93">
        <v>1</v>
      </c>
      <c r="AG93">
        <v>194.92</v>
      </c>
      <c r="AH93">
        <v>0</v>
      </c>
      <c r="AI93">
        <v>0</v>
      </c>
      <c r="AJ93">
        <v>0</v>
      </c>
      <c r="AK93">
        <v>35.090000000000003</v>
      </c>
      <c r="AL93">
        <v>194.92</v>
      </c>
      <c r="AM93">
        <v>230</v>
      </c>
      <c r="AN93">
        <v>93</v>
      </c>
      <c r="AO93" t="s">
        <v>250</v>
      </c>
      <c r="AP93" t="s">
        <v>251</v>
      </c>
      <c r="AQ93">
        <v>10</v>
      </c>
      <c r="AR93">
        <v>193</v>
      </c>
      <c r="AS93" t="s">
        <v>98</v>
      </c>
      <c r="AT93">
        <v>65105</v>
      </c>
      <c r="AU93" t="s">
        <v>257</v>
      </c>
      <c r="AV93" t="s">
        <v>99</v>
      </c>
      <c r="AW93" t="s">
        <v>23</v>
      </c>
      <c r="AX93" t="s">
        <v>24</v>
      </c>
      <c r="AY93" t="s">
        <v>253</v>
      </c>
      <c r="AZ93" t="s">
        <v>197</v>
      </c>
      <c r="BA93" t="s">
        <v>376</v>
      </c>
      <c r="BB93">
        <v>0</v>
      </c>
      <c r="BC93">
        <v>0</v>
      </c>
      <c r="BD93" t="s">
        <v>199</v>
      </c>
      <c r="BE93" t="s">
        <v>199</v>
      </c>
      <c r="BF93">
        <v>0</v>
      </c>
      <c r="BG93">
        <v>0</v>
      </c>
      <c r="BH93" t="s">
        <v>200</v>
      </c>
      <c r="BI93">
        <v>18</v>
      </c>
      <c r="BJ93">
        <v>6195438</v>
      </c>
      <c r="BK93" t="s">
        <v>201</v>
      </c>
      <c r="BL93" t="s">
        <v>190</v>
      </c>
    </row>
    <row r="94" spans="1:64" x14ac:dyDescent="0.3">
      <c r="A94">
        <v>109</v>
      </c>
      <c r="B94" t="s">
        <v>186</v>
      </c>
      <c r="C94">
        <v>3</v>
      </c>
      <c r="D94">
        <v>6195438</v>
      </c>
      <c r="E94" t="s">
        <v>187</v>
      </c>
      <c r="F94" t="s">
        <v>188</v>
      </c>
      <c r="G94">
        <v>10024339</v>
      </c>
      <c r="H94" s="35">
        <v>46053</v>
      </c>
      <c r="I94" s="35">
        <v>46053</v>
      </c>
      <c r="J94">
        <v>2026</v>
      </c>
      <c r="K94">
        <v>1</v>
      </c>
      <c r="L94" t="s">
        <v>242</v>
      </c>
      <c r="M94">
        <v>1</v>
      </c>
      <c r="N94" t="s">
        <v>203</v>
      </c>
      <c r="O94" t="s">
        <v>191</v>
      </c>
      <c r="P94" t="s">
        <v>199</v>
      </c>
      <c r="Q94" t="s">
        <v>199</v>
      </c>
      <c r="R94">
        <v>5</v>
      </c>
      <c r="S94">
        <v>31</v>
      </c>
      <c r="T94">
        <v>2280</v>
      </c>
      <c r="U94">
        <v>3</v>
      </c>
      <c r="V94" t="s">
        <v>193</v>
      </c>
      <c r="W94" t="s">
        <v>29</v>
      </c>
      <c r="X94" t="s">
        <v>19</v>
      </c>
      <c r="Y94" t="s">
        <v>30</v>
      </c>
      <c r="Z94" t="s">
        <v>30</v>
      </c>
      <c r="AA94">
        <v>14</v>
      </c>
      <c r="AB94">
        <v>930045</v>
      </c>
      <c r="AC94" t="s">
        <v>258</v>
      </c>
      <c r="AD94" t="s">
        <v>259</v>
      </c>
      <c r="AE94">
        <v>0.16666666666666</v>
      </c>
      <c r="AF94">
        <v>4</v>
      </c>
      <c r="AG94">
        <v>103.5</v>
      </c>
      <c r="AH94">
        <v>0</v>
      </c>
      <c r="AI94">
        <v>0</v>
      </c>
      <c r="AJ94">
        <v>0</v>
      </c>
      <c r="AK94">
        <v>74.52</v>
      </c>
      <c r="AL94">
        <v>414</v>
      </c>
      <c r="AM94">
        <v>489</v>
      </c>
      <c r="AN94">
        <v>93</v>
      </c>
      <c r="AO94" t="s">
        <v>250</v>
      </c>
      <c r="AP94" t="s">
        <v>251</v>
      </c>
      <c r="AQ94">
        <v>10</v>
      </c>
      <c r="AR94">
        <v>204</v>
      </c>
      <c r="AS94" t="s">
        <v>84</v>
      </c>
      <c r="AT94">
        <v>0</v>
      </c>
      <c r="AU94" t="s">
        <v>199</v>
      </c>
      <c r="AV94" t="s">
        <v>82</v>
      </c>
      <c r="AW94" t="s">
        <v>23</v>
      </c>
      <c r="AX94" t="s">
        <v>24</v>
      </c>
      <c r="AY94" t="s">
        <v>253</v>
      </c>
      <c r="AZ94" t="s">
        <v>197</v>
      </c>
      <c r="BA94" t="s">
        <v>376</v>
      </c>
      <c r="BB94">
        <v>0</v>
      </c>
      <c r="BC94">
        <v>0</v>
      </c>
      <c r="BD94" t="s">
        <v>199</v>
      </c>
      <c r="BE94" t="s">
        <v>199</v>
      </c>
      <c r="BF94">
        <v>0</v>
      </c>
      <c r="BG94">
        <v>0</v>
      </c>
      <c r="BH94" t="s">
        <v>200</v>
      </c>
      <c r="BI94">
        <v>18</v>
      </c>
      <c r="BJ94">
        <v>6195438</v>
      </c>
      <c r="BK94" t="s">
        <v>201</v>
      </c>
      <c r="BL94" t="s">
        <v>190</v>
      </c>
    </row>
    <row r="95" spans="1:64" x14ac:dyDescent="0.3">
      <c r="A95">
        <v>109</v>
      </c>
      <c r="B95" t="s">
        <v>186</v>
      </c>
      <c r="C95">
        <v>3</v>
      </c>
      <c r="D95">
        <v>6195475</v>
      </c>
      <c r="E95" t="s">
        <v>187</v>
      </c>
      <c r="F95" t="s">
        <v>188</v>
      </c>
      <c r="G95">
        <v>10024376</v>
      </c>
      <c r="H95" s="35">
        <v>46053</v>
      </c>
      <c r="I95" s="35">
        <v>46053</v>
      </c>
      <c r="J95">
        <v>2026</v>
      </c>
      <c r="K95">
        <v>1</v>
      </c>
      <c r="L95" t="s">
        <v>242</v>
      </c>
      <c r="M95">
        <v>1</v>
      </c>
      <c r="N95" t="s">
        <v>203</v>
      </c>
      <c r="O95" t="s">
        <v>191</v>
      </c>
      <c r="P95" t="s">
        <v>199</v>
      </c>
      <c r="Q95" t="s">
        <v>199</v>
      </c>
      <c r="R95">
        <v>5</v>
      </c>
      <c r="S95">
        <v>31</v>
      </c>
      <c r="T95">
        <v>19291</v>
      </c>
      <c r="U95">
        <v>3</v>
      </c>
      <c r="V95" t="s">
        <v>261</v>
      </c>
      <c r="W95" t="s">
        <v>35</v>
      </c>
      <c r="X95" t="s">
        <v>19</v>
      </c>
      <c r="Y95" t="s">
        <v>30</v>
      </c>
      <c r="Z95" t="s">
        <v>30</v>
      </c>
      <c r="AA95">
        <v>8</v>
      </c>
      <c r="AB95">
        <v>800791</v>
      </c>
      <c r="AC95" t="s">
        <v>262</v>
      </c>
      <c r="AD95" t="s">
        <v>263</v>
      </c>
      <c r="AE95">
        <v>0.28000000000000003</v>
      </c>
      <c r="AF95">
        <v>7</v>
      </c>
      <c r="AG95">
        <v>153.11000000000001</v>
      </c>
      <c r="AH95">
        <v>0</v>
      </c>
      <c r="AI95">
        <v>0</v>
      </c>
      <c r="AJ95">
        <v>0</v>
      </c>
      <c r="AK95">
        <v>192.92</v>
      </c>
      <c r="AL95">
        <v>1071.77</v>
      </c>
      <c r="AM95">
        <v>1265</v>
      </c>
      <c r="AN95">
        <v>4</v>
      </c>
      <c r="AO95" t="s">
        <v>264</v>
      </c>
      <c r="AP95" t="s">
        <v>265</v>
      </c>
      <c r="AQ95">
        <v>10</v>
      </c>
      <c r="AR95">
        <v>207</v>
      </c>
      <c r="AS95" t="s">
        <v>81</v>
      </c>
      <c r="AT95">
        <v>65103</v>
      </c>
      <c r="AU95" t="s">
        <v>266</v>
      </c>
      <c r="AV95" t="s">
        <v>82</v>
      </c>
      <c r="AW95" t="s">
        <v>23</v>
      </c>
      <c r="AX95" t="s">
        <v>24</v>
      </c>
      <c r="AY95" t="s">
        <v>267</v>
      </c>
      <c r="AZ95" t="s">
        <v>197</v>
      </c>
      <c r="BA95" t="s">
        <v>377</v>
      </c>
      <c r="BB95">
        <v>0</v>
      </c>
      <c r="BC95">
        <v>0</v>
      </c>
      <c r="BD95" t="s">
        <v>199</v>
      </c>
      <c r="BE95" t="s">
        <v>199</v>
      </c>
      <c r="BF95">
        <v>0</v>
      </c>
      <c r="BG95">
        <v>0</v>
      </c>
      <c r="BH95" t="s">
        <v>200</v>
      </c>
      <c r="BI95">
        <v>13</v>
      </c>
      <c r="BJ95">
        <v>6195475</v>
      </c>
      <c r="BK95" t="s">
        <v>201</v>
      </c>
      <c r="BL95" t="s">
        <v>190</v>
      </c>
    </row>
    <row r="96" spans="1:64" x14ac:dyDescent="0.3">
      <c r="A96">
        <v>109</v>
      </c>
      <c r="B96" t="s">
        <v>186</v>
      </c>
      <c r="C96">
        <v>3</v>
      </c>
      <c r="D96">
        <v>6195475</v>
      </c>
      <c r="E96" t="s">
        <v>187</v>
      </c>
      <c r="F96" t="s">
        <v>188</v>
      </c>
      <c r="G96">
        <v>10024376</v>
      </c>
      <c r="H96" s="35">
        <v>46053</v>
      </c>
      <c r="I96" s="35">
        <v>46053</v>
      </c>
      <c r="J96">
        <v>2026</v>
      </c>
      <c r="K96">
        <v>1</v>
      </c>
      <c r="L96" t="s">
        <v>242</v>
      </c>
      <c r="M96">
        <v>1</v>
      </c>
      <c r="N96" t="s">
        <v>203</v>
      </c>
      <c r="O96" t="s">
        <v>191</v>
      </c>
      <c r="P96" t="s">
        <v>199</v>
      </c>
      <c r="Q96" t="s">
        <v>199</v>
      </c>
      <c r="R96">
        <v>5</v>
      </c>
      <c r="S96">
        <v>31</v>
      </c>
      <c r="T96">
        <v>19291</v>
      </c>
      <c r="U96">
        <v>3</v>
      </c>
      <c r="V96" t="s">
        <v>261</v>
      </c>
      <c r="W96" t="s">
        <v>35</v>
      </c>
      <c r="X96" t="s">
        <v>19</v>
      </c>
      <c r="Y96" t="s">
        <v>30</v>
      </c>
      <c r="Z96" t="s">
        <v>30</v>
      </c>
      <c r="AA96">
        <v>8</v>
      </c>
      <c r="AB96">
        <v>800793</v>
      </c>
      <c r="AC96" t="s">
        <v>361</v>
      </c>
      <c r="AD96" t="s">
        <v>362</v>
      </c>
      <c r="AE96">
        <v>0.08</v>
      </c>
      <c r="AF96">
        <v>2</v>
      </c>
      <c r="AG96">
        <v>153.11000000000001</v>
      </c>
      <c r="AH96">
        <v>0</v>
      </c>
      <c r="AI96">
        <v>0</v>
      </c>
      <c r="AJ96">
        <v>0</v>
      </c>
      <c r="AK96">
        <v>55.12</v>
      </c>
      <c r="AL96">
        <v>306.22000000000003</v>
      </c>
      <c r="AM96">
        <v>361</v>
      </c>
      <c r="AN96">
        <v>4</v>
      </c>
      <c r="AO96" t="s">
        <v>264</v>
      </c>
      <c r="AP96" t="s">
        <v>265</v>
      </c>
      <c r="AQ96">
        <v>10</v>
      </c>
      <c r="AR96">
        <v>207</v>
      </c>
      <c r="AS96" t="s">
        <v>81</v>
      </c>
      <c r="AT96">
        <v>65103</v>
      </c>
      <c r="AU96" t="s">
        <v>266</v>
      </c>
      <c r="AV96" t="s">
        <v>82</v>
      </c>
      <c r="AW96" t="s">
        <v>23</v>
      </c>
      <c r="AX96" t="s">
        <v>24</v>
      </c>
      <c r="AY96" t="s">
        <v>267</v>
      </c>
      <c r="AZ96" t="s">
        <v>197</v>
      </c>
      <c r="BA96" t="s">
        <v>377</v>
      </c>
      <c r="BB96">
        <v>0</v>
      </c>
      <c r="BC96">
        <v>0</v>
      </c>
      <c r="BD96" t="s">
        <v>199</v>
      </c>
      <c r="BE96" t="s">
        <v>199</v>
      </c>
      <c r="BF96">
        <v>0</v>
      </c>
      <c r="BG96">
        <v>0</v>
      </c>
      <c r="BH96" t="s">
        <v>200</v>
      </c>
      <c r="BI96">
        <v>13</v>
      </c>
      <c r="BJ96">
        <v>6195475</v>
      </c>
      <c r="BK96" t="s">
        <v>201</v>
      </c>
      <c r="BL96" t="s">
        <v>190</v>
      </c>
    </row>
    <row r="97" spans="1:64" x14ac:dyDescent="0.3">
      <c r="A97">
        <v>109</v>
      </c>
      <c r="B97" t="s">
        <v>186</v>
      </c>
      <c r="C97">
        <v>3</v>
      </c>
      <c r="D97">
        <v>6195475</v>
      </c>
      <c r="E97" t="s">
        <v>187</v>
      </c>
      <c r="F97" t="s">
        <v>188</v>
      </c>
      <c r="G97">
        <v>10024376</v>
      </c>
      <c r="H97" s="35">
        <v>46053</v>
      </c>
      <c r="I97" s="35">
        <v>46053</v>
      </c>
      <c r="J97">
        <v>2026</v>
      </c>
      <c r="K97">
        <v>1</v>
      </c>
      <c r="L97" t="s">
        <v>242</v>
      </c>
      <c r="M97">
        <v>1</v>
      </c>
      <c r="N97" t="s">
        <v>203</v>
      </c>
      <c r="O97" t="s">
        <v>191</v>
      </c>
      <c r="P97" t="s">
        <v>199</v>
      </c>
      <c r="Q97" t="s">
        <v>199</v>
      </c>
      <c r="R97">
        <v>5</v>
      </c>
      <c r="S97">
        <v>31</v>
      </c>
      <c r="T97">
        <v>19291</v>
      </c>
      <c r="U97">
        <v>3</v>
      </c>
      <c r="V97" t="s">
        <v>261</v>
      </c>
      <c r="W97" t="s">
        <v>35</v>
      </c>
      <c r="X97" t="s">
        <v>19</v>
      </c>
      <c r="Y97" t="s">
        <v>30</v>
      </c>
      <c r="Z97" t="s">
        <v>30</v>
      </c>
      <c r="AA97">
        <v>8</v>
      </c>
      <c r="AB97">
        <v>800796</v>
      </c>
      <c r="AC97" t="s">
        <v>363</v>
      </c>
      <c r="AD97" t="s">
        <v>364</v>
      </c>
      <c r="AE97">
        <v>0.08</v>
      </c>
      <c r="AF97">
        <v>2</v>
      </c>
      <c r="AG97">
        <v>153.11000000000001</v>
      </c>
      <c r="AH97">
        <v>0</v>
      </c>
      <c r="AI97">
        <v>0</v>
      </c>
      <c r="AJ97">
        <v>0</v>
      </c>
      <c r="AK97">
        <v>55.12</v>
      </c>
      <c r="AL97">
        <v>306.22000000000003</v>
      </c>
      <c r="AM97">
        <v>361</v>
      </c>
      <c r="AN97">
        <v>4</v>
      </c>
      <c r="AO97" t="s">
        <v>264</v>
      </c>
      <c r="AP97" t="s">
        <v>265</v>
      </c>
      <c r="AQ97">
        <v>10</v>
      </c>
      <c r="AR97">
        <v>207</v>
      </c>
      <c r="AS97" t="s">
        <v>81</v>
      </c>
      <c r="AT97">
        <v>65103</v>
      </c>
      <c r="AU97" t="s">
        <v>266</v>
      </c>
      <c r="AV97" t="s">
        <v>82</v>
      </c>
      <c r="AW97" t="s">
        <v>23</v>
      </c>
      <c r="AX97" t="s">
        <v>24</v>
      </c>
      <c r="AY97" t="s">
        <v>267</v>
      </c>
      <c r="AZ97" t="s">
        <v>197</v>
      </c>
      <c r="BA97" t="s">
        <v>377</v>
      </c>
      <c r="BB97">
        <v>0</v>
      </c>
      <c r="BC97">
        <v>0</v>
      </c>
      <c r="BD97" t="s">
        <v>199</v>
      </c>
      <c r="BE97" t="s">
        <v>199</v>
      </c>
      <c r="BF97">
        <v>0</v>
      </c>
      <c r="BG97">
        <v>0</v>
      </c>
      <c r="BH97" t="s">
        <v>200</v>
      </c>
      <c r="BI97">
        <v>13</v>
      </c>
      <c r="BJ97">
        <v>6195475</v>
      </c>
      <c r="BK97" t="s">
        <v>201</v>
      </c>
      <c r="BL97" t="s">
        <v>190</v>
      </c>
    </row>
    <row r="98" spans="1:64" x14ac:dyDescent="0.3">
      <c r="A98">
        <v>109</v>
      </c>
      <c r="B98" t="s">
        <v>186</v>
      </c>
      <c r="C98">
        <v>3</v>
      </c>
      <c r="D98">
        <v>6195475</v>
      </c>
      <c r="E98" t="s">
        <v>187</v>
      </c>
      <c r="F98" t="s">
        <v>188</v>
      </c>
      <c r="G98">
        <v>10024376</v>
      </c>
      <c r="H98" s="35">
        <v>46053</v>
      </c>
      <c r="I98" s="35">
        <v>46053</v>
      </c>
      <c r="J98">
        <v>2026</v>
      </c>
      <c r="K98">
        <v>1</v>
      </c>
      <c r="L98" t="s">
        <v>242</v>
      </c>
      <c r="M98">
        <v>1</v>
      </c>
      <c r="N98" t="s">
        <v>203</v>
      </c>
      <c r="O98" t="s">
        <v>191</v>
      </c>
      <c r="P98" t="s">
        <v>199</v>
      </c>
      <c r="Q98" t="s">
        <v>199</v>
      </c>
      <c r="R98">
        <v>5</v>
      </c>
      <c r="S98">
        <v>31</v>
      </c>
      <c r="T98">
        <v>19291</v>
      </c>
      <c r="U98">
        <v>3</v>
      </c>
      <c r="V98" t="s">
        <v>261</v>
      </c>
      <c r="W98" t="s">
        <v>35</v>
      </c>
      <c r="X98" t="s">
        <v>19</v>
      </c>
      <c r="Y98" t="s">
        <v>30</v>
      </c>
      <c r="Z98" t="s">
        <v>30</v>
      </c>
      <c r="AA98">
        <v>8</v>
      </c>
      <c r="AB98">
        <v>930153</v>
      </c>
      <c r="AC98" t="s">
        <v>365</v>
      </c>
      <c r="AD98" t="s">
        <v>366</v>
      </c>
      <c r="AE98">
        <v>0.08</v>
      </c>
      <c r="AF98">
        <v>2</v>
      </c>
      <c r="AG98">
        <v>153.11000000000001</v>
      </c>
      <c r="AH98">
        <v>0</v>
      </c>
      <c r="AI98">
        <v>0</v>
      </c>
      <c r="AJ98">
        <v>0</v>
      </c>
      <c r="AK98">
        <v>55.12</v>
      </c>
      <c r="AL98">
        <v>306.22000000000003</v>
      </c>
      <c r="AM98">
        <v>361</v>
      </c>
      <c r="AN98">
        <v>4</v>
      </c>
      <c r="AO98" t="s">
        <v>264</v>
      </c>
      <c r="AP98" t="s">
        <v>265</v>
      </c>
      <c r="AQ98">
        <v>10</v>
      </c>
      <c r="AR98">
        <v>207</v>
      </c>
      <c r="AS98" t="s">
        <v>81</v>
      </c>
      <c r="AT98">
        <v>65103</v>
      </c>
      <c r="AU98" t="s">
        <v>266</v>
      </c>
      <c r="AV98" t="s">
        <v>82</v>
      </c>
      <c r="AW98" t="s">
        <v>23</v>
      </c>
      <c r="AX98" t="s">
        <v>24</v>
      </c>
      <c r="AY98" t="s">
        <v>267</v>
      </c>
      <c r="AZ98" t="s">
        <v>197</v>
      </c>
      <c r="BA98" t="s">
        <v>377</v>
      </c>
      <c r="BB98">
        <v>0</v>
      </c>
      <c r="BC98">
        <v>0</v>
      </c>
      <c r="BD98" t="s">
        <v>199</v>
      </c>
      <c r="BE98" t="s">
        <v>199</v>
      </c>
      <c r="BF98">
        <v>0</v>
      </c>
      <c r="BG98">
        <v>0</v>
      </c>
      <c r="BH98" t="s">
        <v>200</v>
      </c>
      <c r="BI98">
        <v>13</v>
      </c>
      <c r="BJ98">
        <v>6195475</v>
      </c>
      <c r="BK98" t="s">
        <v>201</v>
      </c>
      <c r="BL98" t="s">
        <v>190</v>
      </c>
    </row>
    <row r="99" spans="1:64" x14ac:dyDescent="0.3">
      <c r="A99">
        <v>109</v>
      </c>
      <c r="B99" t="s">
        <v>186</v>
      </c>
      <c r="C99">
        <v>3</v>
      </c>
      <c r="D99">
        <v>6197085</v>
      </c>
      <c r="E99" t="s">
        <v>187</v>
      </c>
      <c r="F99" t="s">
        <v>188</v>
      </c>
      <c r="G99">
        <v>10025986</v>
      </c>
      <c r="H99" s="35">
        <v>46053</v>
      </c>
      <c r="I99" s="35">
        <v>46053</v>
      </c>
      <c r="J99">
        <v>2026</v>
      </c>
      <c r="K99">
        <v>1</v>
      </c>
      <c r="L99" t="s">
        <v>242</v>
      </c>
      <c r="M99">
        <v>1</v>
      </c>
      <c r="N99" t="s">
        <v>190</v>
      </c>
      <c r="O99" t="s">
        <v>191</v>
      </c>
      <c r="P99" t="s">
        <v>199</v>
      </c>
      <c r="Q99" t="s">
        <v>199</v>
      </c>
      <c r="R99">
        <v>5</v>
      </c>
      <c r="S99">
        <v>31</v>
      </c>
      <c r="T99">
        <v>2280</v>
      </c>
      <c r="U99">
        <v>3</v>
      </c>
      <c r="V99" t="s">
        <v>193</v>
      </c>
      <c r="W99" t="s">
        <v>29</v>
      </c>
      <c r="X99" t="s">
        <v>19</v>
      </c>
      <c r="Y99" t="s">
        <v>30</v>
      </c>
      <c r="Z99" t="s">
        <v>30</v>
      </c>
      <c r="AA99">
        <v>14</v>
      </c>
      <c r="AB99">
        <v>201001</v>
      </c>
      <c r="AC99" t="s">
        <v>248</v>
      </c>
      <c r="AD99" t="s">
        <v>249</v>
      </c>
      <c r="AE99">
        <v>3</v>
      </c>
      <c r="AF99">
        <v>3</v>
      </c>
      <c r="AG99">
        <v>221.67</v>
      </c>
      <c r="AH99">
        <v>0</v>
      </c>
      <c r="AI99">
        <v>0</v>
      </c>
      <c r="AJ99">
        <v>0</v>
      </c>
      <c r="AK99">
        <v>119.7</v>
      </c>
      <c r="AL99">
        <v>665.01</v>
      </c>
      <c r="AM99">
        <v>785</v>
      </c>
      <c r="AN99">
        <v>93</v>
      </c>
      <c r="AO99" t="s">
        <v>250</v>
      </c>
      <c r="AP99" t="s">
        <v>251</v>
      </c>
      <c r="AQ99">
        <v>10</v>
      </c>
      <c r="AR99">
        <v>113</v>
      </c>
      <c r="AS99" t="s">
        <v>89</v>
      </c>
      <c r="AT99">
        <v>82101</v>
      </c>
      <c r="AU99" t="s">
        <v>252</v>
      </c>
      <c r="AV99" t="s">
        <v>80</v>
      </c>
      <c r="AW99" t="s">
        <v>23</v>
      </c>
      <c r="AX99" t="s">
        <v>24</v>
      </c>
      <c r="AY99" t="s">
        <v>253</v>
      </c>
      <c r="AZ99" t="s">
        <v>197</v>
      </c>
      <c r="BA99" t="s">
        <v>378</v>
      </c>
      <c r="BB99">
        <v>0</v>
      </c>
      <c r="BC99">
        <v>0</v>
      </c>
      <c r="BD99" t="s">
        <v>199</v>
      </c>
      <c r="BE99" t="s">
        <v>199</v>
      </c>
      <c r="BF99">
        <v>0</v>
      </c>
      <c r="BG99">
        <v>0</v>
      </c>
      <c r="BH99" t="s">
        <v>200</v>
      </c>
      <c r="BI99">
        <v>13</v>
      </c>
      <c r="BJ99">
        <v>6197085</v>
      </c>
      <c r="BK99" t="s">
        <v>201</v>
      </c>
      <c r="BL99" t="s">
        <v>190</v>
      </c>
    </row>
    <row r="100" spans="1:64" x14ac:dyDescent="0.3">
      <c r="A100">
        <v>109</v>
      </c>
      <c r="B100" t="s">
        <v>186</v>
      </c>
      <c r="C100">
        <v>3</v>
      </c>
      <c r="D100">
        <v>6197085</v>
      </c>
      <c r="E100" t="s">
        <v>187</v>
      </c>
      <c r="F100" t="s">
        <v>188</v>
      </c>
      <c r="G100">
        <v>10025986</v>
      </c>
      <c r="H100" s="35">
        <v>46053</v>
      </c>
      <c r="I100" s="35">
        <v>46053</v>
      </c>
      <c r="J100">
        <v>2026</v>
      </c>
      <c r="K100">
        <v>1</v>
      </c>
      <c r="L100" t="s">
        <v>242</v>
      </c>
      <c r="M100">
        <v>1</v>
      </c>
      <c r="N100" t="s">
        <v>190</v>
      </c>
      <c r="O100" t="s">
        <v>191</v>
      </c>
      <c r="P100" t="s">
        <v>199</v>
      </c>
      <c r="Q100" t="s">
        <v>199</v>
      </c>
      <c r="R100">
        <v>5</v>
      </c>
      <c r="S100">
        <v>31</v>
      </c>
      <c r="T100">
        <v>2280</v>
      </c>
      <c r="U100">
        <v>3</v>
      </c>
      <c r="V100" t="s">
        <v>193</v>
      </c>
      <c r="W100" t="s">
        <v>29</v>
      </c>
      <c r="X100" t="s">
        <v>19</v>
      </c>
      <c r="Y100" t="s">
        <v>30</v>
      </c>
      <c r="Z100" t="s">
        <v>30</v>
      </c>
      <c r="AA100">
        <v>14</v>
      </c>
      <c r="AB100">
        <v>611055</v>
      </c>
      <c r="AC100" t="s">
        <v>300</v>
      </c>
      <c r="AD100" t="s">
        <v>301</v>
      </c>
      <c r="AE100">
        <v>4</v>
      </c>
      <c r="AF100">
        <v>16</v>
      </c>
      <c r="AG100">
        <v>78.319999999999993</v>
      </c>
      <c r="AH100">
        <v>0</v>
      </c>
      <c r="AI100">
        <v>0</v>
      </c>
      <c r="AJ100">
        <v>0</v>
      </c>
      <c r="AK100">
        <v>225.56</v>
      </c>
      <c r="AL100">
        <v>1253.1199999999999</v>
      </c>
      <c r="AM100">
        <v>1479</v>
      </c>
      <c r="AN100">
        <v>93</v>
      </c>
      <c r="AO100" t="s">
        <v>250</v>
      </c>
      <c r="AP100" t="s">
        <v>251</v>
      </c>
      <c r="AQ100">
        <v>10</v>
      </c>
      <c r="AR100">
        <v>114</v>
      </c>
      <c r="AS100" t="s">
        <v>79</v>
      </c>
      <c r="AT100">
        <v>66102</v>
      </c>
      <c r="AU100" t="s">
        <v>227</v>
      </c>
      <c r="AV100" t="s">
        <v>80</v>
      </c>
      <c r="AW100" t="s">
        <v>23</v>
      </c>
      <c r="AX100" t="s">
        <v>24</v>
      </c>
      <c r="AY100" t="s">
        <v>253</v>
      </c>
      <c r="AZ100" t="s">
        <v>197</v>
      </c>
      <c r="BA100" t="s">
        <v>378</v>
      </c>
      <c r="BB100">
        <v>0</v>
      </c>
      <c r="BC100">
        <v>0</v>
      </c>
      <c r="BD100" t="s">
        <v>199</v>
      </c>
      <c r="BE100" t="s">
        <v>199</v>
      </c>
      <c r="BF100">
        <v>0</v>
      </c>
      <c r="BG100">
        <v>0</v>
      </c>
      <c r="BH100" t="s">
        <v>200</v>
      </c>
      <c r="BI100">
        <v>13</v>
      </c>
      <c r="BJ100">
        <v>6197085</v>
      </c>
      <c r="BK100" t="s">
        <v>201</v>
      </c>
      <c r="BL100" t="s">
        <v>190</v>
      </c>
    </row>
    <row r="101" spans="1:64" x14ac:dyDescent="0.3">
      <c r="A101">
        <v>109</v>
      </c>
      <c r="B101" t="s">
        <v>186</v>
      </c>
      <c r="C101">
        <v>3</v>
      </c>
      <c r="D101">
        <v>6197085</v>
      </c>
      <c r="E101" t="s">
        <v>187</v>
      </c>
      <c r="F101" t="s">
        <v>188</v>
      </c>
      <c r="G101">
        <v>10025986</v>
      </c>
      <c r="H101" s="35">
        <v>46053</v>
      </c>
      <c r="I101" s="35">
        <v>46053</v>
      </c>
      <c r="J101">
        <v>2026</v>
      </c>
      <c r="K101">
        <v>1</v>
      </c>
      <c r="L101" t="s">
        <v>242</v>
      </c>
      <c r="M101">
        <v>1</v>
      </c>
      <c r="N101" t="s">
        <v>190</v>
      </c>
      <c r="O101" t="s">
        <v>191</v>
      </c>
      <c r="P101" t="s">
        <v>199</v>
      </c>
      <c r="Q101" t="s">
        <v>199</v>
      </c>
      <c r="R101">
        <v>5</v>
      </c>
      <c r="S101">
        <v>31</v>
      </c>
      <c r="T101">
        <v>2280</v>
      </c>
      <c r="U101">
        <v>3</v>
      </c>
      <c r="V101" t="s">
        <v>193</v>
      </c>
      <c r="W101" t="s">
        <v>29</v>
      </c>
      <c r="X101" t="s">
        <v>19</v>
      </c>
      <c r="Y101" t="s">
        <v>30</v>
      </c>
      <c r="Z101" t="s">
        <v>30</v>
      </c>
      <c r="AA101">
        <v>14</v>
      </c>
      <c r="AB101">
        <v>103113</v>
      </c>
      <c r="AC101" t="s">
        <v>290</v>
      </c>
      <c r="AD101" t="s">
        <v>291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93</v>
      </c>
      <c r="AO101" t="s">
        <v>250</v>
      </c>
      <c r="AP101" t="s">
        <v>251</v>
      </c>
      <c r="AQ101">
        <v>10</v>
      </c>
      <c r="AR101">
        <v>107</v>
      </c>
      <c r="AS101" t="s">
        <v>96</v>
      </c>
      <c r="AT101">
        <v>6770651</v>
      </c>
      <c r="AU101" t="s">
        <v>288</v>
      </c>
      <c r="AV101" t="s">
        <v>86</v>
      </c>
      <c r="AW101" t="s">
        <v>23</v>
      </c>
      <c r="AX101" t="s">
        <v>24</v>
      </c>
      <c r="AY101" t="s">
        <v>253</v>
      </c>
      <c r="AZ101" t="s">
        <v>197</v>
      </c>
      <c r="BA101" t="s">
        <v>378</v>
      </c>
      <c r="BB101">
        <v>0</v>
      </c>
      <c r="BC101">
        <v>0</v>
      </c>
      <c r="BD101" t="s">
        <v>199</v>
      </c>
      <c r="BE101" t="s">
        <v>199</v>
      </c>
      <c r="BF101">
        <v>0</v>
      </c>
      <c r="BG101">
        <v>0</v>
      </c>
      <c r="BH101" t="s">
        <v>200</v>
      </c>
      <c r="BI101">
        <v>13</v>
      </c>
      <c r="BJ101">
        <v>6197085</v>
      </c>
      <c r="BK101" t="s">
        <v>201</v>
      </c>
      <c r="BL101" t="s">
        <v>190</v>
      </c>
    </row>
    <row r="102" spans="1:64" x14ac:dyDescent="0.3">
      <c r="A102">
        <v>109</v>
      </c>
      <c r="B102" t="s">
        <v>186</v>
      </c>
      <c r="C102">
        <v>3</v>
      </c>
      <c r="D102">
        <v>6197085</v>
      </c>
      <c r="E102" t="s">
        <v>187</v>
      </c>
      <c r="F102" t="s">
        <v>188</v>
      </c>
      <c r="G102">
        <v>10025986</v>
      </c>
      <c r="H102" s="35">
        <v>46053</v>
      </c>
      <c r="I102" s="35">
        <v>46053</v>
      </c>
      <c r="J102">
        <v>2026</v>
      </c>
      <c r="K102">
        <v>1</v>
      </c>
      <c r="L102" t="s">
        <v>242</v>
      </c>
      <c r="M102">
        <v>1</v>
      </c>
      <c r="N102" t="s">
        <v>190</v>
      </c>
      <c r="O102" t="s">
        <v>191</v>
      </c>
      <c r="P102" t="s">
        <v>199</v>
      </c>
      <c r="Q102" t="s">
        <v>199</v>
      </c>
      <c r="R102">
        <v>5</v>
      </c>
      <c r="S102">
        <v>31</v>
      </c>
      <c r="T102">
        <v>2280</v>
      </c>
      <c r="U102">
        <v>3</v>
      </c>
      <c r="V102" t="s">
        <v>193</v>
      </c>
      <c r="W102" t="s">
        <v>29</v>
      </c>
      <c r="X102" t="s">
        <v>19</v>
      </c>
      <c r="Y102" t="s">
        <v>30</v>
      </c>
      <c r="Z102" t="s">
        <v>30</v>
      </c>
      <c r="AA102">
        <v>14</v>
      </c>
      <c r="AB102">
        <v>103001</v>
      </c>
      <c r="AC102" t="s">
        <v>286</v>
      </c>
      <c r="AD102" t="s">
        <v>287</v>
      </c>
      <c r="AE102">
        <v>1.2083333333333299</v>
      </c>
      <c r="AF102">
        <v>58</v>
      </c>
      <c r="AG102">
        <v>17.68</v>
      </c>
      <c r="AH102">
        <v>0</v>
      </c>
      <c r="AI102">
        <v>0</v>
      </c>
      <c r="AJ102">
        <v>0</v>
      </c>
      <c r="AK102">
        <v>184.58</v>
      </c>
      <c r="AL102">
        <v>1025.44</v>
      </c>
      <c r="AM102">
        <v>1210</v>
      </c>
      <c r="AN102">
        <v>93</v>
      </c>
      <c r="AO102" t="s">
        <v>250</v>
      </c>
      <c r="AP102" t="s">
        <v>251</v>
      </c>
      <c r="AQ102">
        <v>10</v>
      </c>
      <c r="AR102">
        <v>107</v>
      </c>
      <c r="AS102" t="s">
        <v>96</v>
      </c>
      <c r="AT102">
        <v>6770651</v>
      </c>
      <c r="AU102" t="s">
        <v>288</v>
      </c>
      <c r="AV102" t="s">
        <v>86</v>
      </c>
      <c r="AW102" t="s">
        <v>23</v>
      </c>
      <c r="AX102" t="s">
        <v>24</v>
      </c>
      <c r="AY102" t="s">
        <v>253</v>
      </c>
      <c r="AZ102" t="s">
        <v>197</v>
      </c>
      <c r="BA102" t="s">
        <v>378</v>
      </c>
      <c r="BB102">
        <v>0</v>
      </c>
      <c r="BC102">
        <v>0</v>
      </c>
      <c r="BD102" t="s">
        <v>199</v>
      </c>
      <c r="BE102" t="s">
        <v>199</v>
      </c>
      <c r="BF102">
        <v>0</v>
      </c>
      <c r="BG102">
        <v>0</v>
      </c>
      <c r="BH102" t="s">
        <v>200</v>
      </c>
      <c r="BI102">
        <v>13</v>
      </c>
      <c r="BJ102">
        <v>6197085</v>
      </c>
      <c r="BK102" t="s">
        <v>201</v>
      </c>
      <c r="BL102" t="s">
        <v>190</v>
      </c>
    </row>
    <row r="103" spans="1:64" x14ac:dyDescent="0.3">
      <c r="A103">
        <v>289</v>
      </c>
      <c r="B103" t="s">
        <v>186</v>
      </c>
      <c r="C103">
        <v>3</v>
      </c>
      <c r="D103">
        <v>6197194</v>
      </c>
      <c r="E103" t="s">
        <v>379</v>
      </c>
      <c r="F103" t="s">
        <v>188</v>
      </c>
      <c r="G103">
        <v>10026095</v>
      </c>
      <c r="H103" s="35">
        <v>46053</v>
      </c>
      <c r="I103" s="35">
        <v>46053</v>
      </c>
      <c r="J103">
        <v>2026</v>
      </c>
      <c r="K103">
        <v>1</v>
      </c>
      <c r="L103" t="s">
        <v>242</v>
      </c>
      <c r="M103">
        <v>1</v>
      </c>
      <c r="N103" t="s">
        <v>190</v>
      </c>
      <c r="O103" t="s">
        <v>191</v>
      </c>
      <c r="P103" t="s">
        <v>199</v>
      </c>
      <c r="Q103" t="s">
        <v>199</v>
      </c>
      <c r="R103">
        <v>5</v>
      </c>
      <c r="S103">
        <v>31</v>
      </c>
      <c r="T103">
        <v>1161</v>
      </c>
      <c r="U103">
        <v>3</v>
      </c>
      <c r="V103" t="s">
        <v>380</v>
      </c>
      <c r="W103" t="s">
        <v>61</v>
      </c>
      <c r="X103" t="s">
        <v>19</v>
      </c>
      <c r="Y103" t="s">
        <v>56</v>
      </c>
      <c r="Z103" t="s">
        <v>62</v>
      </c>
      <c r="AA103">
        <v>94</v>
      </c>
      <c r="AB103">
        <v>621045</v>
      </c>
      <c r="AC103" t="s">
        <v>209</v>
      </c>
      <c r="AD103" t="s">
        <v>210</v>
      </c>
      <c r="AE103">
        <v>1</v>
      </c>
      <c r="AF103">
        <v>12</v>
      </c>
      <c r="AG103">
        <v>161.94999999999999</v>
      </c>
      <c r="AH103">
        <v>0</v>
      </c>
      <c r="AI103">
        <v>0</v>
      </c>
      <c r="AJ103">
        <v>0</v>
      </c>
      <c r="AK103">
        <v>349.81</v>
      </c>
      <c r="AL103">
        <v>1943.4</v>
      </c>
      <c r="AM103">
        <v>2293</v>
      </c>
      <c r="AN103">
        <v>94</v>
      </c>
      <c r="AO103" t="s">
        <v>64</v>
      </c>
      <c r="AP103" t="s">
        <v>66</v>
      </c>
      <c r="AQ103">
        <v>10</v>
      </c>
      <c r="AR103">
        <v>138</v>
      </c>
      <c r="AS103" t="s">
        <v>90</v>
      </c>
      <c r="AT103">
        <v>73101</v>
      </c>
      <c r="AU103" t="s">
        <v>211</v>
      </c>
      <c r="AV103" t="s">
        <v>91</v>
      </c>
      <c r="AW103" t="s">
        <v>50</v>
      </c>
      <c r="AX103" t="s">
        <v>51</v>
      </c>
      <c r="AY103" t="s">
        <v>65</v>
      </c>
      <c r="AZ103" t="s">
        <v>240</v>
      </c>
      <c r="BA103" t="s">
        <v>381</v>
      </c>
      <c r="BB103">
        <v>0</v>
      </c>
      <c r="BC103">
        <v>0</v>
      </c>
      <c r="BD103" t="s">
        <v>199</v>
      </c>
      <c r="BE103" t="s">
        <v>199</v>
      </c>
      <c r="BF103">
        <v>0</v>
      </c>
      <c r="BG103">
        <v>0</v>
      </c>
      <c r="BH103" t="s">
        <v>200</v>
      </c>
      <c r="BI103">
        <v>13</v>
      </c>
      <c r="BJ103">
        <v>6197194</v>
      </c>
      <c r="BK103" t="s">
        <v>201</v>
      </c>
      <c r="BL103" t="s">
        <v>190</v>
      </c>
    </row>
    <row r="104" spans="1:64" x14ac:dyDescent="0.3">
      <c r="A104">
        <v>289</v>
      </c>
      <c r="B104" t="s">
        <v>186</v>
      </c>
      <c r="C104">
        <v>3</v>
      </c>
      <c r="D104">
        <v>6197194</v>
      </c>
      <c r="E104" t="s">
        <v>379</v>
      </c>
      <c r="F104" t="s">
        <v>188</v>
      </c>
      <c r="G104">
        <v>10026095</v>
      </c>
      <c r="H104" s="35">
        <v>46053</v>
      </c>
      <c r="I104" s="35">
        <v>46053</v>
      </c>
      <c r="J104">
        <v>2026</v>
      </c>
      <c r="K104">
        <v>1</v>
      </c>
      <c r="L104" t="s">
        <v>242</v>
      </c>
      <c r="M104">
        <v>1</v>
      </c>
      <c r="N104" t="s">
        <v>203</v>
      </c>
      <c r="O104" t="s">
        <v>191</v>
      </c>
      <c r="P104" t="s">
        <v>199</v>
      </c>
      <c r="Q104" t="s">
        <v>199</v>
      </c>
      <c r="R104">
        <v>5</v>
      </c>
      <c r="S104">
        <v>31</v>
      </c>
      <c r="T104">
        <v>1161</v>
      </c>
      <c r="U104">
        <v>3</v>
      </c>
      <c r="V104" t="s">
        <v>380</v>
      </c>
      <c r="W104" t="s">
        <v>61</v>
      </c>
      <c r="X104" t="s">
        <v>19</v>
      </c>
      <c r="Y104" t="s">
        <v>56</v>
      </c>
      <c r="Z104" t="s">
        <v>62</v>
      </c>
      <c r="AA104">
        <v>94</v>
      </c>
      <c r="AB104">
        <v>930076</v>
      </c>
      <c r="AC104" t="s">
        <v>244</v>
      </c>
      <c r="AD104" t="s">
        <v>245</v>
      </c>
      <c r="AE104">
        <v>2</v>
      </c>
      <c r="AF104">
        <v>48</v>
      </c>
      <c r="AG104">
        <v>40.29</v>
      </c>
      <c r="AH104">
        <v>0</v>
      </c>
      <c r="AI104">
        <v>0</v>
      </c>
      <c r="AJ104">
        <v>0</v>
      </c>
      <c r="AK104">
        <v>348.11</v>
      </c>
      <c r="AL104">
        <v>1933.92</v>
      </c>
      <c r="AM104">
        <v>2282</v>
      </c>
      <c r="AN104">
        <v>94</v>
      </c>
      <c r="AO104" t="s">
        <v>64</v>
      </c>
      <c r="AP104" t="s">
        <v>66</v>
      </c>
      <c r="AQ104">
        <v>10</v>
      </c>
      <c r="AR104">
        <v>204</v>
      </c>
      <c r="AS104" t="s">
        <v>84</v>
      </c>
      <c r="AT104">
        <v>0</v>
      </c>
      <c r="AU104" t="s">
        <v>199</v>
      </c>
      <c r="AV104" t="s">
        <v>82</v>
      </c>
      <c r="AW104" t="s">
        <v>50</v>
      </c>
      <c r="AX104" t="s">
        <v>51</v>
      </c>
      <c r="AY104" t="s">
        <v>65</v>
      </c>
      <c r="AZ104" t="s">
        <v>240</v>
      </c>
      <c r="BA104" t="s">
        <v>381</v>
      </c>
      <c r="BB104">
        <v>0</v>
      </c>
      <c r="BC104">
        <v>0</v>
      </c>
      <c r="BD104" t="s">
        <v>199</v>
      </c>
      <c r="BE104" t="s">
        <v>199</v>
      </c>
      <c r="BF104">
        <v>0</v>
      </c>
      <c r="BG104">
        <v>0</v>
      </c>
      <c r="BH104" t="s">
        <v>200</v>
      </c>
      <c r="BI104">
        <v>13</v>
      </c>
      <c r="BJ104">
        <v>6197194</v>
      </c>
      <c r="BK104" t="s">
        <v>201</v>
      </c>
      <c r="BL104" t="s">
        <v>190</v>
      </c>
    </row>
    <row r="105" spans="1:64" x14ac:dyDescent="0.3">
      <c r="A105">
        <v>270</v>
      </c>
      <c r="B105" t="s">
        <v>186</v>
      </c>
      <c r="C105">
        <v>3</v>
      </c>
      <c r="D105">
        <v>6202032</v>
      </c>
      <c r="E105" t="s">
        <v>382</v>
      </c>
      <c r="F105" t="s">
        <v>188</v>
      </c>
      <c r="G105">
        <v>10030935</v>
      </c>
      <c r="H105" s="35">
        <v>46057</v>
      </c>
      <c r="I105" s="35">
        <v>46057</v>
      </c>
      <c r="J105">
        <v>2026</v>
      </c>
      <c r="K105">
        <v>2</v>
      </c>
      <c r="L105" t="s">
        <v>242</v>
      </c>
      <c r="M105">
        <v>1</v>
      </c>
      <c r="N105" t="s">
        <v>190</v>
      </c>
      <c r="O105" t="s">
        <v>191</v>
      </c>
      <c r="P105" t="s">
        <v>199</v>
      </c>
      <c r="Q105" t="s">
        <v>199</v>
      </c>
      <c r="R105">
        <v>6</v>
      </c>
      <c r="S105">
        <v>4</v>
      </c>
      <c r="T105">
        <v>2280</v>
      </c>
      <c r="U105">
        <v>3</v>
      </c>
      <c r="V105" t="s">
        <v>193</v>
      </c>
      <c r="W105" t="s">
        <v>29</v>
      </c>
      <c r="X105" t="s">
        <v>19</v>
      </c>
      <c r="Y105" t="s">
        <v>30</v>
      </c>
      <c r="Z105" t="s">
        <v>30</v>
      </c>
      <c r="AA105">
        <v>14</v>
      </c>
      <c r="AB105">
        <v>800089</v>
      </c>
      <c r="AC105" t="s">
        <v>295</v>
      </c>
      <c r="AD105" t="s">
        <v>296</v>
      </c>
      <c r="AE105">
        <v>0.125</v>
      </c>
      <c r="AF105">
        <v>1</v>
      </c>
      <c r="AG105">
        <v>349.28</v>
      </c>
      <c r="AH105">
        <v>0</v>
      </c>
      <c r="AI105">
        <v>0</v>
      </c>
      <c r="AJ105">
        <v>0</v>
      </c>
      <c r="AK105">
        <v>62.87</v>
      </c>
      <c r="AL105">
        <v>349.28</v>
      </c>
      <c r="AM105">
        <v>412</v>
      </c>
      <c r="AN105">
        <v>93</v>
      </c>
      <c r="AO105" t="s">
        <v>250</v>
      </c>
      <c r="AP105" t="s">
        <v>251</v>
      </c>
      <c r="AQ105">
        <v>10</v>
      </c>
      <c r="AR105">
        <v>105</v>
      </c>
      <c r="AS105" t="s">
        <v>85</v>
      </c>
      <c r="AT105">
        <v>677001</v>
      </c>
      <c r="AU105" t="s">
        <v>273</v>
      </c>
      <c r="AV105" t="s">
        <v>86</v>
      </c>
      <c r="AW105" t="s">
        <v>23</v>
      </c>
      <c r="AX105" t="s">
        <v>24</v>
      </c>
      <c r="AY105" t="s">
        <v>253</v>
      </c>
      <c r="AZ105" t="s">
        <v>197</v>
      </c>
      <c r="BA105" t="s">
        <v>383</v>
      </c>
      <c r="BB105">
        <v>0</v>
      </c>
      <c r="BC105">
        <v>0</v>
      </c>
      <c r="BD105" t="s">
        <v>199</v>
      </c>
      <c r="BE105" t="s">
        <v>199</v>
      </c>
      <c r="BF105">
        <v>0</v>
      </c>
      <c r="BG105">
        <v>0</v>
      </c>
      <c r="BH105" t="s">
        <v>200</v>
      </c>
      <c r="BI105">
        <v>13</v>
      </c>
      <c r="BJ105">
        <v>6202032</v>
      </c>
      <c r="BK105" t="s">
        <v>201</v>
      </c>
      <c r="BL105" t="s">
        <v>190</v>
      </c>
    </row>
    <row r="106" spans="1:64" x14ac:dyDescent="0.3">
      <c r="A106">
        <v>270</v>
      </c>
      <c r="B106" t="s">
        <v>186</v>
      </c>
      <c r="C106">
        <v>3</v>
      </c>
      <c r="D106">
        <v>6202032</v>
      </c>
      <c r="E106" t="s">
        <v>382</v>
      </c>
      <c r="F106" t="s">
        <v>188</v>
      </c>
      <c r="G106">
        <v>10030935</v>
      </c>
      <c r="H106" s="35">
        <v>46057</v>
      </c>
      <c r="I106" s="35">
        <v>46057</v>
      </c>
      <c r="J106">
        <v>2026</v>
      </c>
      <c r="K106">
        <v>2</v>
      </c>
      <c r="L106" t="s">
        <v>242</v>
      </c>
      <c r="M106">
        <v>1</v>
      </c>
      <c r="N106" t="s">
        <v>190</v>
      </c>
      <c r="O106" t="s">
        <v>191</v>
      </c>
      <c r="P106" t="s">
        <v>199</v>
      </c>
      <c r="Q106" t="s">
        <v>199</v>
      </c>
      <c r="R106">
        <v>6</v>
      </c>
      <c r="S106">
        <v>4</v>
      </c>
      <c r="T106">
        <v>2280</v>
      </c>
      <c r="U106">
        <v>3</v>
      </c>
      <c r="V106" t="s">
        <v>193</v>
      </c>
      <c r="W106" t="s">
        <v>29</v>
      </c>
      <c r="X106" t="s">
        <v>19</v>
      </c>
      <c r="Y106" t="s">
        <v>30</v>
      </c>
      <c r="Z106" t="s">
        <v>30</v>
      </c>
      <c r="AA106">
        <v>14</v>
      </c>
      <c r="AB106">
        <v>800088</v>
      </c>
      <c r="AC106" t="s">
        <v>276</v>
      </c>
      <c r="AD106" t="s">
        <v>277</v>
      </c>
      <c r="AE106">
        <v>0.125</v>
      </c>
      <c r="AF106">
        <v>1</v>
      </c>
      <c r="AG106">
        <v>349.28</v>
      </c>
      <c r="AH106">
        <v>0</v>
      </c>
      <c r="AI106">
        <v>0</v>
      </c>
      <c r="AJ106">
        <v>0</v>
      </c>
      <c r="AK106">
        <v>62.87</v>
      </c>
      <c r="AL106">
        <v>349.28</v>
      </c>
      <c r="AM106">
        <v>412</v>
      </c>
      <c r="AN106">
        <v>93</v>
      </c>
      <c r="AO106" t="s">
        <v>250</v>
      </c>
      <c r="AP106" t="s">
        <v>251</v>
      </c>
      <c r="AQ106">
        <v>10</v>
      </c>
      <c r="AR106">
        <v>105</v>
      </c>
      <c r="AS106" t="s">
        <v>85</v>
      </c>
      <c r="AT106">
        <v>677001</v>
      </c>
      <c r="AU106" t="s">
        <v>273</v>
      </c>
      <c r="AV106" t="s">
        <v>86</v>
      </c>
      <c r="AW106" t="s">
        <v>23</v>
      </c>
      <c r="AX106" t="s">
        <v>24</v>
      </c>
      <c r="AY106" t="s">
        <v>253</v>
      </c>
      <c r="AZ106" t="s">
        <v>197</v>
      </c>
      <c r="BA106" t="s">
        <v>383</v>
      </c>
      <c r="BB106">
        <v>0</v>
      </c>
      <c r="BC106">
        <v>0</v>
      </c>
      <c r="BD106" t="s">
        <v>199</v>
      </c>
      <c r="BE106" t="s">
        <v>199</v>
      </c>
      <c r="BF106">
        <v>0</v>
      </c>
      <c r="BG106">
        <v>0</v>
      </c>
      <c r="BH106" t="s">
        <v>200</v>
      </c>
      <c r="BI106">
        <v>13</v>
      </c>
      <c r="BJ106">
        <v>6202032</v>
      </c>
      <c r="BK106" t="s">
        <v>201</v>
      </c>
      <c r="BL106" t="s">
        <v>190</v>
      </c>
    </row>
    <row r="107" spans="1:64" x14ac:dyDescent="0.3">
      <c r="A107">
        <v>270</v>
      </c>
      <c r="B107" t="s">
        <v>186</v>
      </c>
      <c r="C107">
        <v>3</v>
      </c>
      <c r="D107">
        <v>6202032</v>
      </c>
      <c r="E107" t="s">
        <v>382</v>
      </c>
      <c r="F107" t="s">
        <v>188</v>
      </c>
      <c r="G107">
        <v>10030935</v>
      </c>
      <c r="H107" s="35">
        <v>46057</v>
      </c>
      <c r="I107" s="35">
        <v>46057</v>
      </c>
      <c r="J107">
        <v>2026</v>
      </c>
      <c r="K107">
        <v>2</v>
      </c>
      <c r="L107" t="s">
        <v>242</v>
      </c>
      <c r="M107">
        <v>1</v>
      </c>
      <c r="N107" t="s">
        <v>190</v>
      </c>
      <c r="O107" t="s">
        <v>191</v>
      </c>
      <c r="P107" t="s">
        <v>199</v>
      </c>
      <c r="Q107" t="s">
        <v>199</v>
      </c>
      <c r="R107">
        <v>6</v>
      </c>
      <c r="S107">
        <v>4</v>
      </c>
      <c r="T107">
        <v>2280</v>
      </c>
      <c r="U107">
        <v>3</v>
      </c>
      <c r="V107" t="s">
        <v>193</v>
      </c>
      <c r="W107" t="s">
        <v>29</v>
      </c>
      <c r="X107" t="s">
        <v>19</v>
      </c>
      <c r="Y107" t="s">
        <v>30</v>
      </c>
      <c r="Z107" t="s">
        <v>30</v>
      </c>
      <c r="AA107">
        <v>14</v>
      </c>
      <c r="AB107">
        <v>101038</v>
      </c>
      <c r="AC107" t="s">
        <v>271</v>
      </c>
      <c r="AD107" t="s">
        <v>272</v>
      </c>
      <c r="AE107">
        <v>0.2</v>
      </c>
      <c r="AF107">
        <v>2</v>
      </c>
      <c r="AG107">
        <v>357.83</v>
      </c>
      <c r="AH107">
        <v>0</v>
      </c>
      <c r="AI107">
        <v>0</v>
      </c>
      <c r="AJ107">
        <v>0</v>
      </c>
      <c r="AK107">
        <v>128.82</v>
      </c>
      <c r="AL107">
        <v>715.66</v>
      </c>
      <c r="AM107">
        <v>844</v>
      </c>
      <c r="AN107">
        <v>93</v>
      </c>
      <c r="AO107" t="s">
        <v>250</v>
      </c>
      <c r="AP107" t="s">
        <v>251</v>
      </c>
      <c r="AQ107">
        <v>10</v>
      </c>
      <c r="AR107">
        <v>105</v>
      </c>
      <c r="AS107" t="s">
        <v>85</v>
      </c>
      <c r="AT107">
        <v>677001</v>
      </c>
      <c r="AU107" t="s">
        <v>273</v>
      </c>
      <c r="AV107" t="s">
        <v>86</v>
      </c>
      <c r="AW107" t="s">
        <v>23</v>
      </c>
      <c r="AX107" t="s">
        <v>24</v>
      </c>
      <c r="AY107" t="s">
        <v>253</v>
      </c>
      <c r="AZ107" t="s">
        <v>197</v>
      </c>
      <c r="BA107" t="s">
        <v>383</v>
      </c>
      <c r="BB107">
        <v>0</v>
      </c>
      <c r="BC107">
        <v>0</v>
      </c>
      <c r="BD107" t="s">
        <v>199</v>
      </c>
      <c r="BE107" t="s">
        <v>199</v>
      </c>
      <c r="BF107">
        <v>0</v>
      </c>
      <c r="BG107">
        <v>0</v>
      </c>
      <c r="BH107" t="s">
        <v>200</v>
      </c>
      <c r="BI107">
        <v>13</v>
      </c>
      <c r="BJ107">
        <v>6202032</v>
      </c>
      <c r="BK107" t="s">
        <v>201</v>
      </c>
      <c r="BL107" t="s">
        <v>190</v>
      </c>
    </row>
    <row r="108" spans="1:64" x14ac:dyDescent="0.3">
      <c r="A108">
        <v>270</v>
      </c>
      <c r="B108" t="s">
        <v>186</v>
      </c>
      <c r="C108">
        <v>3</v>
      </c>
      <c r="D108">
        <v>6202032</v>
      </c>
      <c r="E108" t="s">
        <v>382</v>
      </c>
      <c r="F108" t="s">
        <v>188</v>
      </c>
      <c r="G108">
        <v>10030935</v>
      </c>
      <c r="H108" s="35">
        <v>46057</v>
      </c>
      <c r="I108" s="35">
        <v>46057</v>
      </c>
      <c r="J108">
        <v>2026</v>
      </c>
      <c r="K108">
        <v>2</v>
      </c>
      <c r="L108" t="s">
        <v>242</v>
      </c>
      <c r="M108">
        <v>1</v>
      </c>
      <c r="N108" t="s">
        <v>190</v>
      </c>
      <c r="O108" t="s">
        <v>191</v>
      </c>
      <c r="P108" t="s">
        <v>199</v>
      </c>
      <c r="Q108" t="s">
        <v>199</v>
      </c>
      <c r="R108">
        <v>6</v>
      </c>
      <c r="S108">
        <v>4</v>
      </c>
      <c r="T108">
        <v>2280</v>
      </c>
      <c r="U108">
        <v>3</v>
      </c>
      <c r="V108" t="s">
        <v>193</v>
      </c>
      <c r="W108" t="s">
        <v>29</v>
      </c>
      <c r="X108" t="s">
        <v>19</v>
      </c>
      <c r="Y108" t="s">
        <v>30</v>
      </c>
      <c r="Z108" t="s">
        <v>30</v>
      </c>
      <c r="AA108">
        <v>14</v>
      </c>
      <c r="AB108">
        <v>621045</v>
      </c>
      <c r="AC108" t="s">
        <v>209</v>
      </c>
      <c r="AD108" t="s">
        <v>210</v>
      </c>
      <c r="AE108">
        <v>1</v>
      </c>
      <c r="AF108">
        <v>12</v>
      </c>
      <c r="AG108">
        <v>161.94999999999999</v>
      </c>
      <c r="AH108">
        <v>0</v>
      </c>
      <c r="AI108">
        <v>0</v>
      </c>
      <c r="AJ108">
        <v>0</v>
      </c>
      <c r="AK108">
        <v>349.81</v>
      </c>
      <c r="AL108">
        <v>1943.4</v>
      </c>
      <c r="AM108">
        <v>2293</v>
      </c>
      <c r="AN108">
        <v>93</v>
      </c>
      <c r="AO108" t="s">
        <v>250</v>
      </c>
      <c r="AP108" t="s">
        <v>251</v>
      </c>
      <c r="AQ108">
        <v>10</v>
      </c>
      <c r="AR108">
        <v>138</v>
      </c>
      <c r="AS108" t="s">
        <v>90</v>
      </c>
      <c r="AT108">
        <v>73101</v>
      </c>
      <c r="AU108" t="s">
        <v>211</v>
      </c>
      <c r="AV108" t="s">
        <v>91</v>
      </c>
      <c r="AW108" t="s">
        <v>23</v>
      </c>
      <c r="AX108" t="s">
        <v>24</v>
      </c>
      <c r="AY108" t="s">
        <v>253</v>
      </c>
      <c r="AZ108" t="s">
        <v>197</v>
      </c>
      <c r="BA108" t="s">
        <v>383</v>
      </c>
      <c r="BB108">
        <v>0</v>
      </c>
      <c r="BC108">
        <v>0</v>
      </c>
      <c r="BD108" t="s">
        <v>199</v>
      </c>
      <c r="BE108" t="s">
        <v>199</v>
      </c>
      <c r="BF108">
        <v>0</v>
      </c>
      <c r="BG108">
        <v>0</v>
      </c>
      <c r="BH108" t="s">
        <v>200</v>
      </c>
      <c r="BI108">
        <v>13</v>
      </c>
      <c r="BJ108">
        <v>6202032</v>
      </c>
      <c r="BK108" t="s">
        <v>201</v>
      </c>
      <c r="BL108" t="s">
        <v>190</v>
      </c>
    </row>
    <row r="109" spans="1:64" x14ac:dyDescent="0.3">
      <c r="A109">
        <v>270</v>
      </c>
      <c r="B109" t="s">
        <v>186</v>
      </c>
      <c r="C109">
        <v>3</v>
      </c>
      <c r="D109">
        <v>6202066</v>
      </c>
      <c r="E109" t="s">
        <v>382</v>
      </c>
      <c r="F109" t="s">
        <v>188</v>
      </c>
      <c r="G109">
        <v>10030969</v>
      </c>
      <c r="H109" s="35">
        <v>46057</v>
      </c>
      <c r="I109" s="35">
        <v>46057</v>
      </c>
      <c r="J109">
        <v>2026</v>
      </c>
      <c r="K109">
        <v>2</v>
      </c>
      <c r="L109" t="s">
        <v>242</v>
      </c>
      <c r="M109">
        <v>1</v>
      </c>
      <c r="N109" t="s">
        <v>190</v>
      </c>
      <c r="O109" t="s">
        <v>191</v>
      </c>
      <c r="P109" t="s">
        <v>199</v>
      </c>
      <c r="Q109" t="s">
        <v>199</v>
      </c>
      <c r="R109">
        <v>6</v>
      </c>
      <c r="S109">
        <v>4</v>
      </c>
      <c r="T109">
        <v>19291</v>
      </c>
      <c r="U109">
        <v>3</v>
      </c>
      <c r="V109" t="s">
        <v>261</v>
      </c>
      <c r="W109" t="s">
        <v>35</v>
      </c>
      <c r="X109" t="s">
        <v>19</v>
      </c>
      <c r="Y109" t="s">
        <v>30</v>
      </c>
      <c r="Z109" t="s">
        <v>30</v>
      </c>
      <c r="AA109">
        <v>8</v>
      </c>
      <c r="AB109">
        <v>501000</v>
      </c>
      <c r="AC109" t="s">
        <v>316</v>
      </c>
      <c r="AD109" t="s">
        <v>317</v>
      </c>
      <c r="AE109">
        <v>5</v>
      </c>
      <c r="AF109">
        <v>20</v>
      </c>
      <c r="AG109">
        <v>114.4</v>
      </c>
      <c r="AH109">
        <v>0</v>
      </c>
      <c r="AI109">
        <v>0</v>
      </c>
      <c r="AJ109">
        <v>0</v>
      </c>
      <c r="AK109">
        <v>411.84</v>
      </c>
      <c r="AL109">
        <v>2288</v>
      </c>
      <c r="AM109">
        <v>2700</v>
      </c>
      <c r="AN109">
        <v>4</v>
      </c>
      <c r="AO109" t="s">
        <v>264</v>
      </c>
      <c r="AP109" t="s">
        <v>265</v>
      </c>
      <c r="AQ109">
        <v>10</v>
      </c>
      <c r="AR109">
        <v>114</v>
      </c>
      <c r="AS109" t="s">
        <v>79</v>
      </c>
      <c r="AT109">
        <v>66101</v>
      </c>
      <c r="AU109" t="s">
        <v>318</v>
      </c>
      <c r="AV109" t="s">
        <v>80</v>
      </c>
      <c r="AW109" t="s">
        <v>23</v>
      </c>
      <c r="AX109" t="s">
        <v>24</v>
      </c>
      <c r="AY109" t="s">
        <v>267</v>
      </c>
      <c r="AZ109" t="s">
        <v>197</v>
      </c>
      <c r="BA109" t="s">
        <v>384</v>
      </c>
      <c r="BB109">
        <v>0</v>
      </c>
      <c r="BC109">
        <v>0</v>
      </c>
      <c r="BD109" t="s">
        <v>199</v>
      </c>
      <c r="BE109" t="s">
        <v>199</v>
      </c>
      <c r="BF109">
        <v>0</v>
      </c>
      <c r="BG109">
        <v>0</v>
      </c>
      <c r="BH109" t="s">
        <v>200</v>
      </c>
      <c r="BI109">
        <v>13</v>
      </c>
      <c r="BJ109">
        <v>6202066</v>
      </c>
      <c r="BK109" t="s">
        <v>201</v>
      </c>
      <c r="BL109" t="s">
        <v>190</v>
      </c>
    </row>
    <row r="110" spans="1:64" x14ac:dyDescent="0.3">
      <c r="A110">
        <v>242</v>
      </c>
      <c r="B110" t="s">
        <v>186</v>
      </c>
      <c r="C110">
        <v>3</v>
      </c>
      <c r="D110">
        <v>6203976</v>
      </c>
      <c r="E110" t="s">
        <v>275</v>
      </c>
      <c r="F110" t="s">
        <v>188</v>
      </c>
      <c r="G110">
        <v>10032879</v>
      </c>
      <c r="H110" s="35">
        <v>46058</v>
      </c>
      <c r="I110" s="35">
        <v>46058</v>
      </c>
      <c r="J110">
        <v>2026</v>
      </c>
      <c r="K110">
        <v>2</v>
      </c>
      <c r="L110" t="s">
        <v>242</v>
      </c>
      <c r="M110">
        <v>1</v>
      </c>
      <c r="N110" t="s">
        <v>190</v>
      </c>
      <c r="O110" t="s">
        <v>191</v>
      </c>
      <c r="P110" t="s">
        <v>199</v>
      </c>
      <c r="Q110" t="s">
        <v>199</v>
      </c>
      <c r="R110">
        <v>6</v>
      </c>
      <c r="S110">
        <v>5</v>
      </c>
      <c r="T110">
        <v>37594</v>
      </c>
      <c r="U110">
        <v>3</v>
      </c>
      <c r="V110" t="s">
        <v>234</v>
      </c>
      <c r="W110" t="s">
        <v>47</v>
      </c>
      <c r="X110" t="s">
        <v>19</v>
      </c>
      <c r="Y110" t="s">
        <v>30</v>
      </c>
      <c r="Z110" t="s">
        <v>30</v>
      </c>
      <c r="AA110">
        <v>72</v>
      </c>
      <c r="AB110">
        <v>101028</v>
      </c>
      <c r="AC110" t="s">
        <v>325</v>
      </c>
      <c r="AD110" t="s">
        <v>326</v>
      </c>
      <c r="AE110">
        <v>1</v>
      </c>
      <c r="AF110">
        <v>18</v>
      </c>
      <c r="AG110">
        <v>98.4</v>
      </c>
      <c r="AH110">
        <v>0</v>
      </c>
      <c r="AI110">
        <v>0</v>
      </c>
      <c r="AJ110">
        <v>0</v>
      </c>
      <c r="AK110">
        <v>318.82</v>
      </c>
      <c r="AL110">
        <v>1771.2</v>
      </c>
      <c r="AM110">
        <v>2090</v>
      </c>
      <c r="AN110">
        <v>95</v>
      </c>
      <c r="AO110" t="s">
        <v>237</v>
      </c>
      <c r="AP110" t="s">
        <v>238</v>
      </c>
      <c r="AQ110">
        <v>10</v>
      </c>
      <c r="AR110">
        <v>105</v>
      </c>
      <c r="AS110" t="s">
        <v>85</v>
      </c>
      <c r="AT110">
        <v>677001</v>
      </c>
      <c r="AU110" t="s">
        <v>273</v>
      </c>
      <c r="AV110" t="s">
        <v>86</v>
      </c>
      <c r="AW110" t="s">
        <v>50</v>
      </c>
      <c r="AX110" t="s">
        <v>51</v>
      </c>
      <c r="AY110" t="s">
        <v>239</v>
      </c>
      <c r="AZ110" t="s">
        <v>240</v>
      </c>
      <c r="BA110" t="s">
        <v>385</v>
      </c>
      <c r="BB110">
        <v>0</v>
      </c>
      <c r="BC110">
        <v>0</v>
      </c>
      <c r="BD110" t="s">
        <v>199</v>
      </c>
      <c r="BE110" t="s">
        <v>199</v>
      </c>
      <c r="BF110">
        <v>0</v>
      </c>
      <c r="BG110">
        <v>0</v>
      </c>
      <c r="BH110" t="s">
        <v>200</v>
      </c>
      <c r="BI110">
        <v>13</v>
      </c>
      <c r="BJ110">
        <v>6203976</v>
      </c>
      <c r="BK110" t="s">
        <v>201</v>
      </c>
      <c r="BL110" t="s">
        <v>190</v>
      </c>
    </row>
    <row r="111" spans="1:64" x14ac:dyDescent="0.3">
      <c r="A111">
        <v>242</v>
      </c>
      <c r="B111" t="s">
        <v>186</v>
      </c>
      <c r="C111">
        <v>3</v>
      </c>
      <c r="D111">
        <v>6203976</v>
      </c>
      <c r="E111" t="s">
        <v>275</v>
      </c>
      <c r="F111" t="s">
        <v>188</v>
      </c>
      <c r="G111">
        <v>10032879</v>
      </c>
      <c r="H111" s="35">
        <v>46058</v>
      </c>
      <c r="I111" s="35">
        <v>46058</v>
      </c>
      <c r="J111">
        <v>2026</v>
      </c>
      <c r="K111">
        <v>2</v>
      </c>
      <c r="L111" t="s">
        <v>242</v>
      </c>
      <c r="M111">
        <v>1</v>
      </c>
      <c r="N111" t="s">
        <v>190</v>
      </c>
      <c r="O111" t="s">
        <v>191</v>
      </c>
      <c r="P111" t="s">
        <v>199</v>
      </c>
      <c r="Q111" t="s">
        <v>199</v>
      </c>
      <c r="R111">
        <v>6</v>
      </c>
      <c r="S111">
        <v>5</v>
      </c>
      <c r="T111">
        <v>37594</v>
      </c>
      <c r="U111">
        <v>3</v>
      </c>
      <c r="V111" t="s">
        <v>234</v>
      </c>
      <c r="W111" t="s">
        <v>47</v>
      </c>
      <c r="X111" t="s">
        <v>19</v>
      </c>
      <c r="Y111" t="s">
        <v>30</v>
      </c>
      <c r="Z111" t="s">
        <v>30</v>
      </c>
      <c r="AA111">
        <v>72</v>
      </c>
      <c r="AB111">
        <v>104023</v>
      </c>
      <c r="AC111" t="s">
        <v>386</v>
      </c>
      <c r="AD111" t="s">
        <v>387</v>
      </c>
      <c r="AE111">
        <v>1</v>
      </c>
      <c r="AF111">
        <v>8</v>
      </c>
      <c r="AG111">
        <v>295.88</v>
      </c>
      <c r="AH111">
        <v>0</v>
      </c>
      <c r="AI111">
        <v>0</v>
      </c>
      <c r="AJ111">
        <v>0</v>
      </c>
      <c r="AK111">
        <v>426.07</v>
      </c>
      <c r="AL111">
        <v>2367.04</v>
      </c>
      <c r="AM111">
        <v>2793</v>
      </c>
      <c r="AN111">
        <v>95</v>
      </c>
      <c r="AO111" t="s">
        <v>237</v>
      </c>
      <c r="AP111" t="s">
        <v>238</v>
      </c>
      <c r="AQ111">
        <v>10</v>
      </c>
      <c r="AR111">
        <v>115</v>
      </c>
      <c r="AS111" t="s">
        <v>114</v>
      </c>
      <c r="AT111">
        <v>6765681</v>
      </c>
      <c r="AU111" t="s">
        <v>388</v>
      </c>
      <c r="AV111" t="s">
        <v>86</v>
      </c>
      <c r="AW111" t="s">
        <v>50</v>
      </c>
      <c r="AX111" t="s">
        <v>51</v>
      </c>
      <c r="AY111" t="s">
        <v>239</v>
      </c>
      <c r="AZ111" t="s">
        <v>240</v>
      </c>
      <c r="BA111" t="s">
        <v>385</v>
      </c>
      <c r="BB111">
        <v>0</v>
      </c>
      <c r="BC111">
        <v>0</v>
      </c>
      <c r="BD111" t="s">
        <v>199</v>
      </c>
      <c r="BE111" t="s">
        <v>199</v>
      </c>
      <c r="BF111">
        <v>0</v>
      </c>
      <c r="BG111">
        <v>0</v>
      </c>
      <c r="BH111" t="s">
        <v>200</v>
      </c>
      <c r="BI111">
        <v>13</v>
      </c>
      <c r="BJ111">
        <v>6203976</v>
      </c>
      <c r="BK111" t="s">
        <v>201</v>
      </c>
      <c r="BL111" t="s">
        <v>190</v>
      </c>
    </row>
    <row r="112" spans="1:64" x14ac:dyDescent="0.3">
      <c r="A112">
        <v>125</v>
      </c>
      <c r="B112" t="s">
        <v>186</v>
      </c>
      <c r="C112">
        <v>3</v>
      </c>
      <c r="D112">
        <v>6204894</v>
      </c>
      <c r="E112" t="s">
        <v>213</v>
      </c>
      <c r="F112" t="s">
        <v>188</v>
      </c>
      <c r="G112">
        <v>10033797</v>
      </c>
      <c r="H112" s="35">
        <v>46058</v>
      </c>
      <c r="I112" s="35">
        <v>46058</v>
      </c>
      <c r="J112">
        <v>2026</v>
      </c>
      <c r="K112">
        <v>2</v>
      </c>
      <c r="L112" t="s">
        <v>242</v>
      </c>
      <c r="M112">
        <v>1</v>
      </c>
      <c r="N112" t="s">
        <v>190</v>
      </c>
      <c r="O112" t="s">
        <v>191</v>
      </c>
      <c r="P112" t="s">
        <v>199</v>
      </c>
      <c r="Q112" t="s">
        <v>199</v>
      </c>
      <c r="R112">
        <v>6</v>
      </c>
      <c r="S112">
        <v>5</v>
      </c>
      <c r="T112">
        <v>36908</v>
      </c>
      <c r="U112">
        <v>3</v>
      </c>
      <c r="V112" t="s">
        <v>215</v>
      </c>
      <c r="W112" t="s">
        <v>67</v>
      </c>
      <c r="X112" t="s">
        <v>28</v>
      </c>
      <c r="Y112" t="s">
        <v>30</v>
      </c>
      <c r="Z112" t="s">
        <v>30</v>
      </c>
      <c r="AA112">
        <v>11</v>
      </c>
      <c r="AB112">
        <v>103001</v>
      </c>
      <c r="AC112" t="s">
        <v>286</v>
      </c>
      <c r="AD112" t="s">
        <v>287</v>
      </c>
      <c r="AE112">
        <v>0.16666666666666</v>
      </c>
      <c r="AF112">
        <v>8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199</v>
      </c>
      <c r="AO112" t="s">
        <v>218</v>
      </c>
      <c r="AP112" t="s">
        <v>219</v>
      </c>
      <c r="AQ112">
        <v>10</v>
      </c>
      <c r="AR112">
        <v>107</v>
      </c>
      <c r="AS112" t="s">
        <v>96</v>
      </c>
      <c r="AT112">
        <v>6770651</v>
      </c>
      <c r="AU112" t="s">
        <v>288</v>
      </c>
      <c r="AV112" t="s">
        <v>86</v>
      </c>
      <c r="AW112" t="s">
        <v>70</v>
      </c>
      <c r="AX112" t="s">
        <v>71</v>
      </c>
      <c r="AY112" t="s">
        <v>220</v>
      </c>
      <c r="AZ112" t="s">
        <v>221</v>
      </c>
      <c r="BA112" t="s">
        <v>389</v>
      </c>
      <c r="BB112">
        <v>0</v>
      </c>
      <c r="BC112">
        <v>1</v>
      </c>
      <c r="BD112">
        <v>3374</v>
      </c>
      <c r="BE112" t="s">
        <v>390</v>
      </c>
      <c r="BF112">
        <v>0</v>
      </c>
      <c r="BG112">
        <v>0</v>
      </c>
      <c r="BH112" t="s">
        <v>200</v>
      </c>
      <c r="BI112">
        <v>13</v>
      </c>
      <c r="BJ112">
        <v>6204894</v>
      </c>
      <c r="BK112" t="s">
        <v>201</v>
      </c>
      <c r="BL112" t="s">
        <v>190</v>
      </c>
    </row>
    <row r="113" spans="1:64" x14ac:dyDescent="0.3">
      <c r="A113">
        <v>125</v>
      </c>
      <c r="B113" t="s">
        <v>186</v>
      </c>
      <c r="C113">
        <v>3</v>
      </c>
      <c r="D113">
        <v>6204894</v>
      </c>
      <c r="E113" t="s">
        <v>213</v>
      </c>
      <c r="F113" t="s">
        <v>188</v>
      </c>
      <c r="G113">
        <v>10033797</v>
      </c>
      <c r="H113" s="35">
        <v>46058</v>
      </c>
      <c r="I113" s="35">
        <v>46058</v>
      </c>
      <c r="J113">
        <v>2026</v>
      </c>
      <c r="K113">
        <v>2</v>
      </c>
      <c r="L113" t="s">
        <v>242</v>
      </c>
      <c r="M113">
        <v>1</v>
      </c>
      <c r="N113" t="s">
        <v>203</v>
      </c>
      <c r="O113" t="s">
        <v>191</v>
      </c>
      <c r="P113" t="s">
        <v>199</v>
      </c>
      <c r="Q113" t="s">
        <v>199</v>
      </c>
      <c r="R113">
        <v>6</v>
      </c>
      <c r="S113">
        <v>5</v>
      </c>
      <c r="T113">
        <v>36908</v>
      </c>
      <c r="U113">
        <v>3</v>
      </c>
      <c r="V113" t="s">
        <v>215</v>
      </c>
      <c r="W113" t="s">
        <v>67</v>
      </c>
      <c r="X113" t="s">
        <v>28</v>
      </c>
      <c r="Y113" t="s">
        <v>30</v>
      </c>
      <c r="Z113" t="s">
        <v>30</v>
      </c>
      <c r="AA113">
        <v>11</v>
      </c>
      <c r="AB113">
        <v>930112</v>
      </c>
      <c r="AC113" t="s">
        <v>391</v>
      </c>
      <c r="AD113" t="s">
        <v>392</v>
      </c>
      <c r="AE113">
        <v>0.12</v>
      </c>
      <c r="AF113">
        <v>3</v>
      </c>
      <c r="AG113">
        <v>152.53</v>
      </c>
      <c r="AH113">
        <v>0</v>
      </c>
      <c r="AI113">
        <v>0</v>
      </c>
      <c r="AJ113">
        <v>0</v>
      </c>
      <c r="AK113">
        <v>82.37</v>
      </c>
      <c r="AL113">
        <v>457.59</v>
      </c>
      <c r="AM113">
        <v>540</v>
      </c>
      <c r="AN113">
        <v>199</v>
      </c>
      <c r="AO113" t="s">
        <v>218</v>
      </c>
      <c r="AP113" t="s">
        <v>219</v>
      </c>
      <c r="AQ113">
        <v>10</v>
      </c>
      <c r="AR113">
        <v>207</v>
      </c>
      <c r="AS113" t="s">
        <v>81</v>
      </c>
      <c r="AT113">
        <v>0</v>
      </c>
      <c r="AU113" t="s">
        <v>199</v>
      </c>
      <c r="AV113" t="s">
        <v>82</v>
      </c>
      <c r="AW113" t="s">
        <v>70</v>
      </c>
      <c r="AX113" t="s">
        <v>71</v>
      </c>
      <c r="AY113" t="s">
        <v>220</v>
      </c>
      <c r="AZ113" t="s">
        <v>221</v>
      </c>
      <c r="BA113" t="s">
        <v>389</v>
      </c>
      <c r="BB113">
        <v>0</v>
      </c>
      <c r="BC113">
        <v>0</v>
      </c>
      <c r="BD113" t="s">
        <v>199</v>
      </c>
      <c r="BE113" t="s">
        <v>199</v>
      </c>
      <c r="BF113">
        <v>0</v>
      </c>
      <c r="BG113">
        <v>0</v>
      </c>
      <c r="BH113" t="s">
        <v>200</v>
      </c>
      <c r="BI113">
        <v>13</v>
      </c>
      <c r="BJ113">
        <v>6204894</v>
      </c>
      <c r="BK113" t="s">
        <v>201</v>
      </c>
      <c r="BL113" t="s">
        <v>190</v>
      </c>
    </row>
    <row r="114" spans="1:64" x14ac:dyDescent="0.3">
      <c r="A114">
        <v>125</v>
      </c>
      <c r="B114" t="s">
        <v>186</v>
      </c>
      <c r="C114">
        <v>3</v>
      </c>
      <c r="D114">
        <v>6204894</v>
      </c>
      <c r="E114" t="s">
        <v>213</v>
      </c>
      <c r="F114" t="s">
        <v>188</v>
      </c>
      <c r="G114">
        <v>10033797</v>
      </c>
      <c r="H114" s="35">
        <v>46058</v>
      </c>
      <c r="I114" s="35">
        <v>46058</v>
      </c>
      <c r="J114">
        <v>2026</v>
      </c>
      <c r="K114">
        <v>2</v>
      </c>
      <c r="L114" t="s">
        <v>242</v>
      </c>
      <c r="M114">
        <v>1</v>
      </c>
      <c r="N114" t="s">
        <v>203</v>
      </c>
      <c r="O114" t="s">
        <v>191</v>
      </c>
      <c r="P114" t="s">
        <v>199</v>
      </c>
      <c r="Q114" t="s">
        <v>199</v>
      </c>
      <c r="R114">
        <v>6</v>
      </c>
      <c r="S114">
        <v>5</v>
      </c>
      <c r="T114">
        <v>36908</v>
      </c>
      <c r="U114">
        <v>3</v>
      </c>
      <c r="V114" t="s">
        <v>215</v>
      </c>
      <c r="W114" t="s">
        <v>67</v>
      </c>
      <c r="X114" t="s">
        <v>28</v>
      </c>
      <c r="Y114" t="s">
        <v>30</v>
      </c>
      <c r="Z114" t="s">
        <v>30</v>
      </c>
      <c r="AA114">
        <v>11</v>
      </c>
      <c r="AB114">
        <v>930188</v>
      </c>
      <c r="AC114" t="s">
        <v>374</v>
      </c>
      <c r="AD114" t="s">
        <v>375</v>
      </c>
      <c r="AE114">
        <v>0.66666666666665997</v>
      </c>
      <c r="AF114">
        <v>10</v>
      </c>
      <c r="AG114">
        <v>56.36</v>
      </c>
      <c r="AH114">
        <v>0</v>
      </c>
      <c r="AI114">
        <v>0</v>
      </c>
      <c r="AJ114">
        <v>0</v>
      </c>
      <c r="AK114">
        <v>101.45</v>
      </c>
      <c r="AL114">
        <v>563.6</v>
      </c>
      <c r="AM114">
        <v>665</v>
      </c>
      <c r="AN114">
        <v>199</v>
      </c>
      <c r="AO114" t="s">
        <v>218</v>
      </c>
      <c r="AP114" t="s">
        <v>219</v>
      </c>
      <c r="AQ114">
        <v>10</v>
      </c>
      <c r="AR114">
        <v>206</v>
      </c>
      <c r="AS114" t="s">
        <v>83</v>
      </c>
      <c r="AT114">
        <v>0</v>
      </c>
      <c r="AU114" t="s">
        <v>199</v>
      </c>
      <c r="AV114" t="s">
        <v>82</v>
      </c>
      <c r="AW114" t="s">
        <v>70</v>
      </c>
      <c r="AX114" t="s">
        <v>71</v>
      </c>
      <c r="AY114" t="s">
        <v>220</v>
      </c>
      <c r="AZ114" t="s">
        <v>221</v>
      </c>
      <c r="BA114" t="s">
        <v>389</v>
      </c>
      <c r="BB114">
        <v>0</v>
      </c>
      <c r="BC114">
        <v>0</v>
      </c>
      <c r="BD114" t="s">
        <v>199</v>
      </c>
      <c r="BE114" t="s">
        <v>199</v>
      </c>
      <c r="BF114">
        <v>0</v>
      </c>
      <c r="BG114">
        <v>0</v>
      </c>
      <c r="BH114" t="s">
        <v>200</v>
      </c>
      <c r="BI114">
        <v>13</v>
      </c>
      <c r="BJ114">
        <v>6204894</v>
      </c>
      <c r="BK114" t="s">
        <v>201</v>
      </c>
      <c r="BL114" t="s">
        <v>190</v>
      </c>
    </row>
    <row r="115" spans="1:64" x14ac:dyDescent="0.3">
      <c r="A115">
        <v>125</v>
      </c>
      <c r="B115" t="s">
        <v>186</v>
      </c>
      <c r="C115">
        <v>3</v>
      </c>
      <c r="D115">
        <v>6204894</v>
      </c>
      <c r="E115" t="s">
        <v>213</v>
      </c>
      <c r="F115" t="s">
        <v>188</v>
      </c>
      <c r="G115">
        <v>10033797</v>
      </c>
      <c r="H115" s="35">
        <v>46058</v>
      </c>
      <c r="I115" s="35">
        <v>46058</v>
      </c>
      <c r="J115">
        <v>2026</v>
      </c>
      <c r="K115">
        <v>2</v>
      </c>
      <c r="L115" t="s">
        <v>242</v>
      </c>
      <c r="M115">
        <v>1</v>
      </c>
      <c r="N115" t="s">
        <v>203</v>
      </c>
      <c r="O115" t="s">
        <v>191</v>
      </c>
      <c r="P115" t="s">
        <v>199</v>
      </c>
      <c r="Q115" t="s">
        <v>199</v>
      </c>
      <c r="R115">
        <v>6</v>
      </c>
      <c r="S115">
        <v>5</v>
      </c>
      <c r="T115">
        <v>36908</v>
      </c>
      <c r="U115">
        <v>3</v>
      </c>
      <c r="V115" t="s">
        <v>215</v>
      </c>
      <c r="W115" t="s">
        <v>67</v>
      </c>
      <c r="X115" t="s">
        <v>28</v>
      </c>
      <c r="Y115" t="s">
        <v>30</v>
      </c>
      <c r="Z115" t="s">
        <v>30</v>
      </c>
      <c r="AA115">
        <v>11</v>
      </c>
      <c r="AB115">
        <v>800792</v>
      </c>
      <c r="AC115" t="s">
        <v>304</v>
      </c>
      <c r="AD115" t="s">
        <v>305</v>
      </c>
      <c r="AE115">
        <v>0.08</v>
      </c>
      <c r="AF115">
        <v>2</v>
      </c>
      <c r="AG115">
        <v>151.58000000000001</v>
      </c>
      <c r="AH115">
        <v>0</v>
      </c>
      <c r="AI115">
        <v>0</v>
      </c>
      <c r="AJ115">
        <v>0</v>
      </c>
      <c r="AK115">
        <v>54.57</v>
      </c>
      <c r="AL115">
        <v>303.16000000000003</v>
      </c>
      <c r="AM115">
        <v>358</v>
      </c>
      <c r="AN115">
        <v>199</v>
      </c>
      <c r="AO115" t="s">
        <v>218</v>
      </c>
      <c r="AP115" t="s">
        <v>219</v>
      </c>
      <c r="AQ115">
        <v>10</v>
      </c>
      <c r="AR115">
        <v>207</v>
      </c>
      <c r="AS115" t="s">
        <v>81</v>
      </c>
      <c r="AT115">
        <v>65103</v>
      </c>
      <c r="AU115" t="s">
        <v>266</v>
      </c>
      <c r="AV115" t="s">
        <v>82</v>
      </c>
      <c r="AW115" t="s">
        <v>70</v>
      </c>
      <c r="AX115" t="s">
        <v>71</v>
      </c>
      <c r="AY115" t="s">
        <v>220</v>
      </c>
      <c r="AZ115" t="s">
        <v>221</v>
      </c>
      <c r="BA115" t="s">
        <v>389</v>
      </c>
      <c r="BB115">
        <v>0</v>
      </c>
      <c r="BC115">
        <v>0</v>
      </c>
      <c r="BD115" t="s">
        <v>199</v>
      </c>
      <c r="BE115" t="s">
        <v>199</v>
      </c>
      <c r="BF115">
        <v>0</v>
      </c>
      <c r="BG115">
        <v>0</v>
      </c>
      <c r="BH115" t="s">
        <v>200</v>
      </c>
      <c r="BI115">
        <v>13</v>
      </c>
      <c r="BJ115">
        <v>6204894</v>
      </c>
      <c r="BK115" t="s">
        <v>201</v>
      </c>
      <c r="BL115" t="s">
        <v>190</v>
      </c>
    </row>
    <row r="116" spans="1:64" x14ac:dyDescent="0.3">
      <c r="A116">
        <v>125</v>
      </c>
      <c r="B116" t="s">
        <v>186</v>
      </c>
      <c r="C116">
        <v>3</v>
      </c>
      <c r="D116">
        <v>6204894</v>
      </c>
      <c r="E116" t="s">
        <v>213</v>
      </c>
      <c r="F116" t="s">
        <v>188</v>
      </c>
      <c r="G116">
        <v>10033797</v>
      </c>
      <c r="H116" s="35">
        <v>46058</v>
      </c>
      <c r="I116" s="35">
        <v>46058</v>
      </c>
      <c r="J116">
        <v>2026</v>
      </c>
      <c r="K116">
        <v>2</v>
      </c>
      <c r="L116" t="s">
        <v>242</v>
      </c>
      <c r="M116">
        <v>1</v>
      </c>
      <c r="N116" t="s">
        <v>203</v>
      </c>
      <c r="O116" t="s">
        <v>191</v>
      </c>
      <c r="P116" t="s">
        <v>199</v>
      </c>
      <c r="Q116" t="s">
        <v>199</v>
      </c>
      <c r="R116">
        <v>6</v>
      </c>
      <c r="S116">
        <v>5</v>
      </c>
      <c r="T116">
        <v>36908</v>
      </c>
      <c r="U116">
        <v>3</v>
      </c>
      <c r="V116" t="s">
        <v>215</v>
      </c>
      <c r="W116" t="s">
        <v>67</v>
      </c>
      <c r="X116" t="s">
        <v>28</v>
      </c>
      <c r="Y116" t="s">
        <v>30</v>
      </c>
      <c r="Z116" t="s">
        <v>30</v>
      </c>
      <c r="AA116">
        <v>11</v>
      </c>
      <c r="AB116">
        <v>930025</v>
      </c>
      <c r="AC116" t="s">
        <v>306</v>
      </c>
      <c r="AD116" t="s">
        <v>307</v>
      </c>
      <c r="AE116">
        <v>0.27777777777777002</v>
      </c>
      <c r="AF116">
        <v>10</v>
      </c>
      <c r="AG116">
        <v>57.58</v>
      </c>
      <c r="AH116">
        <v>0</v>
      </c>
      <c r="AI116">
        <v>0</v>
      </c>
      <c r="AJ116">
        <v>0</v>
      </c>
      <c r="AK116">
        <v>103.64</v>
      </c>
      <c r="AL116">
        <v>575.79999999999995</v>
      </c>
      <c r="AM116">
        <v>679</v>
      </c>
      <c r="AN116">
        <v>199</v>
      </c>
      <c r="AO116" t="s">
        <v>218</v>
      </c>
      <c r="AP116" t="s">
        <v>219</v>
      </c>
      <c r="AQ116">
        <v>10</v>
      </c>
      <c r="AR116">
        <v>209</v>
      </c>
      <c r="AS116" t="s">
        <v>88</v>
      </c>
      <c r="AT116">
        <v>0</v>
      </c>
      <c r="AU116" t="s">
        <v>199</v>
      </c>
      <c r="AV116" t="s">
        <v>82</v>
      </c>
      <c r="AW116" t="s">
        <v>70</v>
      </c>
      <c r="AX116" t="s">
        <v>71</v>
      </c>
      <c r="AY116" t="s">
        <v>220</v>
      </c>
      <c r="AZ116" t="s">
        <v>221</v>
      </c>
      <c r="BA116" t="s">
        <v>389</v>
      </c>
      <c r="BB116">
        <v>0</v>
      </c>
      <c r="BC116">
        <v>0</v>
      </c>
      <c r="BD116" t="s">
        <v>199</v>
      </c>
      <c r="BE116" t="s">
        <v>199</v>
      </c>
      <c r="BF116">
        <v>0</v>
      </c>
      <c r="BG116">
        <v>0</v>
      </c>
      <c r="BH116" t="s">
        <v>200</v>
      </c>
      <c r="BI116">
        <v>13</v>
      </c>
      <c r="BJ116">
        <v>6204894</v>
      </c>
      <c r="BK116" t="s">
        <v>201</v>
      </c>
      <c r="BL116" t="s">
        <v>190</v>
      </c>
    </row>
    <row r="117" spans="1:64" x14ac:dyDescent="0.3">
      <c r="A117">
        <v>125</v>
      </c>
      <c r="B117" t="s">
        <v>186</v>
      </c>
      <c r="C117">
        <v>3</v>
      </c>
      <c r="D117">
        <v>6204894</v>
      </c>
      <c r="E117" t="s">
        <v>213</v>
      </c>
      <c r="F117" t="s">
        <v>188</v>
      </c>
      <c r="G117">
        <v>10033797</v>
      </c>
      <c r="H117" s="35">
        <v>46058</v>
      </c>
      <c r="I117" s="35">
        <v>46058</v>
      </c>
      <c r="J117">
        <v>2026</v>
      </c>
      <c r="K117">
        <v>2</v>
      </c>
      <c r="L117" t="s">
        <v>242</v>
      </c>
      <c r="M117">
        <v>1</v>
      </c>
      <c r="N117" t="s">
        <v>190</v>
      </c>
      <c r="O117" t="s">
        <v>191</v>
      </c>
      <c r="P117" t="s">
        <v>199</v>
      </c>
      <c r="Q117" t="s">
        <v>199</v>
      </c>
      <c r="R117">
        <v>6</v>
      </c>
      <c r="S117">
        <v>5</v>
      </c>
      <c r="T117">
        <v>36908</v>
      </c>
      <c r="U117">
        <v>3</v>
      </c>
      <c r="V117" t="s">
        <v>215</v>
      </c>
      <c r="W117" t="s">
        <v>67</v>
      </c>
      <c r="X117" t="s">
        <v>28</v>
      </c>
      <c r="Y117" t="s">
        <v>30</v>
      </c>
      <c r="Z117" t="s">
        <v>30</v>
      </c>
      <c r="AA117">
        <v>11</v>
      </c>
      <c r="AB117">
        <v>501137</v>
      </c>
      <c r="AC117" t="s">
        <v>393</v>
      </c>
      <c r="AD117" t="s">
        <v>394</v>
      </c>
      <c r="AE117">
        <v>0.2</v>
      </c>
      <c r="AF117">
        <v>24</v>
      </c>
      <c r="AG117">
        <v>12.39</v>
      </c>
      <c r="AH117">
        <v>0</v>
      </c>
      <c r="AI117">
        <v>0</v>
      </c>
      <c r="AJ117">
        <v>0</v>
      </c>
      <c r="AK117">
        <v>53.52</v>
      </c>
      <c r="AL117">
        <v>297.36</v>
      </c>
      <c r="AM117">
        <v>351</v>
      </c>
      <c r="AN117">
        <v>199</v>
      </c>
      <c r="AO117" t="s">
        <v>218</v>
      </c>
      <c r="AP117" t="s">
        <v>219</v>
      </c>
      <c r="AQ117">
        <v>10</v>
      </c>
      <c r="AR117">
        <v>168</v>
      </c>
      <c r="AS117" t="s">
        <v>112</v>
      </c>
      <c r="AT117">
        <v>856801</v>
      </c>
      <c r="AU117" t="s">
        <v>112</v>
      </c>
      <c r="AV117" t="s">
        <v>113</v>
      </c>
      <c r="AW117" t="s">
        <v>70</v>
      </c>
      <c r="AX117" t="s">
        <v>71</v>
      </c>
      <c r="AY117" t="s">
        <v>220</v>
      </c>
      <c r="AZ117" t="s">
        <v>221</v>
      </c>
      <c r="BA117" t="s">
        <v>389</v>
      </c>
      <c r="BB117">
        <v>0</v>
      </c>
      <c r="BC117">
        <v>0</v>
      </c>
      <c r="BD117" t="s">
        <v>199</v>
      </c>
      <c r="BE117" t="s">
        <v>199</v>
      </c>
      <c r="BF117">
        <v>0</v>
      </c>
      <c r="BG117">
        <v>0</v>
      </c>
      <c r="BH117" t="s">
        <v>200</v>
      </c>
      <c r="BI117">
        <v>13</v>
      </c>
      <c r="BJ117">
        <v>6204894</v>
      </c>
      <c r="BK117" t="s">
        <v>201</v>
      </c>
      <c r="BL117" t="s">
        <v>190</v>
      </c>
    </row>
    <row r="118" spans="1:64" x14ac:dyDescent="0.3">
      <c r="A118">
        <v>125</v>
      </c>
      <c r="B118" t="s">
        <v>186</v>
      </c>
      <c r="C118">
        <v>3</v>
      </c>
      <c r="D118">
        <v>6204894</v>
      </c>
      <c r="E118" t="s">
        <v>213</v>
      </c>
      <c r="F118" t="s">
        <v>188</v>
      </c>
      <c r="G118">
        <v>10033797</v>
      </c>
      <c r="H118" s="35">
        <v>46058</v>
      </c>
      <c r="I118" s="35">
        <v>46058</v>
      </c>
      <c r="J118">
        <v>2026</v>
      </c>
      <c r="K118">
        <v>2</v>
      </c>
      <c r="L118" t="s">
        <v>242</v>
      </c>
      <c r="M118">
        <v>1</v>
      </c>
      <c r="N118" t="s">
        <v>190</v>
      </c>
      <c r="O118" t="s">
        <v>191</v>
      </c>
      <c r="P118" t="s">
        <v>199</v>
      </c>
      <c r="Q118" t="s">
        <v>199</v>
      </c>
      <c r="R118">
        <v>6</v>
      </c>
      <c r="S118">
        <v>5</v>
      </c>
      <c r="T118">
        <v>36908</v>
      </c>
      <c r="U118">
        <v>3</v>
      </c>
      <c r="V118" t="s">
        <v>215</v>
      </c>
      <c r="W118" t="s">
        <v>67</v>
      </c>
      <c r="X118" t="s">
        <v>28</v>
      </c>
      <c r="Y118" t="s">
        <v>30</v>
      </c>
      <c r="Z118" t="s">
        <v>30</v>
      </c>
      <c r="AA118">
        <v>11</v>
      </c>
      <c r="AB118">
        <v>501139</v>
      </c>
      <c r="AC118" t="s">
        <v>395</v>
      </c>
      <c r="AD118" t="s">
        <v>396</v>
      </c>
      <c r="AE118">
        <v>4.1666666666660003E-2</v>
      </c>
      <c r="AF118">
        <v>2</v>
      </c>
      <c r="AG118">
        <v>148.69999999999999</v>
      </c>
      <c r="AH118">
        <v>0</v>
      </c>
      <c r="AI118">
        <v>0</v>
      </c>
      <c r="AJ118">
        <v>0</v>
      </c>
      <c r="AK118">
        <v>53.53</v>
      </c>
      <c r="AL118">
        <v>297.39999999999998</v>
      </c>
      <c r="AM118">
        <v>351</v>
      </c>
      <c r="AN118">
        <v>199</v>
      </c>
      <c r="AO118" t="s">
        <v>218</v>
      </c>
      <c r="AP118" t="s">
        <v>219</v>
      </c>
      <c r="AQ118">
        <v>10</v>
      </c>
      <c r="AR118">
        <v>168</v>
      </c>
      <c r="AS118" t="s">
        <v>112</v>
      </c>
      <c r="AT118">
        <v>856801</v>
      </c>
      <c r="AU118" t="s">
        <v>112</v>
      </c>
      <c r="AV118" t="s">
        <v>113</v>
      </c>
      <c r="AW118" t="s">
        <v>70</v>
      </c>
      <c r="AX118" t="s">
        <v>71</v>
      </c>
      <c r="AY118" t="s">
        <v>220</v>
      </c>
      <c r="AZ118" t="s">
        <v>221</v>
      </c>
      <c r="BA118" t="s">
        <v>389</v>
      </c>
      <c r="BB118">
        <v>0</v>
      </c>
      <c r="BC118">
        <v>0</v>
      </c>
      <c r="BD118" t="s">
        <v>199</v>
      </c>
      <c r="BE118" t="s">
        <v>199</v>
      </c>
      <c r="BF118">
        <v>0</v>
      </c>
      <c r="BG118">
        <v>0</v>
      </c>
      <c r="BH118" t="s">
        <v>200</v>
      </c>
      <c r="BI118">
        <v>13</v>
      </c>
      <c r="BJ118">
        <v>6204894</v>
      </c>
      <c r="BK118" t="s">
        <v>201</v>
      </c>
      <c r="BL118" t="s">
        <v>190</v>
      </c>
    </row>
    <row r="119" spans="1:64" x14ac:dyDescent="0.3">
      <c r="A119">
        <v>125</v>
      </c>
      <c r="B119" t="s">
        <v>186</v>
      </c>
      <c r="C119">
        <v>3</v>
      </c>
      <c r="D119">
        <v>6204894</v>
      </c>
      <c r="E119" t="s">
        <v>213</v>
      </c>
      <c r="F119" t="s">
        <v>188</v>
      </c>
      <c r="G119">
        <v>10033797</v>
      </c>
      <c r="H119" s="35">
        <v>46058</v>
      </c>
      <c r="I119" s="35">
        <v>46058</v>
      </c>
      <c r="J119">
        <v>2026</v>
      </c>
      <c r="K119">
        <v>2</v>
      </c>
      <c r="L119" t="s">
        <v>242</v>
      </c>
      <c r="M119">
        <v>1</v>
      </c>
      <c r="N119" t="s">
        <v>190</v>
      </c>
      <c r="O119" t="s">
        <v>191</v>
      </c>
      <c r="P119" t="s">
        <v>199</v>
      </c>
      <c r="Q119" t="s">
        <v>199</v>
      </c>
      <c r="R119">
        <v>6</v>
      </c>
      <c r="S119">
        <v>5</v>
      </c>
      <c r="T119">
        <v>36908</v>
      </c>
      <c r="U119">
        <v>3</v>
      </c>
      <c r="V119" t="s">
        <v>215</v>
      </c>
      <c r="W119" t="s">
        <v>67</v>
      </c>
      <c r="X119" t="s">
        <v>28</v>
      </c>
      <c r="Y119" t="s">
        <v>30</v>
      </c>
      <c r="Z119" t="s">
        <v>30</v>
      </c>
      <c r="AA119">
        <v>11</v>
      </c>
      <c r="AB119">
        <v>101026</v>
      </c>
      <c r="AC119" t="s">
        <v>372</v>
      </c>
      <c r="AD119" t="s">
        <v>373</v>
      </c>
      <c r="AE119">
        <v>1</v>
      </c>
      <c r="AF119">
        <v>36</v>
      </c>
      <c r="AG119">
        <v>32.729999999999997</v>
      </c>
      <c r="AH119">
        <v>0</v>
      </c>
      <c r="AI119">
        <v>0</v>
      </c>
      <c r="AJ119">
        <v>0</v>
      </c>
      <c r="AK119">
        <v>212.09</v>
      </c>
      <c r="AL119">
        <v>1178.28</v>
      </c>
      <c r="AM119">
        <v>1390</v>
      </c>
      <c r="AN119">
        <v>199</v>
      </c>
      <c r="AO119" t="s">
        <v>218</v>
      </c>
      <c r="AP119" t="s">
        <v>219</v>
      </c>
      <c r="AQ119">
        <v>10</v>
      </c>
      <c r="AR119">
        <v>136</v>
      </c>
      <c r="AS119" t="s">
        <v>87</v>
      </c>
      <c r="AT119">
        <v>677001</v>
      </c>
      <c r="AU119" t="s">
        <v>273</v>
      </c>
      <c r="AV119" t="s">
        <v>86</v>
      </c>
      <c r="AW119" t="s">
        <v>70</v>
      </c>
      <c r="AX119" t="s">
        <v>71</v>
      </c>
      <c r="AY119" t="s">
        <v>220</v>
      </c>
      <c r="AZ119" t="s">
        <v>221</v>
      </c>
      <c r="BA119" t="s">
        <v>389</v>
      </c>
      <c r="BB119">
        <v>0</v>
      </c>
      <c r="BC119">
        <v>0</v>
      </c>
      <c r="BD119" t="s">
        <v>199</v>
      </c>
      <c r="BE119" t="s">
        <v>199</v>
      </c>
      <c r="BF119">
        <v>0</v>
      </c>
      <c r="BG119">
        <v>0</v>
      </c>
      <c r="BH119" t="s">
        <v>200</v>
      </c>
      <c r="BI119">
        <v>13</v>
      </c>
      <c r="BJ119">
        <v>6204894</v>
      </c>
      <c r="BK119" t="s">
        <v>201</v>
      </c>
      <c r="BL119" t="s">
        <v>190</v>
      </c>
    </row>
    <row r="120" spans="1:64" x14ac:dyDescent="0.3">
      <c r="A120">
        <v>125</v>
      </c>
      <c r="B120" t="s">
        <v>186</v>
      </c>
      <c r="C120">
        <v>3</v>
      </c>
      <c r="D120">
        <v>6204894</v>
      </c>
      <c r="E120" t="s">
        <v>213</v>
      </c>
      <c r="F120" t="s">
        <v>188</v>
      </c>
      <c r="G120">
        <v>10033797</v>
      </c>
      <c r="H120" s="35">
        <v>46058</v>
      </c>
      <c r="I120" s="35">
        <v>46058</v>
      </c>
      <c r="J120">
        <v>2026</v>
      </c>
      <c r="K120">
        <v>2</v>
      </c>
      <c r="L120" t="s">
        <v>242</v>
      </c>
      <c r="M120">
        <v>1</v>
      </c>
      <c r="N120" t="s">
        <v>190</v>
      </c>
      <c r="O120" t="s">
        <v>191</v>
      </c>
      <c r="P120" t="s">
        <v>199</v>
      </c>
      <c r="Q120" t="s">
        <v>199</v>
      </c>
      <c r="R120">
        <v>6</v>
      </c>
      <c r="S120">
        <v>5</v>
      </c>
      <c r="T120">
        <v>36908</v>
      </c>
      <c r="U120">
        <v>3</v>
      </c>
      <c r="V120" t="s">
        <v>215</v>
      </c>
      <c r="W120" t="s">
        <v>67</v>
      </c>
      <c r="X120" t="s">
        <v>28</v>
      </c>
      <c r="Y120" t="s">
        <v>30</v>
      </c>
      <c r="Z120" t="s">
        <v>30</v>
      </c>
      <c r="AA120">
        <v>11</v>
      </c>
      <c r="AB120">
        <v>101034</v>
      </c>
      <c r="AC120" t="s">
        <v>329</v>
      </c>
      <c r="AD120" t="s">
        <v>330</v>
      </c>
      <c r="AE120">
        <v>1</v>
      </c>
      <c r="AF120">
        <v>10</v>
      </c>
      <c r="AG120">
        <v>197.39</v>
      </c>
      <c r="AH120">
        <v>0</v>
      </c>
      <c r="AI120">
        <v>0</v>
      </c>
      <c r="AJ120">
        <v>0</v>
      </c>
      <c r="AK120">
        <v>355.3</v>
      </c>
      <c r="AL120">
        <v>1973.9</v>
      </c>
      <c r="AM120">
        <v>2329</v>
      </c>
      <c r="AN120">
        <v>199</v>
      </c>
      <c r="AO120" t="s">
        <v>218</v>
      </c>
      <c r="AP120" t="s">
        <v>219</v>
      </c>
      <c r="AQ120">
        <v>10</v>
      </c>
      <c r="AR120">
        <v>136</v>
      </c>
      <c r="AS120" t="s">
        <v>87</v>
      </c>
      <c r="AT120">
        <v>677001</v>
      </c>
      <c r="AU120" t="s">
        <v>273</v>
      </c>
      <c r="AV120" t="s">
        <v>86</v>
      </c>
      <c r="AW120" t="s">
        <v>70</v>
      </c>
      <c r="AX120" t="s">
        <v>71</v>
      </c>
      <c r="AY120" t="s">
        <v>220</v>
      </c>
      <c r="AZ120" t="s">
        <v>221</v>
      </c>
      <c r="BA120" t="s">
        <v>389</v>
      </c>
      <c r="BB120">
        <v>0</v>
      </c>
      <c r="BC120">
        <v>0</v>
      </c>
      <c r="BD120" t="s">
        <v>199</v>
      </c>
      <c r="BE120" t="s">
        <v>199</v>
      </c>
      <c r="BF120">
        <v>0</v>
      </c>
      <c r="BG120">
        <v>0</v>
      </c>
      <c r="BH120" t="s">
        <v>200</v>
      </c>
      <c r="BI120">
        <v>13</v>
      </c>
      <c r="BJ120">
        <v>6204894</v>
      </c>
      <c r="BK120" t="s">
        <v>201</v>
      </c>
      <c r="BL120" t="s">
        <v>190</v>
      </c>
    </row>
    <row r="121" spans="1:64" x14ac:dyDescent="0.3">
      <c r="A121">
        <v>125</v>
      </c>
      <c r="B121" t="s">
        <v>186</v>
      </c>
      <c r="C121">
        <v>3</v>
      </c>
      <c r="D121">
        <v>6204894</v>
      </c>
      <c r="E121" t="s">
        <v>213</v>
      </c>
      <c r="F121" t="s">
        <v>188</v>
      </c>
      <c r="G121">
        <v>10033797</v>
      </c>
      <c r="H121" s="35">
        <v>46058</v>
      </c>
      <c r="I121" s="35">
        <v>46058</v>
      </c>
      <c r="J121">
        <v>2026</v>
      </c>
      <c r="K121">
        <v>2</v>
      </c>
      <c r="L121" t="s">
        <v>242</v>
      </c>
      <c r="M121">
        <v>1</v>
      </c>
      <c r="N121" t="s">
        <v>190</v>
      </c>
      <c r="O121" t="s">
        <v>191</v>
      </c>
      <c r="P121" t="s">
        <v>199</v>
      </c>
      <c r="Q121" t="s">
        <v>199</v>
      </c>
      <c r="R121">
        <v>6</v>
      </c>
      <c r="S121">
        <v>5</v>
      </c>
      <c r="T121">
        <v>36908</v>
      </c>
      <c r="U121">
        <v>3</v>
      </c>
      <c r="V121" t="s">
        <v>215</v>
      </c>
      <c r="W121" t="s">
        <v>67</v>
      </c>
      <c r="X121" t="s">
        <v>28</v>
      </c>
      <c r="Y121" t="s">
        <v>30</v>
      </c>
      <c r="Z121" t="s">
        <v>30</v>
      </c>
      <c r="AA121">
        <v>11</v>
      </c>
      <c r="AB121">
        <v>103001</v>
      </c>
      <c r="AC121" t="s">
        <v>286</v>
      </c>
      <c r="AD121" t="s">
        <v>287</v>
      </c>
      <c r="AE121">
        <v>1</v>
      </c>
      <c r="AF121">
        <v>48</v>
      </c>
      <c r="AG121">
        <v>21.15</v>
      </c>
      <c r="AH121">
        <v>0</v>
      </c>
      <c r="AI121">
        <v>0</v>
      </c>
      <c r="AJ121">
        <v>0</v>
      </c>
      <c r="AK121">
        <v>182.74</v>
      </c>
      <c r="AL121">
        <v>1015.2</v>
      </c>
      <c r="AM121">
        <v>1198</v>
      </c>
      <c r="AN121">
        <v>199</v>
      </c>
      <c r="AO121" t="s">
        <v>218</v>
      </c>
      <c r="AP121" t="s">
        <v>219</v>
      </c>
      <c r="AQ121">
        <v>10</v>
      </c>
      <c r="AR121">
        <v>107</v>
      </c>
      <c r="AS121" t="s">
        <v>96</v>
      </c>
      <c r="AT121">
        <v>6770651</v>
      </c>
      <c r="AU121" t="s">
        <v>288</v>
      </c>
      <c r="AV121" t="s">
        <v>86</v>
      </c>
      <c r="AW121" t="s">
        <v>70</v>
      </c>
      <c r="AX121" t="s">
        <v>71</v>
      </c>
      <c r="AY121" t="s">
        <v>220</v>
      </c>
      <c r="AZ121" t="s">
        <v>221</v>
      </c>
      <c r="BA121" t="s">
        <v>389</v>
      </c>
      <c r="BB121">
        <v>0</v>
      </c>
      <c r="BC121">
        <v>0</v>
      </c>
      <c r="BD121" t="s">
        <v>199</v>
      </c>
      <c r="BE121" t="s">
        <v>199</v>
      </c>
      <c r="BF121">
        <v>0</v>
      </c>
      <c r="BG121">
        <v>0</v>
      </c>
      <c r="BH121" t="s">
        <v>200</v>
      </c>
      <c r="BI121">
        <v>13</v>
      </c>
      <c r="BJ121">
        <v>6204894</v>
      </c>
      <c r="BK121" t="s">
        <v>201</v>
      </c>
      <c r="BL121" t="s">
        <v>190</v>
      </c>
    </row>
    <row r="122" spans="1:64" x14ac:dyDescent="0.3">
      <c r="A122">
        <v>125</v>
      </c>
      <c r="B122" t="s">
        <v>186</v>
      </c>
      <c r="C122">
        <v>3</v>
      </c>
      <c r="D122">
        <v>6204894</v>
      </c>
      <c r="E122" t="s">
        <v>213</v>
      </c>
      <c r="F122" t="s">
        <v>188</v>
      </c>
      <c r="G122">
        <v>10033797</v>
      </c>
      <c r="H122" s="35">
        <v>46058</v>
      </c>
      <c r="I122" s="35">
        <v>46058</v>
      </c>
      <c r="J122">
        <v>2026</v>
      </c>
      <c r="K122">
        <v>2</v>
      </c>
      <c r="L122" t="s">
        <v>242</v>
      </c>
      <c r="M122">
        <v>1</v>
      </c>
      <c r="N122" t="s">
        <v>190</v>
      </c>
      <c r="O122" t="s">
        <v>191</v>
      </c>
      <c r="P122" t="s">
        <v>199</v>
      </c>
      <c r="Q122" t="s">
        <v>199</v>
      </c>
      <c r="R122">
        <v>6</v>
      </c>
      <c r="S122">
        <v>5</v>
      </c>
      <c r="T122">
        <v>36908</v>
      </c>
      <c r="U122">
        <v>3</v>
      </c>
      <c r="V122" t="s">
        <v>215</v>
      </c>
      <c r="W122" t="s">
        <v>67</v>
      </c>
      <c r="X122" t="s">
        <v>28</v>
      </c>
      <c r="Y122" t="s">
        <v>30</v>
      </c>
      <c r="Z122" t="s">
        <v>30</v>
      </c>
      <c r="AA122">
        <v>11</v>
      </c>
      <c r="AB122">
        <v>101027</v>
      </c>
      <c r="AC122" t="s">
        <v>323</v>
      </c>
      <c r="AD122" t="s">
        <v>324</v>
      </c>
      <c r="AE122">
        <v>1</v>
      </c>
      <c r="AF122">
        <v>24</v>
      </c>
      <c r="AG122">
        <v>72.680000000000007</v>
      </c>
      <c r="AH122">
        <v>0</v>
      </c>
      <c r="AI122">
        <v>0</v>
      </c>
      <c r="AJ122">
        <v>0</v>
      </c>
      <c r="AK122">
        <v>313.98</v>
      </c>
      <c r="AL122">
        <v>1744.32</v>
      </c>
      <c r="AM122">
        <v>2058</v>
      </c>
      <c r="AN122">
        <v>199</v>
      </c>
      <c r="AO122" t="s">
        <v>218</v>
      </c>
      <c r="AP122" t="s">
        <v>219</v>
      </c>
      <c r="AQ122">
        <v>10</v>
      </c>
      <c r="AR122">
        <v>105</v>
      </c>
      <c r="AS122" t="s">
        <v>85</v>
      </c>
      <c r="AT122">
        <v>677001</v>
      </c>
      <c r="AU122" t="s">
        <v>273</v>
      </c>
      <c r="AV122" t="s">
        <v>86</v>
      </c>
      <c r="AW122" t="s">
        <v>70</v>
      </c>
      <c r="AX122" t="s">
        <v>71</v>
      </c>
      <c r="AY122" t="s">
        <v>220</v>
      </c>
      <c r="AZ122" t="s">
        <v>221</v>
      </c>
      <c r="BA122" t="s">
        <v>389</v>
      </c>
      <c r="BB122">
        <v>0</v>
      </c>
      <c r="BC122">
        <v>0</v>
      </c>
      <c r="BD122" t="s">
        <v>199</v>
      </c>
      <c r="BE122" t="s">
        <v>199</v>
      </c>
      <c r="BF122">
        <v>0</v>
      </c>
      <c r="BG122">
        <v>0</v>
      </c>
      <c r="BH122" t="s">
        <v>200</v>
      </c>
      <c r="BI122">
        <v>13</v>
      </c>
      <c r="BJ122">
        <v>6204894</v>
      </c>
      <c r="BK122" t="s">
        <v>201</v>
      </c>
      <c r="BL122" t="s">
        <v>190</v>
      </c>
    </row>
    <row r="123" spans="1:64" x14ac:dyDescent="0.3">
      <c r="A123">
        <v>125</v>
      </c>
      <c r="B123" t="s">
        <v>186</v>
      </c>
      <c r="C123">
        <v>3</v>
      </c>
      <c r="D123">
        <v>6204894</v>
      </c>
      <c r="E123" t="s">
        <v>213</v>
      </c>
      <c r="F123" t="s">
        <v>188</v>
      </c>
      <c r="G123">
        <v>10033797</v>
      </c>
      <c r="H123" s="35">
        <v>46058</v>
      </c>
      <c r="I123" s="35">
        <v>46058</v>
      </c>
      <c r="J123">
        <v>2026</v>
      </c>
      <c r="K123">
        <v>2</v>
      </c>
      <c r="L123" t="s">
        <v>242</v>
      </c>
      <c r="M123">
        <v>1</v>
      </c>
      <c r="N123" t="s">
        <v>190</v>
      </c>
      <c r="O123" t="s">
        <v>191</v>
      </c>
      <c r="P123" t="s">
        <v>199</v>
      </c>
      <c r="Q123" t="s">
        <v>199</v>
      </c>
      <c r="R123">
        <v>6</v>
      </c>
      <c r="S123">
        <v>5</v>
      </c>
      <c r="T123">
        <v>36908</v>
      </c>
      <c r="U123">
        <v>3</v>
      </c>
      <c r="V123" t="s">
        <v>215</v>
      </c>
      <c r="W123" t="s">
        <v>67</v>
      </c>
      <c r="X123" t="s">
        <v>28</v>
      </c>
      <c r="Y123" t="s">
        <v>30</v>
      </c>
      <c r="Z123" t="s">
        <v>30</v>
      </c>
      <c r="AA123">
        <v>11</v>
      </c>
      <c r="AB123">
        <v>101028</v>
      </c>
      <c r="AC123" t="s">
        <v>325</v>
      </c>
      <c r="AD123" t="s">
        <v>326</v>
      </c>
      <c r="AE123">
        <v>1</v>
      </c>
      <c r="AF123">
        <v>18</v>
      </c>
      <c r="AG123">
        <v>97.42</v>
      </c>
      <c r="AH123">
        <v>0</v>
      </c>
      <c r="AI123">
        <v>0</v>
      </c>
      <c r="AJ123">
        <v>0</v>
      </c>
      <c r="AK123">
        <v>315.64</v>
      </c>
      <c r="AL123">
        <v>1753.56</v>
      </c>
      <c r="AM123">
        <v>2069</v>
      </c>
      <c r="AN123">
        <v>199</v>
      </c>
      <c r="AO123" t="s">
        <v>218</v>
      </c>
      <c r="AP123" t="s">
        <v>219</v>
      </c>
      <c r="AQ123">
        <v>10</v>
      </c>
      <c r="AR123">
        <v>105</v>
      </c>
      <c r="AS123" t="s">
        <v>85</v>
      </c>
      <c r="AT123">
        <v>677001</v>
      </c>
      <c r="AU123" t="s">
        <v>273</v>
      </c>
      <c r="AV123" t="s">
        <v>86</v>
      </c>
      <c r="AW123" t="s">
        <v>70</v>
      </c>
      <c r="AX123" t="s">
        <v>71</v>
      </c>
      <c r="AY123" t="s">
        <v>220</v>
      </c>
      <c r="AZ123" t="s">
        <v>221</v>
      </c>
      <c r="BA123" t="s">
        <v>389</v>
      </c>
      <c r="BB123">
        <v>0</v>
      </c>
      <c r="BC123">
        <v>0</v>
      </c>
      <c r="BD123" t="s">
        <v>199</v>
      </c>
      <c r="BE123" t="s">
        <v>199</v>
      </c>
      <c r="BF123">
        <v>0</v>
      </c>
      <c r="BG123">
        <v>0</v>
      </c>
      <c r="BH123" t="s">
        <v>200</v>
      </c>
      <c r="BI123">
        <v>13</v>
      </c>
      <c r="BJ123">
        <v>6204894</v>
      </c>
      <c r="BK123" t="s">
        <v>201</v>
      </c>
      <c r="BL123" t="s">
        <v>190</v>
      </c>
    </row>
    <row r="124" spans="1:64" x14ac:dyDescent="0.3">
      <c r="A124">
        <v>125</v>
      </c>
      <c r="B124" t="s">
        <v>186</v>
      </c>
      <c r="C124">
        <v>3</v>
      </c>
      <c r="D124">
        <v>6204894</v>
      </c>
      <c r="E124" t="s">
        <v>213</v>
      </c>
      <c r="F124" t="s">
        <v>188</v>
      </c>
      <c r="G124">
        <v>10033797</v>
      </c>
      <c r="H124" s="35">
        <v>46058</v>
      </c>
      <c r="I124" s="35">
        <v>46058</v>
      </c>
      <c r="J124">
        <v>2026</v>
      </c>
      <c r="K124">
        <v>2</v>
      </c>
      <c r="L124" t="s">
        <v>242</v>
      </c>
      <c r="M124">
        <v>1</v>
      </c>
      <c r="N124" t="s">
        <v>190</v>
      </c>
      <c r="O124" t="s">
        <v>191</v>
      </c>
      <c r="P124" t="s">
        <v>199</v>
      </c>
      <c r="Q124" t="s">
        <v>199</v>
      </c>
      <c r="R124">
        <v>6</v>
      </c>
      <c r="S124">
        <v>5</v>
      </c>
      <c r="T124">
        <v>36908</v>
      </c>
      <c r="U124">
        <v>3</v>
      </c>
      <c r="V124" t="s">
        <v>215</v>
      </c>
      <c r="W124" t="s">
        <v>67</v>
      </c>
      <c r="X124" t="s">
        <v>28</v>
      </c>
      <c r="Y124" t="s">
        <v>30</v>
      </c>
      <c r="Z124" t="s">
        <v>30</v>
      </c>
      <c r="AA124">
        <v>11</v>
      </c>
      <c r="AB124">
        <v>101005</v>
      </c>
      <c r="AC124" t="s">
        <v>320</v>
      </c>
      <c r="AD124" t="s">
        <v>321</v>
      </c>
      <c r="AE124">
        <v>1</v>
      </c>
      <c r="AF124">
        <v>30</v>
      </c>
      <c r="AG124">
        <v>72.680000000000007</v>
      </c>
      <c r="AH124">
        <v>0</v>
      </c>
      <c r="AI124">
        <v>0</v>
      </c>
      <c r="AJ124">
        <v>0</v>
      </c>
      <c r="AK124">
        <v>392.47</v>
      </c>
      <c r="AL124">
        <v>2180.4</v>
      </c>
      <c r="AM124">
        <v>2573</v>
      </c>
      <c r="AN124">
        <v>199</v>
      </c>
      <c r="AO124" t="s">
        <v>218</v>
      </c>
      <c r="AP124" t="s">
        <v>219</v>
      </c>
      <c r="AQ124">
        <v>10</v>
      </c>
      <c r="AR124">
        <v>105</v>
      </c>
      <c r="AS124" t="s">
        <v>85</v>
      </c>
      <c r="AT124">
        <v>677001</v>
      </c>
      <c r="AU124" t="s">
        <v>273</v>
      </c>
      <c r="AV124" t="s">
        <v>86</v>
      </c>
      <c r="AW124" t="s">
        <v>70</v>
      </c>
      <c r="AX124" t="s">
        <v>71</v>
      </c>
      <c r="AY124" t="s">
        <v>220</v>
      </c>
      <c r="AZ124" t="s">
        <v>221</v>
      </c>
      <c r="BA124" t="s">
        <v>389</v>
      </c>
      <c r="BB124">
        <v>0</v>
      </c>
      <c r="BC124">
        <v>0</v>
      </c>
      <c r="BD124" t="s">
        <v>199</v>
      </c>
      <c r="BE124" t="s">
        <v>199</v>
      </c>
      <c r="BF124">
        <v>0</v>
      </c>
      <c r="BG124">
        <v>0</v>
      </c>
      <c r="BH124" t="s">
        <v>200</v>
      </c>
      <c r="BI124">
        <v>13</v>
      </c>
      <c r="BJ124">
        <v>6204894</v>
      </c>
      <c r="BK124" t="s">
        <v>201</v>
      </c>
      <c r="BL124" t="s">
        <v>190</v>
      </c>
    </row>
    <row r="125" spans="1:64" x14ac:dyDescent="0.3">
      <c r="A125">
        <v>254</v>
      </c>
      <c r="B125" t="s">
        <v>186</v>
      </c>
      <c r="C125">
        <v>3</v>
      </c>
      <c r="D125">
        <v>6205203</v>
      </c>
      <c r="E125" t="s">
        <v>297</v>
      </c>
      <c r="F125" t="s">
        <v>188</v>
      </c>
      <c r="G125">
        <v>10034107</v>
      </c>
      <c r="H125" s="35">
        <v>46059</v>
      </c>
      <c r="I125" s="35">
        <v>46059</v>
      </c>
      <c r="J125">
        <v>2026</v>
      </c>
      <c r="K125">
        <v>2</v>
      </c>
      <c r="L125" t="s">
        <v>242</v>
      </c>
      <c r="M125">
        <v>1</v>
      </c>
      <c r="N125" t="s">
        <v>190</v>
      </c>
      <c r="O125" t="s">
        <v>191</v>
      </c>
      <c r="P125" t="s">
        <v>199</v>
      </c>
      <c r="Q125" t="s">
        <v>199</v>
      </c>
      <c r="R125">
        <v>6</v>
      </c>
      <c r="S125">
        <v>6</v>
      </c>
      <c r="T125">
        <v>5474</v>
      </c>
      <c r="U125">
        <v>3</v>
      </c>
      <c r="V125" t="s">
        <v>298</v>
      </c>
      <c r="W125" t="s">
        <v>54</v>
      </c>
      <c r="X125" t="s">
        <v>19</v>
      </c>
      <c r="Y125" t="s">
        <v>55</v>
      </c>
      <c r="Z125" t="s">
        <v>56</v>
      </c>
      <c r="AA125">
        <v>70</v>
      </c>
      <c r="AB125">
        <v>611055</v>
      </c>
      <c r="AC125" t="s">
        <v>300</v>
      </c>
      <c r="AD125" t="s">
        <v>301</v>
      </c>
      <c r="AE125">
        <v>2</v>
      </c>
      <c r="AF125">
        <v>8</v>
      </c>
      <c r="AG125">
        <v>78.319999999999993</v>
      </c>
      <c r="AH125">
        <v>0</v>
      </c>
      <c r="AI125">
        <v>0</v>
      </c>
      <c r="AJ125">
        <v>0</v>
      </c>
      <c r="AK125">
        <v>112.78</v>
      </c>
      <c r="AL125">
        <v>626.55999999999995</v>
      </c>
      <c r="AM125">
        <v>739</v>
      </c>
      <c r="AN125">
        <v>94</v>
      </c>
      <c r="AO125" t="s">
        <v>64</v>
      </c>
      <c r="AP125" t="s">
        <v>66</v>
      </c>
      <c r="AQ125">
        <v>10</v>
      </c>
      <c r="AR125">
        <v>114</v>
      </c>
      <c r="AS125" t="s">
        <v>79</v>
      </c>
      <c r="AT125">
        <v>66102</v>
      </c>
      <c r="AU125" t="s">
        <v>227</v>
      </c>
      <c r="AV125" t="s">
        <v>80</v>
      </c>
      <c r="AW125" t="s">
        <v>50</v>
      </c>
      <c r="AX125" t="s">
        <v>51</v>
      </c>
      <c r="AY125" t="s">
        <v>65</v>
      </c>
      <c r="AZ125" t="s">
        <v>240</v>
      </c>
      <c r="BA125" t="s">
        <v>397</v>
      </c>
      <c r="BB125">
        <v>0</v>
      </c>
      <c r="BC125">
        <v>0</v>
      </c>
      <c r="BD125" t="s">
        <v>199</v>
      </c>
      <c r="BE125" t="s">
        <v>199</v>
      </c>
      <c r="BF125">
        <v>0</v>
      </c>
      <c r="BG125">
        <v>0</v>
      </c>
      <c r="BH125" t="s">
        <v>200</v>
      </c>
      <c r="BI125">
        <v>13</v>
      </c>
      <c r="BJ125">
        <v>6205203</v>
      </c>
      <c r="BK125" t="s">
        <v>201</v>
      </c>
      <c r="BL125" t="s">
        <v>190</v>
      </c>
    </row>
    <row r="126" spans="1:64" x14ac:dyDescent="0.3">
      <c r="A126">
        <v>270</v>
      </c>
      <c r="B126" t="s">
        <v>186</v>
      </c>
      <c r="C126">
        <v>3</v>
      </c>
      <c r="D126">
        <v>6205773</v>
      </c>
      <c r="E126" t="s">
        <v>382</v>
      </c>
      <c r="F126" t="s">
        <v>188</v>
      </c>
      <c r="G126">
        <v>10034677</v>
      </c>
      <c r="H126" s="35">
        <v>46059</v>
      </c>
      <c r="I126" s="35">
        <v>46059</v>
      </c>
      <c r="J126">
        <v>2026</v>
      </c>
      <c r="K126">
        <v>2</v>
      </c>
      <c r="L126" t="s">
        <v>242</v>
      </c>
      <c r="M126">
        <v>1</v>
      </c>
      <c r="N126" t="s">
        <v>190</v>
      </c>
      <c r="O126" t="s">
        <v>191</v>
      </c>
      <c r="P126" t="s">
        <v>199</v>
      </c>
      <c r="Q126" t="s">
        <v>199</v>
      </c>
      <c r="R126">
        <v>6</v>
      </c>
      <c r="S126">
        <v>6</v>
      </c>
      <c r="T126">
        <v>2280</v>
      </c>
      <c r="U126">
        <v>3</v>
      </c>
      <c r="V126" t="s">
        <v>193</v>
      </c>
      <c r="W126" t="s">
        <v>29</v>
      </c>
      <c r="X126" t="s">
        <v>19</v>
      </c>
      <c r="Y126" t="s">
        <v>30</v>
      </c>
      <c r="Z126" t="s">
        <v>30</v>
      </c>
      <c r="AA126">
        <v>14</v>
      </c>
      <c r="AB126">
        <v>201001</v>
      </c>
      <c r="AC126" t="s">
        <v>248</v>
      </c>
      <c r="AD126" t="s">
        <v>249</v>
      </c>
      <c r="AE126">
        <v>10</v>
      </c>
      <c r="AF126">
        <v>10</v>
      </c>
      <c r="AG126">
        <v>221.67</v>
      </c>
      <c r="AH126">
        <v>0</v>
      </c>
      <c r="AI126">
        <v>0</v>
      </c>
      <c r="AJ126">
        <v>0</v>
      </c>
      <c r="AK126">
        <v>399.01</v>
      </c>
      <c r="AL126">
        <v>2216.6999999999998</v>
      </c>
      <c r="AM126">
        <v>2616</v>
      </c>
      <c r="AN126">
        <v>93</v>
      </c>
      <c r="AO126" t="s">
        <v>250</v>
      </c>
      <c r="AP126" t="s">
        <v>251</v>
      </c>
      <c r="AQ126">
        <v>10</v>
      </c>
      <c r="AR126">
        <v>113</v>
      </c>
      <c r="AS126" t="s">
        <v>89</v>
      </c>
      <c r="AT126">
        <v>82101</v>
      </c>
      <c r="AU126" t="s">
        <v>252</v>
      </c>
      <c r="AV126" t="s">
        <v>80</v>
      </c>
      <c r="AW126" t="s">
        <v>23</v>
      </c>
      <c r="AX126" t="s">
        <v>24</v>
      </c>
      <c r="AY126" t="s">
        <v>253</v>
      </c>
      <c r="AZ126" t="s">
        <v>197</v>
      </c>
      <c r="BA126" t="s">
        <v>398</v>
      </c>
      <c r="BB126">
        <v>0</v>
      </c>
      <c r="BC126">
        <v>0</v>
      </c>
      <c r="BD126" t="s">
        <v>199</v>
      </c>
      <c r="BE126" t="s">
        <v>199</v>
      </c>
      <c r="BF126">
        <v>0</v>
      </c>
      <c r="BG126">
        <v>0</v>
      </c>
      <c r="BH126" t="s">
        <v>200</v>
      </c>
      <c r="BI126">
        <v>13</v>
      </c>
      <c r="BJ126">
        <v>6205773</v>
      </c>
      <c r="BK126" t="s">
        <v>201</v>
      </c>
      <c r="BL126" t="s">
        <v>190</v>
      </c>
    </row>
    <row r="127" spans="1:64" x14ac:dyDescent="0.3">
      <c r="A127">
        <v>270</v>
      </c>
      <c r="B127" t="s">
        <v>186</v>
      </c>
      <c r="C127">
        <v>3</v>
      </c>
      <c r="D127">
        <v>6205773</v>
      </c>
      <c r="E127" t="s">
        <v>382</v>
      </c>
      <c r="F127" t="s">
        <v>188</v>
      </c>
      <c r="G127">
        <v>10034677</v>
      </c>
      <c r="H127" s="35">
        <v>46059</v>
      </c>
      <c r="I127" s="35">
        <v>46059</v>
      </c>
      <c r="J127">
        <v>2026</v>
      </c>
      <c r="K127">
        <v>2</v>
      </c>
      <c r="L127" t="s">
        <v>242</v>
      </c>
      <c r="M127">
        <v>1</v>
      </c>
      <c r="N127" t="s">
        <v>203</v>
      </c>
      <c r="O127" t="s">
        <v>191</v>
      </c>
      <c r="P127" t="s">
        <v>199</v>
      </c>
      <c r="Q127" t="s">
        <v>199</v>
      </c>
      <c r="R127">
        <v>6</v>
      </c>
      <c r="S127">
        <v>6</v>
      </c>
      <c r="T127">
        <v>2280</v>
      </c>
      <c r="U127">
        <v>3</v>
      </c>
      <c r="V127" t="s">
        <v>193</v>
      </c>
      <c r="W127" t="s">
        <v>29</v>
      </c>
      <c r="X127" t="s">
        <v>19</v>
      </c>
      <c r="Y127" t="s">
        <v>30</v>
      </c>
      <c r="Z127" t="s">
        <v>30</v>
      </c>
      <c r="AA127">
        <v>14</v>
      </c>
      <c r="AB127">
        <v>930039</v>
      </c>
      <c r="AC127" t="s">
        <v>399</v>
      </c>
      <c r="AD127" t="s">
        <v>400</v>
      </c>
      <c r="AE127">
        <v>1</v>
      </c>
      <c r="AF127">
        <v>16</v>
      </c>
      <c r="AG127">
        <v>103.51</v>
      </c>
      <c r="AH127">
        <v>0</v>
      </c>
      <c r="AI127">
        <v>0</v>
      </c>
      <c r="AJ127">
        <v>0</v>
      </c>
      <c r="AK127">
        <v>298.11</v>
      </c>
      <c r="AL127">
        <v>1656.16</v>
      </c>
      <c r="AM127">
        <v>1954</v>
      </c>
      <c r="AN127">
        <v>93</v>
      </c>
      <c r="AO127" t="s">
        <v>250</v>
      </c>
      <c r="AP127" t="s">
        <v>251</v>
      </c>
      <c r="AQ127">
        <v>10</v>
      </c>
      <c r="AR127">
        <v>203</v>
      </c>
      <c r="AS127" t="s">
        <v>93</v>
      </c>
      <c r="AT127">
        <v>0</v>
      </c>
      <c r="AU127" t="s">
        <v>199</v>
      </c>
      <c r="AV127" t="s">
        <v>82</v>
      </c>
      <c r="AW127" t="s">
        <v>23</v>
      </c>
      <c r="AX127" t="s">
        <v>24</v>
      </c>
      <c r="AY127" t="s">
        <v>253</v>
      </c>
      <c r="AZ127" t="s">
        <v>197</v>
      </c>
      <c r="BA127" t="s">
        <v>398</v>
      </c>
      <c r="BB127">
        <v>0</v>
      </c>
      <c r="BC127">
        <v>0</v>
      </c>
      <c r="BD127" t="s">
        <v>199</v>
      </c>
      <c r="BE127" t="s">
        <v>199</v>
      </c>
      <c r="BF127">
        <v>0</v>
      </c>
      <c r="BG127">
        <v>0</v>
      </c>
      <c r="BH127" t="s">
        <v>200</v>
      </c>
      <c r="BI127">
        <v>13</v>
      </c>
      <c r="BJ127">
        <v>6205773</v>
      </c>
      <c r="BK127" t="s">
        <v>201</v>
      </c>
      <c r="BL127" t="s">
        <v>190</v>
      </c>
    </row>
    <row r="128" spans="1:64" x14ac:dyDescent="0.3">
      <c r="A128">
        <v>109</v>
      </c>
      <c r="B128" t="s">
        <v>186</v>
      </c>
      <c r="C128">
        <v>3</v>
      </c>
      <c r="D128">
        <v>6208726</v>
      </c>
      <c r="E128" t="s">
        <v>187</v>
      </c>
      <c r="F128" t="s">
        <v>188</v>
      </c>
      <c r="G128">
        <v>10037632</v>
      </c>
      <c r="H128" s="35">
        <v>46060</v>
      </c>
      <c r="I128" s="35">
        <v>46060</v>
      </c>
      <c r="J128">
        <v>2026</v>
      </c>
      <c r="K128">
        <v>2</v>
      </c>
      <c r="L128" t="s">
        <v>242</v>
      </c>
      <c r="M128">
        <v>1</v>
      </c>
      <c r="N128" t="s">
        <v>190</v>
      </c>
      <c r="O128" t="s">
        <v>191</v>
      </c>
      <c r="P128" t="s">
        <v>199</v>
      </c>
      <c r="Q128" t="s">
        <v>199</v>
      </c>
      <c r="R128">
        <v>6</v>
      </c>
      <c r="S128">
        <v>7</v>
      </c>
      <c r="T128">
        <v>19291</v>
      </c>
      <c r="U128">
        <v>3</v>
      </c>
      <c r="V128" t="s">
        <v>261</v>
      </c>
      <c r="W128" t="s">
        <v>35</v>
      </c>
      <c r="X128" t="s">
        <v>19</v>
      </c>
      <c r="Y128" t="s">
        <v>30</v>
      </c>
      <c r="Z128" t="s">
        <v>30</v>
      </c>
      <c r="AA128">
        <v>8</v>
      </c>
      <c r="AB128">
        <v>103001</v>
      </c>
      <c r="AC128" t="s">
        <v>286</v>
      </c>
      <c r="AD128" t="s">
        <v>287</v>
      </c>
      <c r="AE128">
        <v>2</v>
      </c>
      <c r="AF128">
        <v>96</v>
      </c>
      <c r="AG128">
        <v>21.36</v>
      </c>
      <c r="AH128">
        <v>0</v>
      </c>
      <c r="AI128">
        <v>0</v>
      </c>
      <c r="AJ128">
        <v>0</v>
      </c>
      <c r="AK128">
        <v>369.1</v>
      </c>
      <c r="AL128">
        <v>2050.56</v>
      </c>
      <c r="AM128">
        <v>2420</v>
      </c>
      <c r="AN128">
        <v>4</v>
      </c>
      <c r="AO128" t="s">
        <v>264</v>
      </c>
      <c r="AP128" t="s">
        <v>265</v>
      </c>
      <c r="AQ128">
        <v>10</v>
      </c>
      <c r="AR128">
        <v>107</v>
      </c>
      <c r="AS128" t="s">
        <v>96</v>
      </c>
      <c r="AT128">
        <v>6770651</v>
      </c>
      <c r="AU128" t="s">
        <v>288</v>
      </c>
      <c r="AV128" t="s">
        <v>86</v>
      </c>
      <c r="AW128" t="s">
        <v>23</v>
      </c>
      <c r="AX128" t="s">
        <v>24</v>
      </c>
      <c r="AY128" t="s">
        <v>267</v>
      </c>
      <c r="AZ128" t="s">
        <v>197</v>
      </c>
      <c r="BA128" t="s">
        <v>401</v>
      </c>
      <c r="BB128">
        <v>0</v>
      </c>
      <c r="BC128">
        <v>0</v>
      </c>
      <c r="BD128" t="s">
        <v>199</v>
      </c>
      <c r="BE128" t="s">
        <v>199</v>
      </c>
      <c r="BF128">
        <v>0</v>
      </c>
      <c r="BG128">
        <v>0</v>
      </c>
      <c r="BH128" t="s">
        <v>200</v>
      </c>
      <c r="BI128">
        <v>13</v>
      </c>
      <c r="BJ128">
        <v>6208726</v>
      </c>
      <c r="BK128" t="s">
        <v>201</v>
      </c>
      <c r="BL128" t="s">
        <v>190</v>
      </c>
    </row>
    <row r="129" spans="1:64" x14ac:dyDescent="0.3">
      <c r="A129">
        <v>109</v>
      </c>
      <c r="B129" t="s">
        <v>186</v>
      </c>
      <c r="C129">
        <v>3</v>
      </c>
      <c r="D129">
        <v>6208726</v>
      </c>
      <c r="E129" t="s">
        <v>187</v>
      </c>
      <c r="F129" t="s">
        <v>188</v>
      </c>
      <c r="G129">
        <v>10037632</v>
      </c>
      <c r="H129" s="35">
        <v>46060</v>
      </c>
      <c r="I129" s="35">
        <v>46060</v>
      </c>
      <c r="J129">
        <v>2026</v>
      </c>
      <c r="K129">
        <v>2</v>
      </c>
      <c r="L129" t="s">
        <v>242</v>
      </c>
      <c r="M129">
        <v>1</v>
      </c>
      <c r="N129" t="s">
        <v>190</v>
      </c>
      <c r="O129" t="s">
        <v>191</v>
      </c>
      <c r="P129" t="s">
        <v>199</v>
      </c>
      <c r="Q129" t="s">
        <v>199</v>
      </c>
      <c r="R129">
        <v>6</v>
      </c>
      <c r="S129">
        <v>7</v>
      </c>
      <c r="T129">
        <v>19291</v>
      </c>
      <c r="U129">
        <v>3</v>
      </c>
      <c r="V129" t="s">
        <v>261</v>
      </c>
      <c r="W129" t="s">
        <v>35</v>
      </c>
      <c r="X129" t="s">
        <v>19</v>
      </c>
      <c r="Y129" t="s">
        <v>30</v>
      </c>
      <c r="Z129" t="s">
        <v>30</v>
      </c>
      <c r="AA129">
        <v>8</v>
      </c>
      <c r="AB129">
        <v>103001</v>
      </c>
      <c r="AC129" t="s">
        <v>286</v>
      </c>
      <c r="AD129" t="s">
        <v>287</v>
      </c>
      <c r="AE129">
        <v>0.33333333333332998</v>
      </c>
      <c r="AF129">
        <v>16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4</v>
      </c>
      <c r="AO129" t="s">
        <v>264</v>
      </c>
      <c r="AP129" t="s">
        <v>265</v>
      </c>
      <c r="AQ129">
        <v>10</v>
      </c>
      <c r="AR129">
        <v>107</v>
      </c>
      <c r="AS129" t="s">
        <v>96</v>
      </c>
      <c r="AT129">
        <v>6770651</v>
      </c>
      <c r="AU129" t="s">
        <v>288</v>
      </c>
      <c r="AV129" t="s">
        <v>86</v>
      </c>
      <c r="AW129" t="s">
        <v>23</v>
      </c>
      <c r="AX129" t="s">
        <v>24</v>
      </c>
      <c r="AY129" t="s">
        <v>267</v>
      </c>
      <c r="AZ129" t="s">
        <v>197</v>
      </c>
      <c r="BA129" t="s">
        <v>401</v>
      </c>
      <c r="BB129">
        <v>0</v>
      </c>
      <c r="BC129">
        <v>1</v>
      </c>
      <c r="BD129">
        <v>3374</v>
      </c>
      <c r="BE129" t="s">
        <v>390</v>
      </c>
      <c r="BF129">
        <v>0</v>
      </c>
      <c r="BG129">
        <v>0</v>
      </c>
      <c r="BH129" t="s">
        <v>200</v>
      </c>
      <c r="BI129">
        <v>13</v>
      </c>
      <c r="BJ129">
        <v>6208726</v>
      </c>
      <c r="BK129" t="s">
        <v>201</v>
      </c>
      <c r="BL129" t="s">
        <v>190</v>
      </c>
    </row>
    <row r="130" spans="1:64" x14ac:dyDescent="0.3">
      <c r="A130">
        <v>109</v>
      </c>
      <c r="B130" t="s">
        <v>186</v>
      </c>
      <c r="C130">
        <v>3</v>
      </c>
      <c r="D130">
        <v>6211160</v>
      </c>
      <c r="E130" t="s">
        <v>187</v>
      </c>
      <c r="F130" t="s">
        <v>188</v>
      </c>
      <c r="G130">
        <v>10040066</v>
      </c>
      <c r="H130" s="35">
        <v>46062</v>
      </c>
      <c r="I130" s="35">
        <v>46062</v>
      </c>
      <c r="J130">
        <v>2026</v>
      </c>
      <c r="K130">
        <v>2</v>
      </c>
      <c r="L130" t="s">
        <v>242</v>
      </c>
      <c r="M130">
        <v>1</v>
      </c>
      <c r="N130" t="s">
        <v>190</v>
      </c>
      <c r="O130" t="s">
        <v>191</v>
      </c>
      <c r="P130" t="s">
        <v>199</v>
      </c>
      <c r="Q130" t="s">
        <v>199</v>
      </c>
      <c r="R130">
        <v>7</v>
      </c>
      <c r="S130">
        <v>9</v>
      </c>
      <c r="T130">
        <v>2280</v>
      </c>
      <c r="U130">
        <v>3</v>
      </c>
      <c r="V130" t="s">
        <v>193</v>
      </c>
      <c r="W130" t="s">
        <v>29</v>
      </c>
      <c r="X130" t="s">
        <v>19</v>
      </c>
      <c r="Y130" t="s">
        <v>30</v>
      </c>
      <c r="Z130" t="s">
        <v>30</v>
      </c>
      <c r="AA130">
        <v>14</v>
      </c>
      <c r="AB130">
        <v>101038</v>
      </c>
      <c r="AC130" t="s">
        <v>271</v>
      </c>
      <c r="AD130" t="s">
        <v>272</v>
      </c>
      <c r="AE130">
        <v>0.3</v>
      </c>
      <c r="AF130">
        <v>3</v>
      </c>
      <c r="AG130">
        <v>357.83</v>
      </c>
      <c r="AH130">
        <v>0</v>
      </c>
      <c r="AI130">
        <v>0</v>
      </c>
      <c r="AJ130">
        <v>0</v>
      </c>
      <c r="AK130">
        <v>193.23</v>
      </c>
      <c r="AL130">
        <v>1073.49</v>
      </c>
      <c r="AM130">
        <v>1267</v>
      </c>
      <c r="AN130">
        <v>93</v>
      </c>
      <c r="AO130" t="s">
        <v>250</v>
      </c>
      <c r="AP130" t="s">
        <v>251</v>
      </c>
      <c r="AQ130">
        <v>10</v>
      </c>
      <c r="AR130">
        <v>105</v>
      </c>
      <c r="AS130" t="s">
        <v>85</v>
      </c>
      <c r="AT130">
        <v>677001</v>
      </c>
      <c r="AU130" t="s">
        <v>273</v>
      </c>
      <c r="AV130" t="s">
        <v>86</v>
      </c>
      <c r="AW130" t="s">
        <v>23</v>
      </c>
      <c r="AX130" t="s">
        <v>24</v>
      </c>
      <c r="AY130" t="s">
        <v>253</v>
      </c>
      <c r="AZ130" t="s">
        <v>197</v>
      </c>
      <c r="BA130" t="s">
        <v>402</v>
      </c>
      <c r="BB130">
        <v>0</v>
      </c>
      <c r="BC130">
        <v>0</v>
      </c>
      <c r="BD130" t="s">
        <v>199</v>
      </c>
      <c r="BE130" t="s">
        <v>199</v>
      </c>
      <c r="BF130">
        <v>0</v>
      </c>
      <c r="BG130">
        <v>0</v>
      </c>
      <c r="BH130" t="s">
        <v>200</v>
      </c>
      <c r="BI130">
        <v>13</v>
      </c>
      <c r="BJ130">
        <v>6211160</v>
      </c>
      <c r="BK130" t="s">
        <v>201</v>
      </c>
      <c r="BL130" t="s">
        <v>190</v>
      </c>
    </row>
    <row r="131" spans="1:64" x14ac:dyDescent="0.3">
      <c r="A131">
        <v>109</v>
      </c>
      <c r="B131" t="s">
        <v>186</v>
      </c>
      <c r="C131">
        <v>3</v>
      </c>
      <c r="D131">
        <v>6211160</v>
      </c>
      <c r="E131" t="s">
        <v>187</v>
      </c>
      <c r="F131" t="s">
        <v>188</v>
      </c>
      <c r="G131">
        <v>10040066</v>
      </c>
      <c r="H131" s="35">
        <v>46062</v>
      </c>
      <c r="I131" s="35">
        <v>46062</v>
      </c>
      <c r="J131">
        <v>2026</v>
      </c>
      <c r="K131">
        <v>2</v>
      </c>
      <c r="L131" t="s">
        <v>242</v>
      </c>
      <c r="M131">
        <v>1</v>
      </c>
      <c r="N131" t="s">
        <v>190</v>
      </c>
      <c r="O131" t="s">
        <v>191</v>
      </c>
      <c r="P131" t="s">
        <v>199</v>
      </c>
      <c r="Q131" t="s">
        <v>199</v>
      </c>
      <c r="R131">
        <v>7</v>
      </c>
      <c r="S131">
        <v>9</v>
      </c>
      <c r="T131">
        <v>2280</v>
      </c>
      <c r="U131">
        <v>3</v>
      </c>
      <c r="V131" t="s">
        <v>193</v>
      </c>
      <c r="W131" t="s">
        <v>29</v>
      </c>
      <c r="X131" t="s">
        <v>19</v>
      </c>
      <c r="Y131" t="s">
        <v>30</v>
      </c>
      <c r="Z131" t="s">
        <v>30</v>
      </c>
      <c r="AA131">
        <v>14</v>
      </c>
      <c r="AB131">
        <v>800089</v>
      </c>
      <c r="AC131" t="s">
        <v>295</v>
      </c>
      <c r="AD131" t="s">
        <v>296</v>
      </c>
      <c r="AE131">
        <v>0.375</v>
      </c>
      <c r="AF131">
        <v>3</v>
      </c>
      <c r="AG131">
        <v>349.28</v>
      </c>
      <c r="AH131">
        <v>0</v>
      </c>
      <c r="AI131">
        <v>0</v>
      </c>
      <c r="AJ131">
        <v>0</v>
      </c>
      <c r="AK131">
        <v>188.61</v>
      </c>
      <c r="AL131">
        <v>1047.8399999999999</v>
      </c>
      <c r="AM131">
        <v>1236</v>
      </c>
      <c r="AN131">
        <v>93</v>
      </c>
      <c r="AO131" t="s">
        <v>250</v>
      </c>
      <c r="AP131" t="s">
        <v>251</v>
      </c>
      <c r="AQ131">
        <v>10</v>
      </c>
      <c r="AR131">
        <v>105</v>
      </c>
      <c r="AS131" t="s">
        <v>85</v>
      </c>
      <c r="AT131">
        <v>677001</v>
      </c>
      <c r="AU131" t="s">
        <v>273</v>
      </c>
      <c r="AV131" t="s">
        <v>86</v>
      </c>
      <c r="AW131" t="s">
        <v>23</v>
      </c>
      <c r="AX131" t="s">
        <v>24</v>
      </c>
      <c r="AY131" t="s">
        <v>253</v>
      </c>
      <c r="AZ131" t="s">
        <v>197</v>
      </c>
      <c r="BA131" t="s">
        <v>402</v>
      </c>
      <c r="BB131">
        <v>0</v>
      </c>
      <c r="BC131">
        <v>0</v>
      </c>
      <c r="BD131" t="s">
        <v>199</v>
      </c>
      <c r="BE131" t="s">
        <v>199</v>
      </c>
      <c r="BF131">
        <v>0</v>
      </c>
      <c r="BG131">
        <v>0</v>
      </c>
      <c r="BH131" t="s">
        <v>200</v>
      </c>
      <c r="BI131">
        <v>13</v>
      </c>
      <c r="BJ131">
        <v>6211160</v>
      </c>
      <c r="BK131" t="s">
        <v>201</v>
      </c>
      <c r="BL131" t="s">
        <v>190</v>
      </c>
    </row>
    <row r="132" spans="1:64" x14ac:dyDescent="0.3">
      <c r="A132">
        <v>270</v>
      </c>
      <c r="B132" t="s">
        <v>186</v>
      </c>
      <c r="C132">
        <v>3</v>
      </c>
      <c r="D132">
        <v>6213444</v>
      </c>
      <c r="E132" t="s">
        <v>382</v>
      </c>
      <c r="F132" t="s">
        <v>188</v>
      </c>
      <c r="G132">
        <v>10042350</v>
      </c>
      <c r="H132" s="35">
        <v>46063</v>
      </c>
      <c r="I132" s="35">
        <v>46063</v>
      </c>
      <c r="J132">
        <v>2026</v>
      </c>
      <c r="K132">
        <v>2</v>
      </c>
      <c r="L132" t="s">
        <v>242</v>
      </c>
      <c r="M132">
        <v>1</v>
      </c>
      <c r="N132" t="s">
        <v>190</v>
      </c>
      <c r="O132" t="s">
        <v>191</v>
      </c>
      <c r="P132" t="s">
        <v>199</v>
      </c>
      <c r="Q132" t="s">
        <v>199</v>
      </c>
      <c r="R132">
        <v>7</v>
      </c>
      <c r="S132">
        <v>10</v>
      </c>
      <c r="T132">
        <v>14167</v>
      </c>
      <c r="U132">
        <v>3</v>
      </c>
      <c r="V132" t="s">
        <v>208</v>
      </c>
      <c r="W132" t="s">
        <v>18</v>
      </c>
      <c r="X132" t="s">
        <v>19</v>
      </c>
      <c r="Y132" t="s">
        <v>20</v>
      </c>
      <c r="Z132" t="s">
        <v>20</v>
      </c>
      <c r="AA132">
        <v>91</v>
      </c>
      <c r="AB132">
        <v>621004</v>
      </c>
      <c r="AC132" t="s">
        <v>235</v>
      </c>
      <c r="AD132" t="s">
        <v>236</v>
      </c>
      <c r="AE132">
        <v>1</v>
      </c>
      <c r="AF132">
        <v>12</v>
      </c>
      <c r="AG132">
        <v>265.58999999999997</v>
      </c>
      <c r="AH132">
        <v>0</v>
      </c>
      <c r="AI132">
        <v>0</v>
      </c>
      <c r="AJ132">
        <v>0</v>
      </c>
      <c r="AK132">
        <v>573.66999999999996</v>
      </c>
      <c r="AL132">
        <v>3187.08</v>
      </c>
      <c r="AM132">
        <v>3761</v>
      </c>
      <c r="AN132">
        <v>3</v>
      </c>
      <c r="AO132" t="s">
        <v>403</v>
      </c>
      <c r="AP132" t="s">
        <v>404</v>
      </c>
      <c r="AQ132">
        <v>10</v>
      </c>
      <c r="AR132">
        <v>138</v>
      </c>
      <c r="AS132" t="s">
        <v>90</v>
      </c>
      <c r="AT132">
        <v>73101</v>
      </c>
      <c r="AU132" t="s">
        <v>211</v>
      </c>
      <c r="AV132" t="s">
        <v>91</v>
      </c>
      <c r="AW132" t="s">
        <v>23</v>
      </c>
      <c r="AX132" t="s">
        <v>24</v>
      </c>
      <c r="AY132" t="s">
        <v>405</v>
      </c>
      <c r="AZ132" t="s">
        <v>197</v>
      </c>
      <c r="BA132" t="s">
        <v>406</v>
      </c>
      <c r="BB132">
        <v>0</v>
      </c>
      <c r="BC132">
        <v>0</v>
      </c>
      <c r="BD132" t="s">
        <v>199</v>
      </c>
      <c r="BE132" t="s">
        <v>199</v>
      </c>
      <c r="BF132">
        <v>0</v>
      </c>
      <c r="BG132">
        <v>0</v>
      </c>
      <c r="BH132" t="s">
        <v>200</v>
      </c>
      <c r="BI132">
        <v>13</v>
      </c>
      <c r="BJ132">
        <v>6213444</v>
      </c>
      <c r="BK132" t="s">
        <v>201</v>
      </c>
      <c r="BL132" t="s">
        <v>190</v>
      </c>
    </row>
    <row r="133" spans="1:64" x14ac:dyDescent="0.3">
      <c r="A133">
        <v>270</v>
      </c>
      <c r="B133" t="s">
        <v>186</v>
      </c>
      <c r="C133">
        <v>3</v>
      </c>
      <c r="D133">
        <v>6213444</v>
      </c>
      <c r="E133" t="s">
        <v>382</v>
      </c>
      <c r="F133" t="s">
        <v>188</v>
      </c>
      <c r="G133">
        <v>10042350</v>
      </c>
      <c r="H133" s="35">
        <v>46063</v>
      </c>
      <c r="I133" s="35">
        <v>46063</v>
      </c>
      <c r="J133">
        <v>2026</v>
      </c>
      <c r="K133">
        <v>2</v>
      </c>
      <c r="L133" t="s">
        <v>242</v>
      </c>
      <c r="M133">
        <v>1</v>
      </c>
      <c r="N133" t="s">
        <v>190</v>
      </c>
      <c r="O133" t="s">
        <v>191</v>
      </c>
      <c r="P133" t="s">
        <v>199</v>
      </c>
      <c r="Q133" t="s">
        <v>199</v>
      </c>
      <c r="R133">
        <v>7</v>
      </c>
      <c r="S133">
        <v>10</v>
      </c>
      <c r="T133">
        <v>14167</v>
      </c>
      <c r="U133">
        <v>3</v>
      </c>
      <c r="V133" t="s">
        <v>208</v>
      </c>
      <c r="W133" t="s">
        <v>18</v>
      </c>
      <c r="X133" t="s">
        <v>19</v>
      </c>
      <c r="Y133" t="s">
        <v>20</v>
      </c>
      <c r="Z133" t="s">
        <v>20</v>
      </c>
      <c r="AA133">
        <v>91</v>
      </c>
      <c r="AB133">
        <v>621045</v>
      </c>
      <c r="AC133" t="s">
        <v>209</v>
      </c>
      <c r="AD133" t="s">
        <v>210</v>
      </c>
      <c r="AE133">
        <v>1</v>
      </c>
      <c r="AF133">
        <v>12</v>
      </c>
      <c r="AG133">
        <v>161.94999999999999</v>
      </c>
      <c r="AH133">
        <v>0</v>
      </c>
      <c r="AI133">
        <v>0</v>
      </c>
      <c r="AJ133">
        <v>0</v>
      </c>
      <c r="AK133">
        <v>349.81</v>
      </c>
      <c r="AL133">
        <v>1943.4</v>
      </c>
      <c r="AM133">
        <v>2293</v>
      </c>
      <c r="AN133">
        <v>3</v>
      </c>
      <c r="AO133" t="s">
        <v>403</v>
      </c>
      <c r="AP133" t="s">
        <v>404</v>
      </c>
      <c r="AQ133">
        <v>10</v>
      </c>
      <c r="AR133">
        <v>138</v>
      </c>
      <c r="AS133" t="s">
        <v>90</v>
      </c>
      <c r="AT133">
        <v>73101</v>
      </c>
      <c r="AU133" t="s">
        <v>211</v>
      </c>
      <c r="AV133" t="s">
        <v>91</v>
      </c>
      <c r="AW133" t="s">
        <v>23</v>
      </c>
      <c r="AX133" t="s">
        <v>24</v>
      </c>
      <c r="AY133" t="s">
        <v>405</v>
      </c>
      <c r="AZ133" t="s">
        <v>197</v>
      </c>
      <c r="BA133" t="s">
        <v>406</v>
      </c>
      <c r="BB133">
        <v>0</v>
      </c>
      <c r="BC133">
        <v>0</v>
      </c>
      <c r="BD133" t="s">
        <v>199</v>
      </c>
      <c r="BE133" t="s">
        <v>199</v>
      </c>
      <c r="BF133">
        <v>0</v>
      </c>
      <c r="BG133">
        <v>0</v>
      </c>
      <c r="BH133" t="s">
        <v>200</v>
      </c>
      <c r="BI133">
        <v>13</v>
      </c>
      <c r="BJ133">
        <v>6213444</v>
      </c>
      <c r="BK133" t="s">
        <v>201</v>
      </c>
      <c r="BL133" t="s">
        <v>190</v>
      </c>
    </row>
    <row r="134" spans="1:64" x14ac:dyDescent="0.3">
      <c r="A134">
        <v>270</v>
      </c>
      <c r="B134" t="s">
        <v>186</v>
      </c>
      <c r="C134">
        <v>3</v>
      </c>
      <c r="D134">
        <v>6213444</v>
      </c>
      <c r="E134" t="s">
        <v>382</v>
      </c>
      <c r="F134" t="s">
        <v>188</v>
      </c>
      <c r="G134">
        <v>10042350</v>
      </c>
      <c r="H134" s="35">
        <v>46063</v>
      </c>
      <c r="I134" s="35">
        <v>46063</v>
      </c>
      <c r="J134">
        <v>2026</v>
      </c>
      <c r="K134">
        <v>2</v>
      </c>
      <c r="L134" t="s">
        <v>242</v>
      </c>
      <c r="M134">
        <v>1</v>
      </c>
      <c r="N134" t="s">
        <v>190</v>
      </c>
      <c r="O134" t="s">
        <v>191</v>
      </c>
      <c r="P134" t="s">
        <v>199</v>
      </c>
      <c r="Q134" t="s">
        <v>199</v>
      </c>
      <c r="R134">
        <v>7</v>
      </c>
      <c r="S134">
        <v>10</v>
      </c>
      <c r="T134">
        <v>14167</v>
      </c>
      <c r="U134">
        <v>3</v>
      </c>
      <c r="V134" t="s">
        <v>208</v>
      </c>
      <c r="W134" t="s">
        <v>18</v>
      </c>
      <c r="X134" t="s">
        <v>19</v>
      </c>
      <c r="Y134" t="s">
        <v>20</v>
      </c>
      <c r="Z134" t="s">
        <v>20</v>
      </c>
      <c r="AA134">
        <v>91</v>
      </c>
      <c r="AB134">
        <v>201001</v>
      </c>
      <c r="AC134" t="s">
        <v>248</v>
      </c>
      <c r="AD134" t="s">
        <v>249</v>
      </c>
      <c r="AE134">
        <v>10</v>
      </c>
      <c r="AF134">
        <v>10</v>
      </c>
      <c r="AG134">
        <v>221.67</v>
      </c>
      <c r="AH134">
        <v>0</v>
      </c>
      <c r="AI134">
        <v>0</v>
      </c>
      <c r="AJ134">
        <v>0</v>
      </c>
      <c r="AK134">
        <v>399.01</v>
      </c>
      <c r="AL134">
        <v>2216.6999999999998</v>
      </c>
      <c r="AM134">
        <v>2616</v>
      </c>
      <c r="AN134">
        <v>3</v>
      </c>
      <c r="AO134" t="s">
        <v>403</v>
      </c>
      <c r="AP134" t="s">
        <v>404</v>
      </c>
      <c r="AQ134">
        <v>10</v>
      </c>
      <c r="AR134">
        <v>113</v>
      </c>
      <c r="AS134" t="s">
        <v>89</v>
      </c>
      <c r="AT134">
        <v>82101</v>
      </c>
      <c r="AU134" t="s">
        <v>252</v>
      </c>
      <c r="AV134" t="s">
        <v>80</v>
      </c>
      <c r="AW134" t="s">
        <v>23</v>
      </c>
      <c r="AX134" t="s">
        <v>24</v>
      </c>
      <c r="AY134" t="s">
        <v>405</v>
      </c>
      <c r="AZ134" t="s">
        <v>197</v>
      </c>
      <c r="BA134" t="s">
        <v>406</v>
      </c>
      <c r="BB134">
        <v>0</v>
      </c>
      <c r="BC134">
        <v>0</v>
      </c>
      <c r="BD134" t="s">
        <v>199</v>
      </c>
      <c r="BE134" t="s">
        <v>199</v>
      </c>
      <c r="BF134">
        <v>0</v>
      </c>
      <c r="BG134">
        <v>0</v>
      </c>
      <c r="BH134" t="s">
        <v>200</v>
      </c>
      <c r="BI134">
        <v>13</v>
      </c>
      <c r="BJ134">
        <v>6213444</v>
      </c>
      <c r="BK134" t="s">
        <v>201</v>
      </c>
      <c r="BL134" t="s">
        <v>190</v>
      </c>
    </row>
    <row r="135" spans="1:64" x14ac:dyDescent="0.3">
      <c r="A135">
        <v>223</v>
      </c>
      <c r="B135" t="s">
        <v>186</v>
      </c>
      <c r="C135">
        <v>3</v>
      </c>
      <c r="D135">
        <v>6215628</v>
      </c>
      <c r="E135" t="s">
        <v>202</v>
      </c>
      <c r="F135" t="s">
        <v>188</v>
      </c>
      <c r="G135">
        <v>10044536</v>
      </c>
      <c r="H135" s="35">
        <v>46064</v>
      </c>
      <c r="I135" s="35">
        <v>46064</v>
      </c>
      <c r="J135">
        <v>2026</v>
      </c>
      <c r="K135">
        <v>2</v>
      </c>
      <c r="L135" t="s">
        <v>242</v>
      </c>
      <c r="M135">
        <v>1</v>
      </c>
      <c r="N135" t="s">
        <v>203</v>
      </c>
      <c r="O135" t="s">
        <v>191</v>
      </c>
      <c r="P135" t="s">
        <v>199</v>
      </c>
      <c r="Q135" t="s">
        <v>199</v>
      </c>
      <c r="R135">
        <v>7</v>
      </c>
      <c r="S135">
        <v>11</v>
      </c>
      <c r="T135">
        <v>12191</v>
      </c>
      <c r="U135">
        <v>3</v>
      </c>
      <c r="V135" t="s">
        <v>204</v>
      </c>
      <c r="W135" t="s">
        <v>27</v>
      </c>
      <c r="X135" t="s">
        <v>28</v>
      </c>
      <c r="Y135" t="s">
        <v>20</v>
      </c>
      <c r="Z135" t="s">
        <v>20</v>
      </c>
      <c r="AA135">
        <v>91</v>
      </c>
      <c r="AB135">
        <v>800791</v>
      </c>
      <c r="AC135" t="s">
        <v>262</v>
      </c>
      <c r="AD135" t="s">
        <v>263</v>
      </c>
      <c r="AE135">
        <v>1</v>
      </c>
      <c r="AF135">
        <v>25</v>
      </c>
      <c r="AG135">
        <v>153.11000000000001</v>
      </c>
      <c r="AH135">
        <v>0</v>
      </c>
      <c r="AI135">
        <v>0</v>
      </c>
      <c r="AJ135">
        <v>0</v>
      </c>
      <c r="AK135">
        <v>689</v>
      </c>
      <c r="AL135">
        <v>3827.75</v>
      </c>
      <c r="AM135">
        <v>4517</v>
      </c>
      <c r="AN135">
        <v>91</v>
      </c>
      <c r="AO135" t="s">
        <v>22</v>
      </c>
      <c r="AP135" t="s">
        <v>26</v>
      </c>
      <c r="AQ135">
        <v>10</v>
      </c>
      <c r="AR135">
        <v>207</v>
      </c>
      <c r="AS135" t="s">
        <v>81</v>
      </c>
      <c r="AT135">
        <v>65103</v>
      </c>
      <c r="AU135" t="s">
        <v>266</v>
      </c>
      <c r="AV135" t="s">
        <v>82</v>
      </c>
      <c r="AW135" t="s">
        <v>23</v>
      </c>
      <c r="AX135" t="s">
        <v>24</v>
      </c>
      <c r="AY135" t="s">
        <v>25</v>
      </c>
      <c r="AZ135" t="s">
        <v>197</v>
      </c>
      <c r="BA135" t="s">
        <v>407</v>
      </c>
      <c r="BB135">
        <v>0</v>
      </c>
      <c r="BC135">
        <v>0</v>
      </c>
      <c r="BD135" t="s">
        <v>199</v>
      </c>
      <c r="BE135" t="s">
        <v>199</v>
      </c>
      <c r="BF135">
        <v>0</v>
      </c>
      <c r="BG135">
        <v>0</v>
      </c>
      <c r="BH135" t="s">
        <v>200</v>
      </c>
      <c r="BI135">
        <v>13</v>
      </c>
      <c r="BJ135">
        <v>6215628</v>
      </c>
      <c r="BK135" t="s">
        <v>201</v>
      </c>
      <c r="BL135" t="s">
        <v>190</v>
      </c>
    </row>
    <row r="136" spans="1:64" x14ac:dyDescent="0.3">
      <c r="A136">
        <v>270</v>
      </c>
      <c r="B136" t="s">
        <v>186</v>
      </c>
      <c r="C136">
        <v>3</v>
      </c>
      <c r="D136">
        <v>6215810</v>
      </c>
      <c r="E136" t="s">
        <v>382</v>
      </c>
      <c r="F136" t="s">
        <v>188</v>
      </c>
      <c r="G136">
        <v>10044718</v>
      </c>
      <c r="H136" s="35">
        <v>46064</v>
      </c>
      <c r="I136" s="35">
        <v>46064</v>
      </c>
      <c r="J136">
        <v>2026</v>
      </c>
      <c r="K136">
        <v>2</v>
      </c>
      <c r="L136" t="s">
        <v>242</v>
      </c>
      <c r="M136">
        <v>1</v>
      </c>
      <c r="N136" t="s">
        <v>190</v>
      </c>
      <c r="O136" t="s">
        <v>191</v>
      </c>
      <c r="P136" t="s">
        <v>199</v>
      </c>
      <c r="Q136" t="s">
        <v>199</v>
      </c>
      <c r="R136">
        <v>7</v>
      </c>
      <c r="S136">
        <v>11</v>
      </c>
      <c r="T136">
        <v>2280</v>
      </c>
      <c r="U136">
        <v>3</v>
      </c>
      <c r="V136" t="s">
        <v>193</v>
      </c>
      <c r="W136" t="s">
        <v>29</v>
      </c>
      <c r="X136" t="s">
        <v>19</v>
      </c>
      <c r="Y136" t="s">
        <v>30</v>
      </c>
      <c r="Z136" t="s">
        <v>30</v>
      </c>
      <c r="AA136">
        <v>14</v>
      </c>
      <c r="AB136">
        <v>511005</v>
      </c>
      <c r="AC136" t="s">
        <v>231</v>
      </c>
      <c r="AD136" t="s">
        <v>232</v>
      </c>
      <c r="AE136">
        <v>1</v>
      </c>
      <c r="AF136">
        <v>12</v>
      </c>
      <c r="AG136">
        <v>64.44</v>
      </c>
      <c r="AH136">
        <v>0</v>
      </c>
      <c r="AI136">
        <v>0</v>
      </c>
      <c r="AJ136">
        <v>0</v>
      </c>
      <c r="AK136">
        <v>139.19</v>
      </c>
      <c r="AL136">
        <v>773.28</v>
      </c>
      <c r="AM136">
        <v>912</v>
      </c>
      <c r="AN136">
        <v>93</v>
      </c>
      <c r="AO136" t="s">
        <v>250</v>
      </c>
      <c r="AP136" t="s">
        <v>251</v>
      </c>
      <c r="AQ136">
        <v>10</v>
      </c>
      <c r="AR136">
        <v>114</v>
      </c>
      <c r="AS136" t="s">
        <v>79</v>
      </c>
      <c r="AT136">
        <v>66102</v>
      </c>
      <c r="AU136" t="s">
        <v>227</v>
      </c>
      <c r="AV136" t="s">
        <v>80</v>
      </c>
      <c r="AW136" t="s">
        <v>23</v>
      </c>
      <c r="AX136" t="s">
        <v>24</v>
      </c>
      <c r="AY136" t="s">
        <v>253</v>
      </c>
      <c r="AZ136" t="s">
        <v>197</v>
      </c>
      <c r="BA136" t="s">
        <v>408</v>
      </c>
      <c r="BB136">
        <v>0</v>
      </c>
      <c r="BC136">
        <v>0</v>
      </c>
      <c r="BD136" t="s">
        <v>199</v>
      </c>
      <c r="BE136" t="s">
        <v>199</v>
      </c>
      <c r="BF136">
        <v>0</v>
      </c>
      <c r="BG136">
        <v>0</v>
      </c>
      <c r="BH136" t="s">
        <v>200</v>
      </c>
      <c r="BI136">
        <v>13</v>
      </c>
      <c r="BJ136">
        <v>6215810</v>
      </c>
      <c r="BK136" t="s">
        <v>201</v>
      </c>
      <c r="BL136" t="s">
        <v>190</v>
      </c>
    </row>
    <row r="137" spans="1:64" x14ac:dyDescent="0.3">
      <c r="A137">
        <v>270</v>
      </c>
      <c r="B137" t="s">
        <v>186</v>
      </c>
      <c r="C137">
        <v>3</v>
      </c>
      <c r="D137">
        <v>6215810</v>
      </c>
      <c r="E137" t="s">
        <v>382</v>
      </c>
      <c r="F137" t="s">
        <v>188</v>
      </c>
      <c r="G137">
        <v>10044718</v>
      </c>
      <c r="H137" s="35">
        <v>46064</v>
      </c>
      <c r="I137" s="35">
        <v>46064</v>
      </c>
      <c r="J137">
        <v>2026</v>
      </c>
      <c r="K137">
        <v>2</v>
      </c>
      <c r="L137" t="s">
        <v>242</v>
      </c>
      <c r="M137">
        <v>1</v>
      </c>
      <c r="N137" t="s">
        <v>190</v>
      </c>
      <c r="O137" t="s">
        <v>191</v>
      </c>
      <c r="P137" t="s">
        <v>199</v>
      </c>
      <c r="Q137" t="s">
        <v>199</v>
      </c>
      <c r="R137">
        <v>7</v>
      </c>
      <c r="S137">
        <v>11</v>
      </c>
      <c r="T137">
        <v>2280</v>
      </c>
      <c r="U137">
        <v>3</v>
      </c>
      <c r="V137" t="s">
        <v>193</v>
      </c>
      <c r="W137" t="s">
        <v>29</v>
      </c>
      <c r="X137" t="s">
        <v>19</v>
      </c>
      <c r="Y137" t="s">
        <v>30</v>
      </c>
      <c r="Z137" t="s">
        <v>30</v>
      </c>
      <c r="AA137">
        <v>14</v>
      </c>
      <c r="AB137">
        <v>611053</v>
      </c>
      <c r="AC137" t="s">
        <v>229</v>
      </c>
      <c r="AD137" t="s">
        <v>230</v>
      </c>
      <c r="AE137">
        <v>2</v>
      </c>
      <c r="AF137">
        <v>48</v>
      </c>
      <c r="AG137">
        <v>20</v>
      </c>
      <c r="AH137">
        <v>0</v>
      </c>
      <c r="AI137">
        <v>0</v>
      </c>
      <c r="AJ137">
        <v>0</v>
      </c>
      <c r="AK137">
        <v>172.8</v>
      </c>
      <c r="AL137">
        <v>960</v>
      </c>
      <c r="AM137">
        <v>1133</v>
      </c>
      <c r="AN137">
        <v>93</v>
      </c>
      <c r="AO137" t="s">
        <v>250</v>
      </c>
      <c r="AP137" t="s">
        <v>251</v>
      </c>
      <c r="AQ137">
        <v>10</v>
      </c>
      <c r="AR137">
        <v>114</v>
      </c>
      <c r="AS137" t="s">
        <v>79</v>
      </c>
      <c r="AT137">
        <v>66102</v>
      </c>
      <c r="AU137" t="s">
        <v>227</v>
      </c>
      <c r="AV137" t="s">
        <v>80</v>
      </c>
      <c r="AW137" t="s">
        <v>23</v>
      </c>
      <c r="AX137" t="s">
        <v>24</v>
      </c>
      <c r="AY137" t="s">
        <v>253</v>
      </c>
      <c r="AZ137" t="s">
        <v>197</v>
      </c>
      <c r="BA137" t="s">
        <v>408</v>
      </c>
      <c r="BB137">
        <v>0</v>
      </c>
      <c r="BC137">
        <v>0</v>
      </c>
      <c r="BD137" t="s">
        <v>199</v>
      </c>
      <c r="BE137" t="s">
        <v>199</v>
      </c>
      <c r="BF137">
        <v>0</v>
      </c>
      <c r="BG137">
        <v>0</v>
      </c>
      <c r="BH137" t="s">
        <v>200</v>
      </c>
      <c r="BI137">
        <v>13</v>
      </c>
      <c r="BJ137">
        <v>6215810</v>
      </c>
      <c r="BK137" t="s">
        <v>201</v>
      </c>
      <c r="BL137" t="s">
        <v>190</v>
      </c>
    </row>
    <row r="138" spans="1:64" x14ac:dyDescent="0.3">
      <c r="A138">
        <v>270</v>
      </c>
      <c r="B138" t="s">
        <v>186</v>
      </c>
      <c r="C138">
        <v>3</v>
      </c>
      <c r="D138">
        <v>6215810</v>
      </c>
      <c r="E138" t="s">
        <v>382</v>
      </c>
      <c r="F138" t="s">
        <v>188</v>
      </c>
      <c r="G138">
        <v>10044718</v>
      </c>
      <c r="H138" s="35">
        <v>46064</v>
      </c>
      <c r="I138" s="35">
        <v>46064</v>
      </c>
      <c r="J138">
        <v>2026</v>
      </c>
      <c r="K138">
        <v>2</v>
      </c>
      <c r="L138" t="s">
        <v>242</v>
      </c>
      <c r="M138">
        <v>1</v>
      </c>
      <c r="N138" t="s">
        <v>190</v>
      </c>
      <c r="O138" t="s">
        <v>191</v>
      </c>
      <c r="P138" t="s">
        <v>199</v>
      </c>
      <c r="Q138" t="s">
        <v>199</v>
      </c>
      <c r="R138">
        <v>7</v>
      </c>
      <c r="S138">
        <v>11</v>
      </c>
      <c r="T138">
        <v>2280</v>
      </c>
      <c r="U138">
        <v>3</v>
      </c>
      <c r="V138" t="s">
        <v>193</v>
      </c>
      <c r="W138" t="s">
        <v>29</v>
      </c>
      <c r="X138" t="s">
        <v>19</v>
      </c>
      <c r="Y138" t="s">
        <v>30</v>
      </c>
      <c r="Z138" t="s">
        <v>30</v>
      </c>
      <c r="AA138">
        <v>14</v>
      </c>
      <c r="AB138">
        <v>611055</v>
      </c>
      <c r="AC138" t="s">
        <v>300</v>
      </c>
      <c r="AD138" t="s">
        <v>301</v>
      </c>
      <c r="AE138">
        <v>1</v>
      </c>
      <c r="AF138">
        <v>4</v>
      </c>
      <c r="AG138">
        <v>78.319999999999993</v>
      </c>
      <c r="AH138">
        <v>0</v>
      </c>
      <c r="AI138">
        <v>0</v>
      </c>
      <c r="AJ138">
        <v>0</v>
      </c>
      <c r="AK138">
        <v>56.39</v>
      </c>
      <c r="AL138">
        <v>313.27999999999997</v>
      </c>
      <c r="AM138">
        <v>370</v>
      </c>
      <c r="AN138">
        <v>93</v>
      </c>
      <c r="AO138" t="s">
        <v>250</v>
      </c>
      <c r="AP138" t="s">
        <v>251</v>
      </c>
      <c r="AQ138">
        <v>10</v>
      </c>
      <c r="AR138">
        <v>114</v>
      </c>
      <c r="AS138" t="s">
        <v>79</v>
      </c>
      <c r="AT138">
        <v>66102</v>
      </c>
      <c r="AU138" t="s">
        <v>227</v>
      </c>
      <c r="AV138" t="s">
        <v>80</v>
      </c>
      <c r="AW138" t="s">
        <v>23</v>
      </c>
      <c r="AX138" t="s">
        <v>24</v>
      </c>
      <c r="AY138" t="s">
        <v>253</v>
      </c>
      <c r="AZ138" t="s">
        <v>197</v>
      </c>
      <c r="BA138" t="s">
        <v>408</v>
      </c>
      <c r="BB138">
        <v>0</v>
      </c>
      <c r="BC138">
        <v>0</v>
      </c>
      <c r="BD138" t="s">
        <v>199</v>
      </c>
      <c r="BE138" t="s">
        <v>199</v>
      </c>
      <c r="BF138">
        <v>0</v>
      </c>
      <c r="BG138">
        <v>0</v>
      </c>
      <c r="BH138" t="s">
        <v>200</v>
      </c>
      <c r="BI138">
        <v>13</v>
      </c>
      <c r="BJ138">
        <v>6215810</v>
      </c>
      <c r="BK138" t="s">
        <v>201</v>
      </c>
      <c r="BL138" t="s">
        <v>190</v>
      </c>
    </row>
    <row r="139" spans="1:64" x14ac:dyDescent="0.3">
      <c r="A139">
        <v>270</v>
      </c>
      <c r="B139" t="s">
        <v>186</v>
      </c>
      <c r="C139">
        <v>3</v>
      </c>
      <c r="D139">
        <v>6215836</v>
      </c>
      <c r="E139" t="s">
        <v>382</v>
      </c>
      <c r="F139" t="s">
        <v>188</v>
      </c>
      <c r="G139">
        <v>10044744</v>
      </c>
      <c r="H139" s="35">
        <v>46064</v>
      </c>
      <c r="I139" s="35">
        <v>46064</v>
      </c>
      <c r="J139">
        <v>2026</v>
      </c>
      <c r="K139">
        <v>2</v>
      </c>
      <c r="L139" t="s">
        <v>242</v>
      </c>
      <c r="M139">
        <v>1</v>
      </c>
      <c r="N139" t="s">
        <v>190</v>
      </c>
      <c r="O139" t="s">
        <v>191</v>
      </c>
      <c r="P139" t="s">
        <v>199</v>
      </c>
      <c r="Q139" t="s">
        <v>199</v>
      </c>
      <c r="R139">
        <v>7</v>
      </c>
      <c r="S139">
        <v>11</v>
      </c>
      <c r="T139">
        <v>19291</v>
      </c>
      <c r="U139">
        <v>3</v>
      </c>
      <c r="V139" t="s">
        <v>261</v>
      </c>
      <c r="W139" t="s">
        <v>35</v>
      </c>
      <c r="X139" t="s">
        <v>19</v>
      </c>
      <c r="Y139" t="s">
        <v>30</v>
      </c>
      <c r="Z139" t="s">
        <v>30</v>
      </c>
      <c r="AA139">
        <v>8</v>
      </c>
      <c r="AB139">
        <v>501000</v>
      </c>
      <c r="AC139" t="s">
        <v>316</v>
      </c>
      <c r="AD139" t="s">
        <v>317</v>
      </c>
      <c r="AE139">
        <v>10</v>
      </c>
      <c r="AF139">
        <v>40</v>
      </c>
      <c r="AG139">
        <v>114.4</v>
      </c>
      <c r="AH139">
        <v>0</v>
      </c>
      <c r="AI139">
        <v>0</v>
      </c>
      <c r="AJ139">
        <v>0</v>
      </c>
      <c r="AK139">
        <v>823.68</v>
      </c>
      <c r="AL139">
        <v>4576</v>
      </c>
      <c r="AM139">
        <v>5400</v>
      </c>
      <c r="AN139">
        <v>4</v>
      </c>
      <c r="AO139" t="s">
        <v>264</v>
      </c>
      <c r="AP139" t="s">
        <v>265</v>
      </c>
      <c r="AQ139">
        <v>10</v>
      </c>
      <c r="AR139">
        <v>114</v>
      </c>
      <c r="AS139" t="s">
        <v>79</v>
      </c>
      <c r="AT139">
        <v>66101</v>
      </c>
      <c r="AU139" t="s">
        <v>318</v>
      </c>
      <c r="AV139" t="s">
        <v>80</v>
      </c>
      <c r="AW139" t="s">
        <v>23</v>
      </c>
      <c r="AX139" t="s">
        <v>24</v>
      </c>
      <c r="AY139" t="s">
        <v>267</v>
      </c>
      <c r="AZ139" t="s">
        <v>197</v>
      </c>
      <c r="BA139" t="s">
        <v>409</v>
      </c>
      <c r="BB139">
        <v>0</v>
      </c>
      <c r="BC139">
        <v>0</v>
      </c>
      <c r="BD139" t="s">
        <v>199</v>
      </c>
      <c r="BE139" t="s">
        <v>199</v>
      </c>
      <c r="BF139">
        <v>0</v>
      </c>
      <c r="BG139">
        <v>0</v>
      </c>
      <c r="BH139" t="s">
        <v>200</v>
      </c>
      <c r="BI139">
        <v>13</v>
      </c>
      <c r="BJ139">
        <v>6215836</v>
      </c>
      <c r="BK139" t="s">
        <v>201</v>
      </c>
      <c r="BL139" t="s">
        <v>190</v>
      </c>
    </row>
    <row r="140" spans="1:64" x14ac:dyDescent="0.3">
      <c r="A140">
        <v>242</v>
      </c>
      <c r="B140" t="s">
        <v>186</v>
      </c>
      <c r="C140">
        <v>3</v>
      </c>
      <c r="D140">
        <v>6217578</v>
      </c>
      <c r="E140" t="s">
        <v>275</v>
      </c>
      <c r="F140" t="s">
        <v>188</v>
      </c>
      <c r="G140">
        <v>10046486</v>
      </c>
      <c r="H140" s="35">
        <v>46065</v>
      </c>
      <c r="I140" s="35">
        <v>46065</v>
      </c>
      <c r="J140">
        <v>2026</v>
      </c>
      <c r="K140">
        <v>2</v>
      </c>
      <c r="L140" t="s">
        <v>242</v>
      </c>
      <c r="M140">
        <v>1</v>
      </c>
      <c r="N140" t="s">
        <v>190</v>
      </c>
      <c r="O140" t="s">
        <v>191</v>
      </c>
      <c r="P140" t="s">
        <v>199</v>
      </c>
      <c r="Q140" t="s">
        <v>199</v>
      </c>
      <c r="R140">
        <v>7</v>
      </c>
      <c r="S140">
        <v>12</v>
      </c>
      <c r="T140">
        <v>37594</v>
      </c>
      <c r="U140">
        <v>3</v>
      </c>
      <c r="V140" t="s">
        <v>234</v>
      </c>
      <c r="W140" t="s">
        <v>47</v>
      </c>
      <c r="X140" t="s">
        <v>19</v>
      </c>
      <c r="Y140" t="s">
        <v>30</v>
      </c>
      <c r="Z140" t="s">
        <v>30</v>
      </c>
      <c r="AA140">
        <v>72</v>
      </c>
      <c r="AB140">
        <v>101124</v>
      </c>
      <c r="AC140" t="s">
        <v>292</v>
      </c>
      <c r="AD140" t="s">
        <v>293</v>
      </c>
      <c r="AE140">
        <v>0.5</v>
      </c>
      <c r="AF140">
        <v>12</v>
      </c>
      <c r="AG140">
        <v>73.7</v>
      </c>
      <c r="AH140">
        <v>0</v>
      </c>
      <c r="AI140">
        <v>0</v>
      </c>
      <c r="AJ140">
        <v>0</v>
      </c>
      <c r="AK140">
        <v>159.19</v>
      </c>
      <c r="AL140">
        <v>884.4</v>
      </c>
      <c r="AM140">
        <v>1044</v>
      </c>
      <c r="AN140">
        <v>95</v>
      </c>
      <c r="AO140" t="s">
        <v>237</v>
      </c>
      <c r="AP140" t="s">
        <v>238</v>
      </c>
      <c r="AQ140">
        <v>10</v>
      </c>
      <c r="AR140">
        <v>135</v>
      </c>
      <c r="AS140" t="s">
        <v>105</v>
      </c>
      <c r="AT140">
        <v>6770651</v>
      </c>
      <c r="AU140" t="s">
        <v>288</v>
      </c>
      <c r="AV140" t="s">
        <v>86</v>
      </c>
      <c r="AW140" t="s">
        <v>50</v>
      </c>
      <c r="AX140" t="s">
        <v>51</v>
      </c>
      <c r="AY140" t="s">
        <v>239</v>
      </c>
      <c r="AZ140" t="s">
        <v>240</v>
      </c>
      <c r="BA140" t="s">
        <v>410</v>
      </c>
      <c r="BB140">
        <v>0</v>
      </c>
      <c r="BC140">
        <v>0</v>
      </c>
      <c r="BD140" t="s">
        <v>199</v>
      </c>
      <c r="BE140" t="s">
        <v>199</v>
      </c>
      <c r="BF140">
        <v>0</v>
      </c>
      <c r="BG140">
        <v>0</v>
      </c>
      <c r="BH140" t="s">
        <v>200</v>
      </c>
      <c r="BI140">
        <v>13</v>
      </c>
      <c r="BJ140">
        <v>6217578</v>
      </c>
      <c r="BK140" t="s">
        <v>201</v>
      </c>
      <c r="BL140" t="s">
        <v>190</v>
      </c>
    </row>
    <row r="141" spans="1:64" x14ac:dyDescent="0.3">
      <c r="A141">
        <v>242</v>
      </c>
      <c r="B141" t="s">
        <v>186</v>
      </c>
      <c r="C141">
        <v>3</v>
      </c>
      <c r="D141">
        <v>6217578</v>
      </c>
      <c r="E141" t="s">
        <v>275</v>
      </c>
      <c r="F141" t="s">
        <v>188</v>
      </c>
      <c r="G141">
        <v>10046486</v>
      </c>
      <c r="H141" s="35">
        <v>46065</v>
      </c>
      <c r="I141" s="35">
        <v>46065</v>
      </c>
      <c r="J141">
        <v>2026</v>
      </c>
      <c r="K141">
        <v>2</v>
      </c>
      <c r="L141" t="s">
        <v>242</v>
      </c>
      <c r="M141">
        <v>1</v>
      </c>
      <c r="N141" t="s">
        <v>190</v>
      </c>
      <c r="O141" t="s">
        <v>191</v>
      </c>
      <c r="P141" t="s">
        <v>199</v>
      </c>
      <c r="Q141" t="s">
        <v>199</v>
      </c>
      <c r="R141">
        <v>7</v>
      </c>
      <c r="S141">
        <v>12</v>
      </c>
      <c r="T141">
        <v>37594</v>
      </c>
      <c r="U141">
        <v>3</v>
      </c>
      <c r="V141" t="s">
        <v>234</v>
      </c>
      <c r="W141" t="s">
        <v>47</v>
      </c>
      <c r="X141" t="s">
        <v>19</v>
      </c>
      <c r="Y141" t="s">
        <v>30</v>
      </c>
      <c r="Z141" t="s">
        <v>30</v>
      </c>
      <c r="AA141">
        <v>72</v>
      </c>
      <c r="AB141">
        <v>101072</v>
      </c>
      <c r="AC141" t="s">
        <v>411</v>
      </c>
      <c r="AD141" t="s">
        <v>412</v>
      </c>
      <c r="AE141">
        <v>1</v>
      </c>
      <c r="AF141">
        <v>24</v>
      </c>
      <c r="AG141">
        <v>43.55</v>
      </c>
      <c r="AH141">
        <v>0</v>
      </c>
      <c r="AI141">
        <v>0</v>
      </c>
      <c r="AJ141">
        <v>0</v>
      </c>
      <c r="AK141">
        <v>188.14</v>
      </c>
      <c r="AL141">
        <v>1045.2</v>
      </c>
      <c r="AM141">
        <v>1233</v>
      </c>
      <c r="AN141">
        <v>95</v>
      </c>
      <c r="AO141" t="s">
        <v>237</v>
      </c>
      <c r="AP141" t="s">
        <v>238</v>
      </c>
      <c r="AQ141">
        <v>10</v>
      </c>
      <c r="AR141">
        <v>135</v>
      </c>
      <c r="AS141" t="s">
        <v>105</v>
      </c>
      <c r="AT141">
        <v>6766661</v>
      </c>
      <c r="AU141" t="s">
        <v>105</v>
      </c>
      <c r="AV141" t="s">
        <v>86</v>
      </c>
      <c r="AW141" t="s">
        <v>50</v>
      </c>
      <c r="AX141" t="s">
        <v>51</v>
      </c>
      <c r="AY141" t="s">
        <v>239</v>
      </c>
      <c r="AZ141" t="s">
        <v>240</v>
      </c>
      <c r="BA141" t="s">
        <v>410</v>
      </c>
      <c r="BB141">
        <v>0</v>
      </c>
      <c r="BC141">
        <v>0</v>
      </c>
      <c r="BD141" t="s">
        <v>199</v>
      </c>
      <c r="BE141" t="s">
        <v>199</v>
      </c>
      <c r="BF141">
        <v>0</v>
      </c>
      <c r="BG141">
        <v>0</v>
      </c>
      <c r="BH141" t="s">
        <v>200</v>
      </c>
      <c r="BI141">
        <v>13</v>
      </c>
      <c r="BJ141">
        <v>6217578</v>
      </c>
      <c r="BK141" t="s">
        <v>201</v>
      </c>
      <c r="BL141" t="s">
        <v>190</v>
      </c>
    </row>
    <row r="142" spans="1:64" x14ac:dyDescent="0.3">
      <c r="A142">
        <v>242</v>
      </c>
      <c r="B142" t="s">
        <v>186</v>
      </c>
      <c r="C142">
        <v>3</v>
      </c>
      <c r="D142">
        <v>6217578</v>
      </c>
      <c r="E142" t="s">
        <v>275</v>
      </c>
      <c r="F142" t="s">
        <v>188</v>
      </c>
      <c r="G142">
        <v>10046486</v>
      </c>
      <c r="H142" s="35">
        <v>46065</v>
      </c>
      <c r="I142" s="35">
        <v>46065</v>
      </c>
      <c r="J142">
        <v>2026</v>
      </c>
      <c r="K142">
        <v>2</v>
      </c>
      <c r="L142" t="s">
        <v>242</v>
      </c>
      <c r="M142">
        <v>1</v>
      </c>
      <c r="N142" t="s">
        <v>203</v>
      </c>
      <c r="O142" t="s">
        <v>191</v>
      </c>
      <c r="P142" t="s">
        <v>199</v>
      </c>
      <c r="Q142" t="s">
        <v>199</v>
      </c>
      <c r="R142">
        <v>7</v>
      </c>
      <c r="S142">
        <v>12</v>
      </c>
      <c r="T142">
        <v>37594</v>
      </c>
      <c r="U142">
        <v>3</v>
      </c>
      <c r="V142" t="s">
        <v>234</v>
      </c>
      <c r="W142" t="s">
        <v>47</v>
      </c>
      <c r="X142" t="s">
        <v>19</v>
      </c>
      <c r="Y142" t="s">
        <v>30</v>
      </c>
      <c r="Z142" t="s">
        <v>30</v>
      </c>
      <c r="AA142">
        <v>72</v>
      </c>
      <c r="AB142">
        <v>925094</v>
      </c>
      <c r="AC142" t="s">
        <v>349</v>
      </c>
      <c r="AD142" t="s">
        <v>350</v>
      </c>
      <c r="AE142">
        <v>0.25</v>
      </c>
      <c r="AF142">
        <v>12</v>
      </c>
      <c r="AG142">
        <v>46.08</v>
      </c>
      <c r="AH142">
        <v>0</v>
      </c>
      <c r="AI142">
        <v>0</v>
      </c>
      <c r="AJ142">
        <v>0</v>
      </c>
      <c r="AK142">
        <v>99.53</v>
      </c>
      <c r="AL142">
        <v>552.96</v>
      </c>
      <c r="AM142">
        <v>652</v>
      </c>
      <c r="AN142">
        <v>95</v>
      </c>
      <c r="AO142" t="s">
        <v>237</v>
      </c>
      <c r="AP142" t="s">
        <v>238</v>
      </c>
      <c r="AQ142">
        <v>10</v>
      </c>
      <c r="AR142">
        <v>117</v>
      </c>
      <c r="AS142" t="s">
        <v>94</v>
      </c>
      <c r="AT142">
        <v>65104</v>
      </c>
      <c r="AU142" t="s">
        <v>283</v>
      </c>
      <c r="AV142" t="s">
        <v>95</v>
      </c>
      <c r="AW142" t="s">
        <v>50</v>
      </c>
      <c r="AX142" t="s">
        <v>51</v>
      </c>
      <c r="AY142" t="s">
        <v>239</v>
      </c>
      <c r="AZ142" t="s">
        <v>240</v>
      </c>
      <c r="BA142" t="s">
        <v>410</v>
      </c>
      <c r="BB142">
        <v>0</v>
      </c>
      <c r="BC142">
        <v>0</v>
      </c>
      <c r="BD142" t="s">
        <v>199</v>
      </c>
      <c r="BE142" t="s">
        <v>199</v>
      </c>
      <c r="BF142">
        <v>0</v>
      </c>
      <c r="BG142">
        <v>0</v>
      </c>
      <c r="BH142" t="s">
        <v>200</v>
      </c>
      <c r="BI142">
        <v>13</v>
      </c>
      <c r="BJ142">
        <v>6217578</v>
      </c>
      <c r="BK142" t="s">
        <v>201</v>
      </c>
      <c r="BL142" t="s">
        <v>190</v>
      </c>
    </row>
    <row r="143" spans="1:64" x14ac:dyDescent="0.3">
      <c r="A143">
        <v>242</v>
      </c>
      <c r="B143" t="s">
        <v>186</v>
      </c>
      <c r="C143">
        <v>3</v>
      </c>
      <c r="D143">
        <v>6217578</v>
      </c>
      <c r="E143" t="s">
        <v>275</v>
      </c>
      <c r="F143" t="s">
        <v>188</v>
      </c>
      <c r="G143">
        <v>10046486</v>
      </c>
      <c r="H143" s="35">
        <v>46065</v>
      </c>
      <c r="I143" s="35">
        <v>46065</v>
      </c>
      <c r="J143">
        <v>2026</v>
      </c>
      <c r="K143">
        <v>2</v>
      </c>
      <c r="L143" t="s">
        <v>242</v>
      </c>
      <c r="M143">
        <v>1</v>
      </c>
      <c r="N143" t="s">
        <v>203</v>
      </c>
      <c r="O143" t="s">
        <v>191</v>
      </c>
      <c r="P143" t="s">
        <v>199</v>
      </c>
      <c r="Q143" t="s">
        <v>199</v>
      </c>
      <c r="R143">
        <v>7</v>
      </c>
      <c r="S143">
        <v>12</v>
      </c>
      <c r="T143">
        <v>37594</v>
      </c>
      <c r="U143">
        <v>3</v>
      </c>
      <c r="V143" t="s">
        <v>234</v>
      </c>
      <c r="W143" t="s">
        <v>47</v>
      </c>
      <c r="X143" t="s">
        <v>19</v>
      </c>
      <c r="Y143" t="s">
        <v>30</v>
      </c>
      <c r="Z143" t="s">
        <v>30</v>
      </c>
      <c r="AA143">
        <v>72</v>
      </c>
      <c r="AB143">
        <v>925095</v>
      </c>
      <c r="AC143" t="s">
        <v>351</v>
      </c>
      <c r="AD143" t="s">
        <v>352</v>
      </c>
      <c r="AE143">
        <v>0.25</v>
      </c>
      <c r="AF143">
        <v>12</v>
      </c>
      <c r="AG143">
        <v>46.08</v>
      </c>
      <c r="AH143">
        <v>0</v>
      </c>
      <c r="AI143">
        <v>0</v>
      </c>
      <c r="AJ143">
        <v>0</v>
      </c>
      <c r="AK143">
        <v>99.53</v>
      </c>
      <c r="AL143">
        <v>552.96</v>
      </c>
      <c r="AM143">
        <v>652</v>
      </c>
      <c r="AN143">
        <v>95</v>
      </c>
      <c r="AO143" t="s">
        <v>237</v>
      </c>
      <c r="AP143" t="s">
        <v>238</v>
      </c>
      <c r="AQ143">
        <v>10</v>
      </c>
      <c r="AR143">
        <v>117</v>
      </c>
      <c r="AS143" t="s">
        <v>94</v>
      </c>
      <c r="AT143">
        <v>65104</v>
      </c>
      <c r="AU143" t="s">
        <v>283</v>
      </c>
      <c r="AV143" t="s">
        <v>95</v>
      </c>
      <c r="AW143" t="s">
        <v>50</v>
      </c>
      <c r="AX143" t="s">
        <v>51</v>
      </c>
      <c r="AY143" t="s">
        <v>239</v>
      </c>
      <c r="AZ143" t="s">
        <v>240</v>
      </c>
      <c r="BA143" t="s">
        <v>410</v>
      </c>
      <c r="BB143">
        <v>0</v>
      </c>
      <c r="BC143">
        <v>0</v>
      </c>
      <c r="BD143" t="s">
        <v>199</v>
      </c>
      <c r="BE143" t="s">
        <v>199</v>
      </c>
      <c r="BF143">
        <v>0</v>
      </c>
      <c r="BG143">
        <v>0</v>
      </c>
      <c r="BH143" t="s">
        <v>200</v>
      </c>
      <c r="BI143">
        <v>13</v>
      </c>
      <c r="BJ143">
        <v>6217578</v>
      </c>
      <c r="BK143" t="s">
        <v>201</v>
      </c>
      <c r="BL143" t="s">
        <v>190</v>
      </c>
    </row>
    <row r="144" spans="1:64" x14ac:dyDescent="0.3">
      <c r="A144">
        <v>254</v>
      </c>
      <c r="B144" t="s">
        <v>186</v>
      </c>
      <c r="C144">
        <v>3</v>
      </c>
      <c r="D144">
        <v>6220008</v>
      </c>
      <c r="E144" t="s">
        <v>297</v>
      </c>
      <c r="F144" t="s">
        <v>188</v>
      </c>
      <c r="G144">
        <v>10048916</v>
      </c>
      <c r="H144" s="35">
        <v>46066</v>
      </c>
      <c r="I144" s="35">
        <v>46066</v>
      </c>
      <c r="J144">
        <v>2026</v>
      </c>
      <c r="K144">
        <v>2</v>
      </c>
      <c r="L144" t="s">
        <v>242</v>
      </c>
      <c r="M144">
        <v>1</v>
      </c>
      <c r="N144" t="s">
        <v>203</v>
      </c>
      <c r="O144" t="s">
        <v>191</v>
      </c>
      <c r="P144" t="s">
        <v>199</v>
      </c>
      <c r="Q144" t="s">
        <v>199</v>
      </c>
      <c r="R144">
        <v>7</v>
      </c>
      <c r="S144">
        <v>13</v>
      </c>
      <c r="T144">
        <v>5474</v>
      </c>
      <c r="U144">
        <v>3</v>
      </c>
      <c r="V144" t="s">
        <v>298</v>
      </c>
      <c r="W144" t="s">
        <v>54</v>
      </c>
      <c r="X144" t="s">
        <v>19</v>
      </c>
      <c r="Y144" t="s">
        <v>55</v>
      </c>
      <c r="Z144" t="s">
        <v>56</v>
      </c>
      <c r="AA144">
        <v>70</v>
      </c>
      <c r="AB144">
        <v>925064</v>
      </c>
      <c r="AC144" t="s">
        <v>281</v>
      </c>
      <c r="AD144" t="s">
        <v>282</v>
      </c>
      <c r="AE144">
        <v>0.24</v>
      </c>
      <c r="AF144">
        <v>12</v>
      </c>
      <c r="AG144">
        <v>32.86</v>
      </c>
      <c r="AH144">
        <v>0</v>
      </c>
      <c r="AI144">
        <v>0</v>
      </c>
      <c r="AJ144">
        <v>0</v>
      </c>
      <c r="AK144">
        <v>70.98</v>
      </c>
      <c r="AL144">
        <v>394.32</v>
      </c>
      <c r="AM144">
        <v>465</v>
      </c>
      <c r="AN144">
        <v>94</v>
      </c>
      <c r="AO144" t="s">
        <v>64</v>
      </c>
      <c r="AP144" t="s">
        <v>66</v>
      </c>
      <c r="AQ144">
        <v>10</v>
      </c>
      <c r="AR144">
        <v>117</v>
      </c>
      <c r="AS144" t="s">
        <v>94</v>
      </c>
      <c r="AT144">
        <v>65104</v>
      </c>
      <c r="AU144" t="s">
        <v>283</v>
      </c>
      <c r="AV144" t="s">
        <v>95</v>
      </c>
      <c r="AW144" t="s">
        <v>50</v>
      </c>
      <c r="AX144" t="s">
        <v>51</v>
      </c>
      <c r="AY144" t="s">
        <v>65</v>
      </c>
      <c r="AZ144" t="s">
        <v>240</v>
      </c>
      <c r="BA144" t="s">
        <v>413</v>
      </c>
      <c r="BB144">
        <v>0</v>
      </c>
      <c r="BC144">
        <v>0</v>
      </c>
      <c r="BD144" t="s">
        <v>199</v>
      </c>
      <c r="BE144" t="s">
        <v>199</v>
      </c>
      <c r="BF144">
        <v>0</v>
      </c>
      <c r="BG144">
        <v>0</v>
      </c>
      <c r="BH144" t="s">
        <v>200</v>
      </c>
      <c r="BI144">
        <v>13</v>
      </c>
      <c r="BJ144">
        <v>6220008</v>
      </c>
      <c r="BK144" t="s">
        <v>201</v>
      </c>
      <c r="BL144" t="s">
        <v>190</v>
      </c>
    </row>
    <row r="145" spans="1:64" x14ac:dyDescent="0.3">
      <c r="A145">
        <v>254</v>
      </c>
      <c r="B145" t="s">
        <v>186</v>
      </c>
      <c r="C145">
        <v>3</v>
      </c>
      <c r="D145">
        <v>6220008</v>
      </c>
      <c r="E145" t="s">
        <v>297</v>
      </c>
      <c r="F145" t="s">
        <v>188</v>
      </c>
      <c r="G145">
        <v>10048916</v>
      </c>
      <c r="H145" s="35">
        <v>46066</v>
      </c>
      <c r="I145" s="35">
        <v>46066</v>
      </c>
      <c r="J145">
        <v>2026</v>
      </c>
      <c r="K145">
        <v>2</v>
      </c>
      <c r="L145" t="s">
        <v>242</v>
      </c>
      <c r="M145">
        <v>1</v>
      </c>
      <c r="N145" t="s">
        <v>203</v>
      </c>
      <c r="O145" t="s">
        <v>191</v>
      </c>
      <c r="P145" t="s">
        <v>199</v>
      </c>
      <c r="Q145" t="s">
        <v>199</v>
      </c>
      <c r="R145">
        <v>7</v>
      </c>
      <c r="S145">
        <v>13</v>
      </c>
      <c r="T145">
        <v>5474</v>
      </c>
      <c r="U145">
        <v>3</v>
      </c>
      <c r="V145" t="s">
        <v>298</v>
      </c>
      <c r="W145" t="s">
        <v>54</v>
      </c>
      <c r="X145" t="s">
        <v>19</v>
      </c>
      <c r="Y145" t="s">
        <v>55</v>
      </c>
      <c r="Z145" t="s">
        <v>56</v>
      </c>
      <c r="AA145">
        <v>70</v>
      </c>
      <c r="AB145">
        <v>930023</v>
      </c>
      <c r="AC145" t="s">
        <v>332</v>
      </c>
      <c r="AD145" t="s">
        <v>333</v>
      </c>
      <c r="AE145">
        <v>0.2</v>
      </c>
      <c r="AF145">
        <v>4</v>
      </c>
      <c r="AG145">
        <v>140.75</v>
      </c>
      <c r="AH145">
        <v>0</v>
      </c>
      <c r="AI145">
        <v>0</v>
      </c>
      <c r="AJ145">
        <v>0</v>
      </c>
      <c r="AK145">
        <v>101.34</v>
      </c>
      <c r="AL145">
        <v>563</v>
      </c>
      <c r="AM145">
        <v>664</v>
      </c>
      <c r="AN145">
        <v>94</v>
      </c>
      <c r="AO145" t="s">
        <v>64</v>
      </c>
      <c r="AP145" t="s">
        <v>66</v>
      </c>
      <c r="AQ145">
        <v>10</v>
      </c>
      <c r="AR145">
        <v>208</v>
      </c>
      <c r="AS145" t="s">
        <v>92</v>
      </c>
      <c r="AT145">
        <v>0</v>
      </c>
      <c r="AU145" t="s">
        <v>199</v>
      </c>
      <c r="AV145" t="s">
        <v>82</v>
      </c>
      <c r="AW145" t="s">
        <v>50</v>
      </c>
      <c r="AX145" t="s">
        <v>51</v>
      </c>
      <c r="AY145" t="s">
        <v>65</v>
      </c>
      <c r="AZ145" t="s">
        <v>240</v>
      </c>
      <c r="BA145" t="s">
        <v>413</v>
      </c>
      <c r="BB145">
        <v>0</v>
      </c>
      <c r="BC145">
        <v>0</v>
      </c>
      <c r="BD145" t="s">
        <v>199</v>
      </c>
      <c r="BE145" t="s">
        <v>199</v>
      </c>
      <c r="BF145">
        <v>0</v>
      </c>
      <c r="BG145">
        <v>0</v>
      </c>
      <c r="BH145" t="s">
        <v>200</v>
      </c>
      <c r="BI145">
        <v>13</v>
      </c>
      <c r="BJ145">
        <v>6220008</v>
      </c>
      <c r="BK145" t="s">
        <v>201</v>
      </c>
      <c r="BL145" t="s">
        <v>190</v>
      </c>
    </row>
    <row r="146" spans="1:64" x14ac:dyDescent="0.3">
      <c r="A146">
        <v>254</v>
      </c>
      <c r="B146" t="s">
        <v>186</v>
      </c>
      <c r="C146">
        <v>3</v>
      </c>
      <c r="D146">
        <v>6220008</v>
      </c>
      <c r="E146" t="s">
        <v>297</v>
      </c>
      <c r="F146" t="s">
        <v>188</v>
      </c>
      <c r="G146">
        <v>10048916</v>
      </c>
      <c r="H146" s="35">
        <v>46066</v>
      </c>
      <c r="I146" s="35">
        <v>46066</v>
      </c>
      <c r="J146">
        <v>2026</v>
      </c>
      <c r="K146">
        <v>2</v>
      </c>
      <c r="L146" t="s">
        <v>242</v>
      </c>
      <c r="M146">
        <v>1</v>
      </c>
      <c r="N146" t="s">
        <v>203</v>
      </c>
      <c r="O146" t="s">
        <v>191</v>
      </c>
      <c r="P146" t="s">
        <v>199</v>
      </c>
      <c r="Q146" t="s">
        <v>199</v>
      </c>
      <c r="R146">
        <v>7</v>
      </c>
      <c r="S146">
        <v>13</v>
      </c>
      <c r="T146">
        <v>5474</v>
      </c>
      <c r="U146">
        <v>3</v>
      </c>
      <c r="V146" t="s">
        <v>298</v>
      </c>
      <c r="W146" t="s">
        <v>54</v>
      </c>
      <c r="X146" t="s">
        <v>19</v>
      </c>
      <c r="Y146" t="s">
        <v>55</v>
      </c>
      <c r="Z146" t="s">
        <v>56</v>
      </c>
      <c r="AA146">
        <v>70</v>
      </c>
      <c r="AB146">
        <v>930012</v>
      </c>
      <c r="AC146" t="s">
        <v>312</v>
      </c>
      <c r="AD146" t="s">
        <v>313</v>
      </c>
      <c r="AE146">
        <v>0.125</v>
      </c>
      <c r="AF146">
        <v>2</v>
      </c>
      <c r="AG146">
        <v>91.09</v>
      </c>
      <c r="AH146">
        <v>0</v>
      </c>
      <c r="AI146">
        <v>0</v>
      </c>
      <c r="AJ146">
        <v>0</v>
      </c>
      <c r="AK146">
        <v>32.79</v>
      </c>
      <c r="AL146">
        <v>182.18</v>
      </c>
      <c r="AM146">
        <v>215</v>
      </c>
      <c r="AN146">
        <v>94</v>
      </c>
      <c r="AO146" t="s">
        <v>64</v>
      </c>
      <c r="AP146" t="s">
        <v>66</v>
      </c>
      <c r="AQ146">
        <v>10</v>
      </c>
      <c r="AR146">
        <v>208</v>
      </c>
      <c r="AS146" t="s">
        <v>92</v>
      </c>
      <c r="AT146">
        <v>0</v>
      </c>
      <c r="AU146" t="s">
        <v>199</v>
      </c>
      <c r="AV146" t="s">
        <v>82</v>
      </c>
      <c r="AW146" t="s">
        <v>50</v>
      </c>
      <c r="AX146" t="s">
        <v>51</v>
      </c>
      <c r="AY146" t="s">
        <v>65</v>
      </c>
      <c r="AZ146" t="s">
        <v>240</v>
      </c>
      <c r="BA146" t="s">
        <v>413</v>
      </c>
      <c r="BB146">
        <v>0</v>
      </c>
      <c r="BC146">
        <v>0</v>
      </c>
      <c r="BD146" t="s">
        <v>199</v>
      </c>
      <c r="BE146" t="s">
        <v>199</v>
      </c>
      <c r="BF146">
        <v>0</v>
      </c>
      <c r="BG146">
        <v>0</v>
      </c>
      <c r="BH146" t="s">
        <v>200</v>
      </c>
      <c r="BI146">
        <v>13</v>
      </c>
      <c r="BJ146">
        <v>6220008</v>
      </c>
      <c r="BK146" t="s">
        <v>201</v>
      </c>
      <c r="BL146" t="s">
        <v>190</v>
      </c>
    </row>
    <row r="147" spans="1:64" x14ac:dyDescent="0.3">
      <c r="A147">
        <v>254</v>
      </c>
      <c r="B147" t="s">
        <v>186</v>
      </c>
      <c r="C147">
        <v>3</v>
      </c>
      <c r="D147">
        <v>6220008</v>
      </c>
      <c r="E147" t="s">
        <v>297</v>
      </c>
      <c r="F147" t="s">
        <v>188</v>
      </c>
      <c r="G147">
        <v>10048916</v>
      </c>
      <c r="H147" s="35">
        <v>46066</v>
      </c>
      <c r="I147" s="35">
        <v>46066</v>
      </c>
      <c r="J147">
        <v>2026</v>
      </c>
      <c r="K147">
        <v>2</v>
      </c>
      <c r="L147" t="s">
        <v>242</v>
      </c>
      <c r="M147">
        <v>1</v>
      </c>
      <c r="N147" t="s">
        <v>203</v>
      </c>
      <c r="O147" t="s">
        <v>191</v>
      </c>
      <c r="P147" t="s">
        <v>199</v>
      </c>
      <c r="Q147" t="s">
        <v>199</v>
      </c>
      <c r="R147">
        <v>7</v>
      </c>
      <c r="S147">
        <v>13</v>
      </c>
      <c r="T147">
        <v>5474</v>
      </c>
      <c r="U147">
        <v>3</v>
      </c>
      <c r="V147" t="s">
        <v>298</v>
      </c>
      <c r="W147" t="s">
        <v>54</v>
      </c>
      <c r="X147" t="s">
        <v>19</v>
      </c>
      <c r="Y147" t="s">
        <v>55</v>
      </c>
      <c r="Z147" t="s">
        <v>56</v>
      </c>
      <c r="AA147">
        <v>70</v>
      </c>
      <c r="AB147">
        <v>925065</v>
      </c>
      <c r="AC147" t="s">
        <v>414</v>
      </c>
      <c r="AD147" t="s">
        <v>415</v>
      </c>
      <c r="AE147">
        <v>0.02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94</v>
      </c>
      <c r="AO147" t="s">
        <v>64</v>
      </c>
      <c r="AP147" t="s">
        <v>66</v>
      </c>
      <c r="AQ147">
        <v>10</v>
      </c>
      <c r="AR147">
        <v>117</v>
      </c>
      <c r="AS147" t="s">
        <v>94</v>
      </c>
      <c r="AT147">
        <v>65104</v>
      </c>
      <c r="AU147" t="s">
        <v>283</v>
      </c>
      <c r="AV147" t="s">
        <v>95</v>
      </c>
      <c r="AW147" t="s">
        <v>50</v>
      </c>
      <c r="AX147" t="s">
        <v>51</v>
      </c>
      <c r="AY147" t="s">
        <v>65</v>
      </c>
      <c r="AZ147" t="s">
        <v>240</v>
      </c>
      <c r="BA147" t="s">
        <v>413</v>
      </c>
      <c r="BB147">
        <v>0</v>
      </c>
      <c r="BC147">
        <v>1</v>
      </c>
      <c r="BD147">
        <v>3384</v>
      </c>
      <c r="BE147" t="s">
        <v>416</v>
      </c>
      <c r="BF147">
        <v>0</v>
      </c>
      <c r="BG147">
        <v>0</v>
      </c>
      <c r="BH147" t="s">
        <v>200</v>
      </c>
      <c r="BI147">
        <v>13</v>
      </c>
      <c r="BJ147">
        <v>6220008</v>
      </c>
      <c r="BK147" t="s">
        <v>201</v>
      </c>
      <c r="BL147" t="s">
        <v>190</v>
      </c>
    </row>
    <row r="148" spans="1:64" x14ac:dyDescent="0.3">
      <c r="A148">
        <v>270</v>
      </c>
      <c r="B148" t="s">
        <v>186</v>
      </c>
      <c r="C148">
        <v>3</v>
      </c>
      <c r="D148">
        <v>6220324</v>
      </c>
      <c r="E148" t="s">
        <v>382</v>
      </c>
      <c r="F148" t="s">
        <v>188</v>
      </c>
      <c r="G148">
        <v>10049232</v>
      </c>
      <c r="H148" s="35">
        <v>46066</v>
      </c>
      <c r="I148" s="35">
        <v>46066</v>
      </c>
      <c r="J148">
        <v>2026</v>
      </c>
      <c r="K148">
        <v>2</v>
      </c>
      <c r="L148" t="s">
        <v>242</v>
      </c>
      <c r="M148">
        <v>1</v>
      </c>
      <c r="N148" t="s">
        <v>190</v>
      </c>
      <c r="O148" t="s">
        <v>191</v>
      </c>
      <c r="P148" t="s">
        <v>199</v>
      </c>
      <c r="Q148" t="s">
        <v>199</v>
      </c>
      <c r="R148">
        <v>7</v>
      </c>
      <c r="S148">
        <v>13</v>
      </c>
      <c r="T148">
        <v>2280</v>
      </c>
      <c r="U148">
        <v>3</v>
      </c>
      <c r="V148" t="s">
        <v>193</v>
      </c>
      <c r="W148" t="s">
        <v>29</v>
      </c>
      <c r="X148" t="s">
        <v>19</v>
      </c>
      <c r="Y148" t="s">
        <v>30</v>
      </c>
      <c r="Z148" t="s">
        <v>30</v>
      </c>
      <c r="AA148">
        <v>14</v>
      </c>
      <c r="AB148">
        <v>103001</v>
      </c>
      <c r="AC148" t="s">
        <v>286</v>
      </c>
      <c r="AD148" t="s">
        <v>287</v>
      </c>
      <c r="AE148">
        <v>0.33333333333332998</v>
      </c>
      <c r="AF148">
        <v>16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93</v>
      </c>
      <c r="AO148" t="s">
        <v>250</v>
      </c>
      <c r="AP148" t="s">
        <v>251</v>
      </c>
      <c r="AQ148">
        <v>10</v>
      </c>
      <c r="AR148">
        <v>107</v>
      </c>
      <c r="AS148" t="s">
        <v>96</v>
      </c>
      <c r="AT148">
        <v>6770651</v>
      </c>
      <c r="AU148" t="s">
        <v>288</v>
      </c>
      <c r="AV148" t="s">
        <v>86</v>
      </c>
      <c r="AW148" t="s">
        <v>23</v>
      </c>
      <c r="AX148" t="s">
        <v>24</v>
      </c>
      <c r="AY148" t="s">
        <v>253</v>
      </c>
      <c r="AZ148" t="s">
        <v>197</v>
      </c>
      <c r="BA148" t="s">
        <v>417</v>
      </c>
      <c r="BB148">
        <v>0</v>
      </c>
      <c r="BC148">
        <v>1</v>
      </c>
      <c r="BD148">
        <v>3374</v>
      </c>
      <c r="BE148" t="s">
        <v>390</v>
      </c>
      <c r="BF148">
        <v>0</v>
      </c>
      <c r="BG148">
        <v>0</v>
      </c>
      <c r="BH148" t="s">
        <v>200</v>
      </c>
      <c r="BI148">
        <v>13</v>
      </c>
      <c r="BJ148">
        <v>6220324</v>
      </c>
      <c r="BK148" t="s">
        <v>201</v>
      </c>
      <c r="BL148" t="s">
        <v>190</v>
      </c>
    </row>
    <row r="149" spans="1:64" x14ac:dyDescent="0.3">
      <c r="A149">
        <v>270</v>
      </c>
      <c r="B149" t="s">
        <v>186</v>
      </c>
      <c r="C149">
        <v>3</v>
      </c>
      <c r="D149">
        <v>6220324</v>
      </c>
      <c r="E149" t="s">
        <v>382</v>
      </c>
      <c r="F149" t="s">
        <v>188</v>
      </c>
      <c r="G149">
        <v>10049232</v>
      </c>
      <c r="H149" s="35">
        <v>46066</v>
      </c>
      <c r="I149" s="35">
        <v>46066</v>
      </c>
      <c r="J149">
        <v>2026</v>
      </c>
      <c r="K149">
        <v>2</v>
      </c>
      <c r="L149" t="s">
        <v>242</v>
      </c>
      <c r="M149">
        <v>1</v>
      </c>
      <c r="N149" t="s">
        <v>190</v>
      </c>
      <c r="O149" t="s">
        <v>191</v>
      </c>
      <c r="P149" t="s">
        <v>199</v>
      </c>
      <c r="Q149" t="s">
        <v>199</v>
      </c>
      <c r="R149">
        <v>7</v>
      </c>
      <c r="S149">
        <v>13</v>
      </c>
      <c r="T149">
        <v>2280</v>
      </c>
      <c r="U149">
        <v>3</v>
      </c>
      <c r="V149" t="s">
        <v>193</v>
      </c>
      <c r="W149" t="s">
        <v>29</v>
      </c>
      <c r="X149" t="s">
        <v>19</v>
      </c>
      <c r="Y149" t="s">
        <v>30</v>
      </c>
      <c r="Z149" t="s">
        <v>30</v>
      </c>
      <c r="AA149">
        <v>14</v>
      </c>
      <c r="AB149">
        <v>103001</v>
      </c>
      <c r="AC149" t="s">
        <v>286</v>
      </c>
      <c r="AD149" t="s">
        <v>287</v>
      </c>
      <c r="AE149">
        <v>2</v>
      </c>
      <c r="AF149">
        <v>96</v>
      </c>
      <c r="AG149">
        <v>21.36</v>
      </c>
      <c r="AH149">
        <v>0</v>
      </c>
      <c r="AI149">
        <v>0</v>
      </c>
      <c r="AJ149">
        <v>0</v>
      </c>
      <c r="AK149">
        <v>369.1</v>
      </c>
      <c r="AL149">
        <v>2050.56</v>
      </c>
      <c r="AM149">
        <v>2420</v>
      </c>
      <c r="AN149">
        <v>93</v>
      </c>
      <c r="AO149" t="s">
        <v>250</v>
      </c>
      <c r="AP149" t="s">
        <v>251</v>
      </c>
      <c r="AQ149">
        <v>10</v>
      </c>
      <c r="AR149">
        <v>107</v>
      </c>
      <c r="AS149" t="s">
        <v>96</v>
      </c>
      <c r="AT149">
        <v>6770651</v>
      </c>
      <c r="AU149" t="s">
        <v>288</v>
      </c>
      <c r="AV149" t="s">
        <v>86</v>
      </c>
      <c r="AW149" t="s">
        <v>23</v>
      </c>
      <c r="AX149" t="s">
        <v>24</v>
      </c>
      <c r="AY149" t="s">
        <v>253</v>
      </c>
      <c r="AZ149" t="s">
        <v>197</v>
      </c>
      <c r="BA149" t="s">
        <v>417</v>
      </c>
      <c r="BB149">
        <v>0</v>
      </c>
      <c r="BC149">
        <v>0</v>
      </c>
      <c r="BD149" t="s">
        <v>199</v>
      </c>
      <c r="BE149" t="s">
        <v>199</v>
      </c>
      <c r="BF149">
        <v>0</v>
      </c>
      <c r="BG149">
        <v>0</v>
      </c>
      <c r="BH149" t="s">
        <v>200</v>
      </c>
      <c r="BI149">
        <v>13</v>
      </c>
      <c r="BJ149">
        <v>6220324</v>
      </c>
      <c r="BK149" t="s">
        <v>201</v>
      </c>
      <c r="BL149" t="s">
        <v>190</v>
      </c>
    </row>
    <row r="150" spans="1:64" x14ac:dyDescent="0.3">
      <c r="A150">
        <v>223</v>
      </c>
      <c r="B150" t="s">
        <v>186</v>
      </c>
      <c r="C150">
        <v>3</v>
      </c>
      <c r="D150">
        <v>6222439</v>
      </c>
      <c r="E150" t="s">
        <v>202</v>
      </c>
      <c r="F150" t="s">
        <v>188</v>
      </c>
      <c r="G150">
        <v>10051347</v>
      </c>
      <c r="H150" s="35">
        <v>46067</v>
      </c>
      <c r="I150" s="35">
        <v>46067</v>
      </c>
      <c r="J150">
        <v>2026</v>
      </c>
      <c r="K150">
        <v>2</v>
      </c>
      <c r="L150" t="s">
        <v>242</v>
      </c>
      <c r="M150">
        <v>1</v>
      </c>
      <c r="N150" t="s">
        <v>203</v>
      </c>
      <c r="O150" t="s">
        <v>191</v>
      </c>
      <c r="P150" t="s">
        <v>199</v>
      </c>
      <c r="Q150" t="s">
        <v>199</v>
      </c>
      <c r="R150">
        <v>7</v>
      </c>
      <c r="S150">
        <v>14</v>
      </c>
      <c r="T150">
        <v>1019</v>
      </c>
      <c r="U150">
        <v>3</v>
      </c>
      <c r="V150" t="s">
        <v>270</v>
      </c>
      <c r="W150" t="s">
        <v>46</v>
      </c>
      <c r="X150" t="s">
        <v>19</v>
      </c>
      <c r="Y150" t="s">
        <v>41</v>
      </c>
      <c r="Z150" t="s">
        <v>41</v>
      </c>
      <c r="AA150">
        <v>60</v>
      </c>
      <c r="AB150">
        <v>930076</v>
      </c>
      <c r="AC150" t="s">
        <v>244</v>
      </c>
      <c r="AD150" t="s">
        <v>245</v>
      </c>
      <c r="AE150">
        <v>1</v>
      </c>
      <c r="AF150">
        <v>24</v>
      </c>
      <c r="AG150">
        <v>40.29</v>
      </c>
      <c r="AH150">
        <v>0</v>
      </c>
      <c r="AI150">
        <v>0</v>
      </c>
      <c r="AJ150">
        <v>0</v>
      </c>
      <c r="AK150">
        <v>174.05</v>
      </c>
      <c r="AL150">
        <v>966.96</v>
      </c>
      <c r="AM150">
        <v>1141</v>
      </c>
      <c r="AN150">
        <v>8</v>
      </c>
      <c r="AO150" t="s">
        <v>37</v>
      </c>
      <c r="AP150" t="s">
        <v>39</v>
      </c>
      <c r="AQ150">
        <v>10</v>
      </c>
      <c r="AR150">
        <v>204</v>
      </c>
      <c r="AS150" t="s">
        <v>84</v>
      </c>
      <c r="AT150">
        <v>0</v>
      </c>
      <c r="AU150" t="s">
        <v>199</v>
      </c>
      <c r="AV150" t="s">
        <v>82</v>
      </c>
      <c r="AW150" t="s">
        <v>23</v>
      </c>
      <c r="AX150" t="s">
        <v>24</v>
      </c>
      <c r="AY150" t="s">
        <v>38</v>
      </c>
      <c r="AZ150" t="s">
        <v>197</v>
      </c>
      <c r="BA150" t="s">
        <v>418</v>
      </c>
      <c r="BB150">
        <v>0</v>
      </c>
      <c r="BC150">
        <v>0</v>
      </c>
      <c r="BD150" t="s">
        <v>199</v>
      </c>
      <c r="BE150" t="s">
        <v>199</v>
      </c>
      <c r="BF150">
        <v>0</v>
      </c>
      <c r="BG150">
        <v>0</v>
      </c>
      <c r="BH150" t="s">
        <v>200</v>
      </c>
      <c r="BI150">
        <v>13</v>
      </c>
      <c r="BJ150">
        <v>6222439</v>
      </c>
      <c r="BK150" t="s">
        <v>201</v>
      </c>
      <c r="BL150" t="s">
        <v>190</v>
      </c>
    </row>
    <row r="151" spans="1:64" x14ac:dyDescent="0.3">
      <c r="A151">
        <v>223</v>
      </c>
      <c r="B151" t="s">
        <v>186</v>
      </c>
      <c r="C151">
        <v>3</v>
      </c>
      <c r="D151">
        <v>6222440</v>
      </c>
      <c r="E151" t="s">
        <v>202</v>
      </c>
      <c r="F151" t="s">
        <v>188</v>
      </c>
      <c r="G151">
        <v>10051348</v>
      </c>
      <c r="H151" s="35">
        <v>46067</v>
      </c>
      <c r="I151" s="35">
        <v>46067</v>
      </c>
      <c r="J151">
        <v>2026</v>
      </c>
      <c r="K151">
        <v>2</v>
      </c>
      <c r="L151" t="s">
        <v>242</v>
      </c>
      <c r="M151">
        <v>1</v>
      </c>
      <c r="N151" t="s">
        <v>203</v>
      </c>
      <c r="O151" t="s">
        <v>191</v>
      </c>
      <c r="P151" t="s">
        <v>199</v>
      </c>
      <c r="Q151" t="s">
        <v>199</v>
      </c>
      <c r="R151">
        <v>7</v>
      </c>
      <c r="S151">
        <v>14</v>
      </c>
      <c r="T151">
        <v>29579</v>
      </c>
      <c r="U151">
        <v>3</v>
      </c>
      <c r="V151" t="s">
        <v>224</v>
      </c>
      <c r="W151" t="s">
        <v>40</v>
      </c>
      <c r="X151" t="s">
        <v>19</v>
      </c>
      <c r="Y151" t="s">
        <v>41</v>
      </c>
      <c r="Z151" t="s">
        <v>41</v>
      </c>
      <c r="AA151">
        <v>60</v>
      </c>
      <c r="AB151">
        <v>930076</v>
      </c>
      <c r="AC151" t="s">
        <v>244</v>
      </c>
      <c r="AD151" t="s">
        <v>245</v>
      </c>
      <c r="AE151">
        <v>1</v>
      </c>
      <c r="AF151">
        <v>24</v>
      </c>
      <c r="AG151">
        <v>40.29</v>
      </c>
      <c r="AH151">
        <v>0</v>
      </c>
      <c r="AI151">
        <v>0</v>
      </c>
      <c r="AJ151">
        <v>0</v>
      </c>
      <c r="AK151">
        <v>174.05</v>
      </c>
      <c r="AL151">
        <v>966.96</v>
      </c>
      <c r="AM151">
        <v>1141</v>
      </c>
      <c r="AN151">
        <v>8</v>
      </c>
      <c r="AO151" t="s">
        <v>37</v>
      </c>
      <c r="AP151" t="s">
        <v>39</v>
      </c>
      <c r="AQ151">
        <v>10</v>
      </c>
      <c r="AR151">
        <v>204</v>
      </c>
      <c r="AS151" t="s">
        <v>84</v>
      </c>
      <c r="AT151">
        <v>0</v>
      </c>
      <c r="AU151" t="s">
        <v>199</v>
      </c>
      <c r="AV151" t="s">
        <v>82</v>
      </c>
      <c r="AW151" t="s">
        <v>23</v>
      </c>
      <c r="AX151" t="s">
        <v>24</v>
      </c>
      <c r="AY151" t="s">
        <v>38</v>
      </c>
      <c r="AZ151" t="s">
        <v>197</v>
      </c>
      <c r="BA151" t="s">
        <v>419</v>
      </c>
      <c r="BB151">
        <v>0</v>
      </c>
      <c r="BC151">
        <v>0</v>
      </c>
      <c r="BD151" t="s">
        <v>199</v>
      </c>
      <c r="BE151" t="s">
        <v>199</v>
      </c>
      <c r="BF151">
        <v>0</v>
      </c>
      <c r="BG151">
        <v>0</v>
      </c>
      <c r="BH151" t="s">
        <v>200</v>
      </c>
      <c r="BI151">
        <v>18</v>
      </c>
      <c r="BJ151">
        <v>6222440</v>
      </c>
      <c r="BK151" t="s">
        <v>201</v>
      </c>
      <c r="BL151" t="s">
        <v>190</v>
      </c>
    </row>
    <row r="152" spans="1:64" x14ac:dyDescent="0.3">
      <c r="A152">
        <v>270</v>
      </c>
      <c r="B152" t="s">
        <v>186</v>
      </c>
      <c r="C152">
        <v>3</v>
      </c>
      <c r="D152">
        <v>6226669</v>
      </c>
      <c r="E152" t="s">
        <v>382</v>
      </c>
      <c r="F152" t="s">
        <v>188</v>
      </c>
      <c r="G152">
        <v>10055577</v>
      </c>
      <c r="H152" s="35">
        <v>46070</v>
      </c>
      <c r="I152" s="35">
        <v>46070</v>
      </c>
      <c r="J152">
        <v>2026</v>
      </c>
      <c r="K152">
        <v>2</v>
      </c>
      <c r="L152" t="s">
        <v>242</v>
      </c>
      <c r="M152">
        <v>1</v>
      </c>
      <c r="N152" t="s">
        <v>190</v>
      </c>
      <c r="O152" t="s">
        <v>191</v>
      </c>
      <c r="P152" t="s">
        <v>199</v>
      </c>
      <c r="Q152" t="s">
        <v>199</v>
      </c>
      <c r="R152">
        <v>8</v>
      </c>
      <c r="S152">
        <v>17</v>
      </c>
      <c r="T152">
        <v>14167</v>
      </c>
      <c r="U152">
        <v>3</v>
      </c>
      <c r="V152" t="s">
        <v>208</v>
      </c>
      <c r="W152" t="s">
        <v>18</v>
      </c>
      <c r="X152" t="s">
        <v>19</v>
      </c>
      <c r="Y152" t="s">
        <v>20</v>
      </c>
      <c r="Z152" t="s">
        <v>20</v>
      </c>
      <c r="AA152">
        <v>91</v>
      </c>
      <c r="AB152">
        <v>101038</v>
      </c>
      <c r="AC152" t="s">
        <v>271</v>
      </c>
      <c r="AD152" t="s">
        <v>272</v>
      </c>
      <c r="AE152">
        <v>3</v>
      </c>
      <c r="AF152">
        <v>30</v>
      </c>
      <c r="AG152">
        <v>354.25</v>
      </c>
      <c r="AH152">
        <v>0</v>
      </c>
      <c r="AI152">
        <v>0</v>
      </c>
      <c r="AJ152">
        <v>0</v>
      </c>
      <c r="AK152">
        <v>1912.95</v>
      </c>
      <c r="AL152">
        <v>10627.5</v>
      </c>
      <c r="AM152">
        <v>12540</v>
      </c>
      <c r="AN152">
        <v>3</v>
      </c>
      <c r="AO152" t="s">
        <v>403</v>
      </c>
      <c r="AP152" t="s">
        <v>404</v>
      </c>
      <c r="AQ152">
        <v>10</v>
      </c>
      <c r="AR152">
        <v>105</v>
      </c>
      <c r="AS152" t="s">
        <v>85</v>
      </c>
      <c r="AT152">
        <v>677001</v>
      </c>
      <c r="AU152" t="s">
        <v>273</v>
      </c>
      <c r="AV152" t="s">
        <v>86</v>
      </c>
      <c r="AW152" t="s">
        <v>23</v>
      </c>
      <c r="AX152" t="s">
        <v>24</v>
      </c>
      <c r="AY152" t="s">
        <v>405</v>
      </c>
      <c r="AZ152" t="s">
        <v>197</v>
      </c>
      <c r="BA152" t="s">
        <v>420</v>
      </c>
      <c r="BB152">
        <v>0</v>
      </c>
      <c r="BC152">
        <v>0</v>
      </c>
      <c r="BD152" t="s">
        <v>199</v>
      </c>
      <c r="BE152" t="s">
        <v>199</v>
      </c>
      <c r="BF152">
        <v>0</v>
      </c>
      <c r="BG152">
        <v>0</v>
      </c>
      <c r="BH152" t="s">
        <v>200</v>
      </c>
      <c r="BI152">
        <v>13</v>
      </c>
      <c r="BJ152">
        <v>6226669</v>
      </c>
      <c r="BK152" t="s">
        <v>201</v>
      </c>
      <c r="BL152" t="s">
        <v>190</v>
      </c>
    </row>
    <row r="153" spans="1:64" x14ac:dyDescent="0.3">
      <c r="A153">
        <v>270</v>
      </c>
      <c r="B153" t="s">
        <v>186</v>
      </c>
      <c r="C153">
        <v>3</v>
      </c>
      <c r="D153">
        <v>6228980</v>
      </c>
      <c r="E153" t="s">
        <v>382</v>
      </c>
      <c r="F153" t="s">
        <v>188</v>
      </c>
      <c r="G153">
        <v>10057888</v>
      </c>
      <c r="H153" s="35">
        <v>46071</v>
      </c>
      <c r="I153" s="35">
        <v>46071</v>
      </c>
      <c r="J153">
        <v>2026</v>
      </c>
      <c r="K153">
        <v>2</v>
      </c>
      <c r="L153" t="s">
        <v>242</v>
      </c>
      <c r="M153">
        <v>1</v>
      </c>
      <c r="N153" t="s">
        <v>190</v>
      </c>
      <c r="O153" t="s">
        <v>191</v>
      </c>
      <c r="P153" t="s">
        <v>199</v>
      </c>
      <c r="Q153" t="s">
        <v>199</v>
      </c>
      <c r="R153">
        <v>8</v>
      </c>
      <c r="S153">
        <v>18</v>
      </c>
      <c r="T153">
        <v>2280</v>
      </c>
      <c r="U153">
        <v>3</v>
      </c>
      <c r="V153" t="s">
        <v>193</v>
      </c>
      <c r="W153" t="s">
        <v>29</v>
      </c>
      <c r="X153" t="s">
        <v>19</v>
      </c>
      <c r="Y153" t="s">
        <v>30</v>
      </c>
      <c r="Z153" t="s">
        <v>30</v>
      </c>
      <c r="AA153">
        <v>14</v>
      </c>
      <c r="AB153">
        <v>611055</v>
      </c>
      <c r="AC153" t="s">
        <v>300</v>
      </c>
      <c r="AD153" t="s">
        <v>301</v>
      </c>
      <c r="AE153">
        <v>2</v>
      </c>
      <c r="AF153">
        <v>8</v>
      </c>
      <c r="AG153">
        <v>78.319999999999993</v>
      </c>
      <c r="AH153">
        <v>0</v>
      </c>
      <c r="AI153">
        <v>0</v>
      </c>
      <c r="AJ153">
        <v>0</v>
      </c>
      <c r="AK153">
        <v>112.78</v>
      </c>
      <c r="AL153">
        <v>626.55999999999995</v>
      </c>
      <c r="AM153">
        <v>739</v>
      </c>
      <c r="AN153">
        <v>93</v>
      </c>
      <c r="AO153" t="s">
        <v>250</v>
      </c>
      <c r="AP153" t="s">
        <v>251</v>
      </c>
      <c r="AQ153">
        <v>10</v>
      </c>
      <c r="AR153">
        <v>114</v>
      </c>
      <c r="AS153" t="s">
        <v>79</v>
      </c>
      <c r="AT153">
        <v>66102</v>
      </c>
      <c r="AU153" t="s">
        <v>227</v>
      </c>
      <c r="AV153" t="s">
        <v>80</v>
      </c>
      <c r="AW153" t="s">
        <v>23</v>
      </c>
      <c r="AX153" t="s">
        <v>24</v>
      </c>
      <c r="AY153" t="s">
        <v>253</v>
      </c>
      <c r="AZ153" t="s">
        <v>197</v>
      </c>
      <c r="BA153" t="s">
        <v>421</v>
      </c>
      <c r="BB153">
        <v>0</v>
      </c>
      <c r="BC153">
        <v>0</v>
      </c>
      <c r="BD153" t="s">
        <v>199</v>
      </c>
      <c r="BE153" t="s">
        <v>199</v>
      </c>
      <c r="BF153">
        <v>0</v>
      </c>
      <c r="BG153">
        <v>0</v>
      </c>
      <c r="BH153" t="s">
        <v>200</v>
      </c>
      <c r="BI153">
        <v>13</v>
      </c>
      <c r="BJ153">
        <v>6228980</v>
      </c>
      <c r="BK153" t="s">
        <v>201</v>
      </c>
      <c r="BL153" t="s">
        <v>190</v>
      </c>
    </row>
    <row r="154" spans="1:64" x14ac:dyDescent="0.3">
      <c r="A154">
        <v>270</v>
      </c>
      <c r="B154" t="s">
        <v>186</v>
      </c>
      <c r="C154">
        <v>3</v>
      </c>
      <c r="D154">
        <v>6228980</v>
      </c>
      <c r="E154" t="s">
        <v>382</v>
      </c>
      <c r="F154" t="s">
        <v>188</v>
      </c>
      <c r="G154">
        <v>10057888</v>
      </c>
      <c r="H154" s="35">
        <v>46071</v>
      </c>
      <c r="I154" s="35">
        <v>46071</v>
      </c>
      <c r="J154">
        <v>2026</v>
      </c>
      <c r="K154">
        <v>2</v>
      </c>
      <c r="L154" t="s">
        <v>242</v>
      </c>
      <c r="M154">
        <v>1</v>
      </c>
      <c r="N154" t="s">
        <v>190</v>
      </c>
      <c r="O154" t="s">
        <v>191</v>
      </c>
      <c r="P154" t="s">
        <v>199</v>
      </c>
      <c r="Q154" t="s">
        <v>199</v>
      </c>
      <c r="R154">
        <v>8</v>
      </c>
      <c r="S154">
        <v>18</v>
      </c>
      <c r="T154">
        <v>2280</v>
      </c>
      <c r="U154">
        <v>3</v>
      </c>
      <c r="V154" t="s">
        <v>193</v>
      </c>
      <c r="W154" t="s">
        <v>29</v>
      </c>
      <c r="X154" t="s">
        <v>19</v>
      </c>
      <c r="Y154" t="s">
        <v>30</v>
      </c>
      <c r="Z154" t="s">
        <v>30</v>
      </c>
      <c r="AA154">
        <v>14</v>
      </c>
      <c r="AB154">
        <v>101028</v>
      </c>
      <c r="AC154" t="s">
        <v>325</v>
      </c>
      <c r="AD154" t="s">
        <v>326</v>
      </c>
      <c r="AE154">
        <v>0.33333333333332998</v>
      </c>
      <c r="AF154">
        <v>6</v>
      </c>
      <c r="AG154">
        <v>98.4</v>
      </c>
      <c r="AH154">
        <v>0</v>
      </c>
      <c r="AI154">
        <v>0</v>
      </c>
      <c r="AJ154">
        <v>0</v>
      </c>
      <c r="AK154">
        <v>106.27</v>
      </c>
      <c r="AL154">
        <v>590.4</v>
      </c>
      <c r="AM154">
        <v>697</v>
      </c>
      <c r="AN154">
        <v>93</v>
      </c>
      <c r="AO154" t="s">
        <v>250</v>
      </c>
      <c r="AP154" t="s">
        <v>251</v>
      </c>
      <c r="AQ154">
        <v>10</v>
      </c>
      <c r="AR154">
        <v>105</v>
      </c>
      <c r="AS154" t="s">
        <v>85</v>
      </c>
      <c r="AT154">
        <v>677001</v>
      </c>
      <c r="AU154" t="s">
        <v>273</v>
      </c>
      <c r="AV154" t="s">
        <v>86</v>
      </c>
      <c r="AW154" t="s">
        <v>23</v>
      </c>
      <c r="AX154" t="s">
        <v>24</v>
      </c>
      <c r="AY154" t="s">
        <v>253</v>
      </c>
      <c r="AZ154" t="s">
        <v>197</v>
      </c>
      <c r="BA154" t="s">
        <v>421</v>
      </c>
      <c r="BB154">
        <v>0</v>
      </c>
      <c r="BC154">
        <v>0</v>
      </c>
      <c r="BD154" t="s">
        <v>199</v>
      </c>
      <c r="BE154" t="s">
        <v>199</v>
      </c>
      <c r="BF154">
        <v>0</v>
      </c>
      <c r="BG154">
        <v>0</v>
      </c>
      <c r="BH154" t="s">
        <v>200</v>
      </c>
      <c r="BI154">
        <v>13</v>
      </c>
      <c r="BJ154">
        <v>6228980</v>
      </c>
      <c r="BK154" t="s">
        <v>201</v>
      </c>
      <c r="BL154" t="s">
        <v>190</v>
      </c>
    </row>
    <row r="155" spans="1:64" x14ac:dyDescent="0.3">
      <c r="A155">
        <v>270</v>
      </c>
      <c r="B155" t="s">
        <v>186</v>
      </c>
      <c r="C155">
        <v>3</v>
      </c>
      <c r="D155">
        <v>6228980</v>
      </c>
      <c r="E155" t="s">
        <v>382</v>
      </c>
      <c r="F155" t="s">
        <v>188</v>
      </c>
      <c r="G155">
        <v>10057888</v>
      </c>
      <c r="H155" s="35">
        <v>46071</v>
      </c>
      <c r="I155" s="35">
        <v>46071</v>
      </c>
      <c r="J155">
        <v>2026</v>
      </c>
      <c r="K155">
        <v>2</v>
      </c>
      <c r="L155" t="s">
        <v>242</v>
      </c>
      <c r="M155">
        <v>1</v>
      </c>
      <c r="N155" t="s">
        <v>190</v>
      </c>
      <c r="O155" t="s">
        <v>191</v>
      </c>
      <c r="P155" t="s">
        <v>199</v>
      </c>
      <c r="Q155" t="s">
        <v>199</v>
      </c>
      <c r="R155">
        <v>8</v>
      </c>
      <c r="S155">
        <v>18</v>
      </c>
      <c r="T155">
        <v>2280</v>
      </c>
      <c r="U155">
        <v>3</v>
      </c>
      <c r="V155" t="s">
        <v>193</v>
      </c>
      <c r="W155" t="s">
        <v>29</v>
      </c>
      <c r="X155" t="s">
        <v>19</v>
      </c>
      <c r="Y155" t="s">
        <v>30</v>
      </c>
      <c r="Z155" t="s">
        <v>30</v>
      </c>
      <c r="AA155">
        <v>14</v>
      </c>
      <c r="AB155">
        <v>101005</v>
      </c>
      <c r="AC155" t="s">
        <v>320</v>
      </c>
      <c r="AD155" t="s">
        <v>321</v>
      </c>
      <c r="AE155">
        <v>0.2</v>
      </c>
      <c r="AF155">
        <v>6</v>
      </c>
      <c r="AG155">
        <v>73.41</v>
      </c>
      <c r="AH155">
        <v>0</v>
      </c>
      <c r="AI155">
        <v>0</v>
      </c>
      <c r="AJ155">
        <v>0</v>
      </c>
      <c r="AK155">
        <v>79.28</v>
      </c>
      <c r="AL155">
        <v>440.46</v>
      </c>
      <c r="AM155">
        <v>520</v>
      </c>
      <c r="AN155">
        <v>93</v>
      </c>
      <c r="AO155" t="s">
        <v>250</v>
      </c>
      <c r="AP155" t="s">
        <v>251</v>
      </c>
      <c r="AQ155">
        <v>10</v>
      </c>
      <c r="AR155">
        <v>105</v>
      </c>
      <c r="AS155" t="s">
        <v>85</v>
      </c>
      <c r="AT155">
        <v>677001</v>
      </c>
      <c r="AU155" t="s">
        <v>273</v>
      </c>
      <c r="AV155" t="s">
        <v>86</v>
      </c>
      <c r="AW155" t="s">
        <v>23</v>
      </c>
      <c r="AX155" t="s">
        <v>24</v>
      </c>
      <c r="AY155" t="s">
        <v>253</v>
      </c>
      <c r="AZ155" t="s">
        <v>197</v>
      </c>
      <c r="BA155" t="s">
        <v>421</v>
      </c>
      <c r="BB155">
        <v>0</v>
      </c>
      <c r="BC155">
        <v>0</v>
      </c>
      <c r="BD155" t="s">
        <v>199</v>
      </c>
      <c r="BE155" t="s">
        <v>199</v>
      </c>
      <c r="BF155">
        <v>0</v>
      </c>
      <c r="BG155">
        <v>0</v>
      </c>
      <c r="BH155" t="s">
        <v>200</v>
      </c>
      <c r="BI155">
        <v>13</v>
      </c>
      <c r="BJ155">
        <v>6228980</v>
      </c>
      <c r="BK155" t="s">
        <v>201</v>
      </c>
      <c r="BL155" t="s">
        <v>190</v>
      </c>
    </row>
    <row r="156" spans="1:64" x14ac:dyDescent="0.3">
      <c r="A156">
        <v>242</v>
      </c>
      <c r="B156" t="s">
        <v>186</v>
      </c>
      <c r="C156">
        <v>3</v>
      </c>
      <c r="D156">
        <v>6231195</v>
      </c>
      <c r="E156" t="s">
        <v>275</v>
      </c>
      <c r="F156" t="s">
        <v>188</v>
      </c>
      <c r="G156">
        <v>10060103</v>
      </c>
      <c r="H156" s="35">
        <v>46072</v>
      </c>
      <c r="I156" s="35">
        <v>46072</v>
      </c>
      <c r="J156">
        <v>2026</v>
      </c>
      <c r="K156">
        <v>2</v>
      </c>
      <c r="L156" t="s">
        <v>242</v>
      </c>
      <c r="M156">
        <v>1</v>
      </c>
      <c r="N156" t="s">
        <v>190</v>
      </c>
      <c r="O156" t="s">
        <v>191</v>
      </c>
      <c r="P156" t="s">
        <v>199</v>
      </c>
      <c r="Q156" t="s">
        <v>199</v>
      </c>
      <c r="R156">
        <v>8</v>
      </c>
      <c r="S156">
        <v>19</v>
      </c>
      <c r="T156">
        <v>37594</v>
      </c>
      <c r="U156">
        <v>3</v>
      </c>
      <c r="V156" t="s">
        <v>234</v>
      </c>
      <c r="W156" t="s">
        <v>47</v>
      </c>
      <c r="X156" t="s">
        <v>19</v>
      </c>
      <c r="Y156" t="s">
        <v>30</v>
      </c>
      <c r="Z156" t="s">
        <v>30</v>
      </c>
      <c r="AA156">
        <v>72</v>
      </c>
      <c r="AB156">
        <v>101026</v>
      </c>
      <c r="AC156" t="s">
        <v>372</v>
      </c>
      <c r="AD156" t="s">
        <v>373</v>
      </c>
      <c r="AE156">
        <v>1</v>
      </c>
      <c r="AF156">
        <v>36</v>
      </c>
      <c r="AG156">
        <v>33.06</v>
      </c>
      <c r="AH156">
        <v>0</v>
      </c>
      <c r="AI156">
        <v>0</v>
      </c>
      <c r="AJ156">
        <v>0</v>
      </c>
      <c r="AK156">
        <v>214.23</v>
      </c>
      <c r="AL156">
        <v>1190.1600000000001</v>
      </c>
      <c r="AM156">
        <v>1404</v>
      </c>
      <c r="AN156">
        <v>95</v>
      </c>
      <c r="AO156" t="s">
        <v>237</v>
      </c>
      <c r="AP156" t="s">
        <v>238</v>
      </c>
      <c r="AQ156">
        <v>10</v>
      </c>
      <c r="AR156">
        <v>136</v>
      </c>
      <c r="AS156" t="s">
        <v>87</v>
      </c>
      <c r="AT156">
        <v>677001</v>
      </c>
      <c r="AU156" t="s">
        <v>273</v>
      </c>
      <c r="AV156" t="s">
        <v>86</v>
      </c>
      <c r="AW156" t="s">
        <v>50</v>
      </c>
      <c r="AX156" t="s">
        <v>51</v>
      </c>
      <c r="AY156" t="s">
        <v>239</v>
      </c>
      <c r="AZ156" t="s">
        <v>240</v>
      </c>
      <c r="BA156" t="s">
        <v>422</v>
      </c>
      <c r="BB156">
        <v>0</v>
      </c>
      <c r="BC156">
        <v>0</v>
      </c>
      <c r="BD156" t="s">
        <v>199</v>
      </c>
      <c r="BE156" t="s">
        <v>199</v>
      </c>
      <c r="BF156">
        <v>0</v>
      </c>
      <c r="BG156">
        <v>0</v>
      </c>
      <c r="BH156" t="s">
        <v>200</v>
      </c>
      <c r="BI156">
        <v>13</v>
      </c>
      <c r="BJ156">
        <v>6231195</v>
      </c>
      <c r="BK156" t="s">
        <v>201</v>
      </c>
      <c r="BL156" t="s">
        <v>190</v>
      </c>
    </row>
    <row r="157" spans="1:64" x14ac:dyDescent="0.3">
      <c r="A157">
        <v>242</v>
      </c>
      <c r="B157" t="s">
        <v>186</v>
      </c>
      <c r="C157">
        <v>3</v>
      </c>
      <c r="D157">
        <v>6231195</v>
      </c>
      <c r="E157" t="s">
        <v>275</v>
      </c>
      <c r="F157" t="s">
        <v>188</v>
      </c>
      <c r="G157">
        <v>10060103</v>
      </c>
      <c r="H157" s="35">
        <v>46072</v>
      </c>
      <c r="I157" s="35">
        <v>46072</v>
      </c>
      <c r="J157">
        <v>2026</v>
      </c>
      <c r="K157">
        <v>2</v>
      </c>
      <c r="L157" t="s">
        <v>242</v>
      </c>
      <c r="M157">
        <v>1</v>
      </c>
      <c r="N157" t="s">
        <v>203</v>
      </c>
      <c r="O157" t="s">
        <v>191</v>
      </c>
      <c r="P157" t="s">
        <v>199</v>
      </c>
      <c r="Q157" t="s">
        <v>199</v>
      </c>
      <c r="R157">
        <v>8</v>
      </c>
      <c r="S157">
        <v>19</v>
      </c>
      <c r="T157">
        <v>37594</v>
      </c>
      <c r="U157">
        <v>3</v>
      </c>
      <c r="V157" t="s">
        <v>234</v>
      </c>
      <c r="W157" t="s">
        <v>47</v>
      </c>
      <c r="X157" t="s">
        <v>19</v>
      </c>
      <c r="Y157" t="s">
        <v>30</v>
      </c>
      <c r="Z157" t="s">
        <v>30</v>
      </c>
      <c r="AA157">
        <v>72</v>
      </c>
      <c r="AB157">
        <v>925064</v>
      </c>
      <c r="AC157" t="s">
        <v>281</v>
      </c>
      <c r="AD157" t="s">
        <v>282</v>
      </c>
      <c r="AE157">
        <v>1</v>
      </c>
      <c r="AF157">
        <v>50</v>
      </c>
      <c r="AG157">
        <v>32.86</v>
      </c>
      <c r="AH157">
        <v>0</v>
      </c>
      <c r="AI157">
        <v>0</v>
      </c>
      <c r="AJ157">
        <v>0</v>
      </c>
      <c r="AK157">
        <v>295.74</v>
      </c>
      <c r="AL157">
        <v>1643</v>
      </c>
      <c r="AM157">
        <v>1939</v>
      </c>
      <c r="AN157">
        <v>95</v>
      </c>
      <c r="AO157" t="s">
        <v>237</v>
      </c>
      <c r="AP157" t="s">
        <v>238</v>
      </c>
      <c r="AQ157">
        <v>10</v>
      </c>
      <c r="AR157">
        <v>117</v>
      </c>
      <c r="AS157" t="s">
        <v>94</v>
      </c>
      <c r="AT157">
        <v>65104</v>
      </c>
      <c r="AU157" t="s">
        <v>283</v>
      </c>
      <c r="AV157" t="s">
        <v>95</v>
      </c>
      <c r="AW157" t="s">
        <v>50</v>
      </c>
      <c r="AX157" t="s">
        <v>51</v>
      </c>
      <c r="AY157" t="s">
        <v>239</v>
      </c>
      <c r="AZ157" t="s">
        <v>240</v>
      </c>
      <c r="BA157" t="s">
        <v>422</v>
      </c>
      <c r="BB157">
        <v>0</v>
      </c>
      <c r="BC157">
        <v>0</v>
      </c>
      <c r="BD157" t="s">
        <v>199</v>
      </c>
      <c r="BE157" t="s">
        <v>199</v>
      </c>
      <c r="BF157">
        <v>0</v>
      </c>
      <c r="BG157">
        <v>0</v>
      </c>
      <c r="BH157" t="s">
        <v>200</v>
      </c>
      <c r="BI157">
        <v>13</v>
      </c>
      <c r="BJ157">
        <v>6231195</v>
      </c>
      <c r="BK157" t="s">
        <v>201</v>
      </c>
      <c r="BL157" t="s">
        <v>190</v>
      </c>
    </row>
    <row r="158" spans="1:64" x14ac:dyDescent="0.3">
      <c r="A158">
        <v>242</v>
      </c>
      <c r="B158" t="s">
        <v>186</v>
      </c>
      <c r="C158">
        <v>3</v>
      </c>
      <c r="D158">
        <v>6231195</v>
      </c>
      <c r="E158" t="s">
        <v>275</v>
      </c>
      <c r="F158" t="s">
        <v>188</v>
      </c>
      <c r="G158">
        <v>10060103</v>
      </c>
      <c r="H158" s="35">
        <v>46072</v>
      </c>
      <c r="I158" s="35">
        <v>46072</v>
      </c>
      <c r="J158">
        <v>2026</v>
      </c>
      <c r="K158">
        <v>2</v>
      </c>
      <c r="L158" t="s">
        <v>242</v>
      </c>
      <c r="M158">
        <v>1</v>
      </c>
      <c r="N158" t="s">
        <v>190</v>
      </c>
      <c r="O158" t="s">
        <v>191</v>
      </c>
      <c r="P158" t="s">
        <v>199</v>
      </c>
      <c r="Q158" t="s">
        <v>199</v>
      </c>
      <c r="R158">
        <v>8</v>
      </c>
      <c r="S158">
        <v>19</v>
      </c>
      <c r="T158">
        <v>37594</v>
      </c>
      <c r="U158">
        <v>3</v>
      </c>
      <c r="V158" t="s">
        <v>234</v>
      </c>
      <c r="W158" t="s">
        <v>47</v>
      </c>
      <c r="X158" t="s">
        <v>19</v>
      </c>
      <c r="Y158" t="s">
        <v>30</v>
      </c>
      <c r="Z158" t="s">
        <v>30</v>
      </c>
      <c r="AA158">
        <v>72</v>
      </c>
      <c r="AB158">
        <v>103001</v>
      </c>
      <c r="AC158" t="s">
        <v>286</v>
      </c>
      <c r="AD158" t="s">
        <v>287</v>
      </c>
      <c r="AE158">
        <v>0.5</v>
      </c>
      <c r="AF158">
        <v>24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95</v>
      </c>
      <c r="AO158" t="s">
        <v>237</v>
      </c>
      <c r="AP158" t="s">
        <v>238</v>
      </c>
      <c r="AQ158">
        <v>10</v>
      </c>
      <c r="AR158">
        <v>107</v>
      </c>
      <c r="AS158" t="s">
        <v>96</v>
      </c>
      <c r="AT158">
        <v>6770651</v>
      </c>
      <c r="AU158" t="s">
        <v>288</v>
      </c>
      <c r="AV158" t="s">
        <v>86</v>
      </c>
      <c r="AW158" t="s">
        <v>50</v>
      </c>
      <c r="AX158" t="s">
        <v>51</v>
      </c>
      <c r="AY158" t="s">
        <v>239</v>
      </c>
      <c r="AZ158" t="s">
        <v>240</v>
      </c>
      <c r="BA158" t="s">
        <v>422</v>
      </c>
      <c r="BB158">
        <v>0</v>
      </c>
      <c r="BC158">
        <v>1</v>
      </c>
      <c r="BD158">
        <v>3374</v>
      </c>
      <c r="BE158" t="s">
        <v>390</v>
      </c>
      <c r="BF158">
        <v>0</v>
      </c>
      <c r="BG158">
        <v>0</v>
      </c>
      <c r="BH158" t="s">
        <v>200</v>
      </c>
      <c r="BI158">
        <v>13</v>
      </c>
      <c r="BJ158">
        <v>6231195</v>
      </c>
      <c r="BK158" t="s">
        <v>201</v>
      </c>
      <c r="BL158" t="s">
        <v>190</v>
      </c>
    </row>
    <row r="159" spans="1:64" x14ac:dyDescent="0.3">
      <c r="A159">
        <v>242</v>
      </c>
      <c r="B159" t="s">
        <v>186</v>
      </c>
      <c r="C159">
        <v>3</v>
      </c>
      <c r="D159">
        <v>6231195</v>
      </c>
      <c r="E159" t="s">
        <v>275</v>
      </c>
      <c r="F159" t="s">
        <v>188</v>
      </c>
      <c r="G159">
        <v>10060103</v>
      </c>
      <c r="H159" s="35">
        <v>46072</v>
      </c>
      <c r="I159" s="35">
        <v>46072</v>
      </c>
      <c r="J159">
        <v>2026</v>
      </c>
      <c r="K159">
        <v>2</v>
      </c>
      <c r="L159" t="s">
        <v>242</v>
      </c>
      <c r="M159">
        <v>1</v>
      </c>
      <c r="N159" t="s">
        <v>203</v>
      </c>
      <c r="O159" t="s">
        <v>191</v>
      </c>
      <c r="P159" t="s">
        <v>199</v>
      </c>
      <c r="Q159" t="s">
        <v>199</v>
      </c>
      <c r="R159">
        <v>8</v>
      </c>
      <c r="S159">
        <v>19</v>
      </c>
      <c r="T159">
        <v>37594</v>
      </c>
      <c r="U159">
        <v>3</v>
      </c>
      <c r="V159" t="s">
        <v>234</v>
      </c>
      <c r="W159" t="s">
        <v>47</v>
      </c>
      <c r="X159" t="s">
        <v>19</v>
      </c>
      <c r="Y159" t="s">
        <v>30</v>
      </c>
      <c r="Z159" t="s">
        <v>30</v>
      </c>
      <c r="AA159">
        <v>72</v>
      </c>
      <c r="AB159">
        <v>925065</v>
      </c>
      <c r="AC159" t="s">
        <v>414</v>
      </c>
      <c r="AD159" t="s">
        <v>415</v>
      </c>
      <c r="AE159">
        <v>0.08</v>
      </c>
      <c r="AF159">
        <v>4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95</v>
      </c>
      <c r="AO159" t="s">
        <v>237</v>
      </c>
      <c r="AP159" t="s">
        <v>238</v>
      </c>
      <c r="AQ159">
        <v>10</v>
      </c>
      <c r="AR159">
        <v>117</v>
      </c>
      <c r="AS159" t="s">
        <v>94</v>
      </c>
      <c r="AT159">
        <v>65104</v>
      </c>
      <c r="AU159" t="s">
        <v>283</v>
      </c>
      <c r="AV159" t="s">
        <v>95</v>
      </c>
      <c r="AW159" t="s">
        <v>50</v>
      </c>
      <c r="AX159" t="s">
        <v>51</v>
      </c>
      <c r="AY159" t="s">
        <v>239</v>
      </c>
      <c r="AZ159" t="s">
        <v>240</v>
      </c>
      <c r="BA159" t="s">
        <v>422</v>
      </c>
      <c r="BB159">
        <v>0</v>
      </c>
      <c r="BC159">
        <v>1</v>
      </c>
      <c r="BD159">
        <v>3384</v>
      </c>
      <c r="BE159" t="s">
        <v>416</v>
      </c>
      <c r="BF159">
        <v>0</v>
      </c>
      <c r="BG159">
        <v>0</v>
      </c>
      <c r="BH159" t="s">
        <v>200</v>
      </c>
      <c r="BI159">
        <v>13</v>
      </c>
      <c r="BJ159">
        <v>6231195</v>
      </c>
      <c r="BK159" t="s">
        <v>201</v>
      </c>
      <c r="BL159" t="s">
        <v>190</v>
      </c>
    </row>
    <row r="160" spans="1:64" x14ac:dyDescent="0.3">
      <c r="A160">
        <v>242</v>
      </c>
      <c r="B160" t="s">
        <v>186</v>
      </c>
      <c r="C160">
        <v>3</v>
      </c>
      <c r="D160">
        <v>6231195</v>
      </c>
      <c r="E160" t="s">
        <v>275</v>
      </c>
      <c r="F160" t="s">
        <v>188</v>
      </c>
      <c r="G160">
        <v>10060103</v>
      </c>
      <c r="H160" s="35">
        <v>46072</v>
      </c>
      <c r="I160" s="35">
        <v>46072</v>
      </c>
      <c r="J160">
        <v>2026</v>
      </c>
      <c r="K160">
        <v>2</v>
      </c>
      <c r="L160" t="s">
        <v>242</v>
      </c>
      <c r="M160">
        <v>1</v>
      </c>
      <c r="N160" t="s">
        <v>190</v>
      </c>
      <c r="O160" t="s">
        <v>191</v>
      </c>
      <c r="P160" t="s">
        <v>199</v>
      </c>
      <c r="Q160" t="s">
        <v>199</v>
      </c>
      <c r="R160">
        <v>8</v>
      </c>
      <c r="S160">
        <v>19</v>
      </c>
      <c r="T160">
        <v>37594</v>
      </c>
      <c r="U160">
        <v>3</v>
      </c>
      <c r="V160" t="s">
        <v>234</v>
      </c>
      <c r="W160" t="s">
        <v>47</v>
      </c>
      <c r="X160" t="s">
        <v>19</v>
      </c>
      <c r="Y160" t="s">
        <v>30</v>
      </c>
      <c r="Z160" t="s">
        <v>30</v>
      </c>
      <c r="AA160">
        <v>72</v>
      </c>
      <c r="AB160">
        <v>103001</v>
      </c>
      <c r="AC160" t="s">
        <v>286</v>
      </c>
      <c r="AD160" t="s">
        <v>287</v>
      </c>
      <c r="AE160">
        <v>3</v>
      </c>
      <c r="AF160">
        <v>144</v>
      </c>
      <c r="AG160">
        <v>21.36</v>
      </c>
      <c r="AH160">
        <v>0</v>
      </c>
      <c r="AI160">
        <v>0</v>
      </c>
      <c r="AJ160">
        <v>0</v>
      </c>
      <c r="AK160">
        <v>553.65</v>
      </c>
      <c r="AL160">
        <v>3075.84</v>
      </c>
      <c r="AM160">
        <v>3629</v>
      </c>
      <c r="AN160">
        <v>95</v>
      </c>
      <c r="AO160" t="s">
        <v>237</v>
      </c>
      <c r="AP160" t="s">
        <v>238</v>
      </c>
      <c r="AQ160">
        <v>10</v>
      </c>
      <c r="AR160">
        <v>107</v>
      </c>
      <c r="AS160" t="s">
        <v>96</v>
      </c>
      <c r="AT160">
        <v>6770651</v>
      </c>
      <c r="AU160" t="s">
        <v>288</v>
      </c>
      <c r="AV160" t="s">
        <v>86</v>
      </c>
      <c r="AW160" t="s">
        <v>50</v>
      </c>
      <c r="AX160" t="s">
        <v>51</v>
      </c>
      <c r="AY160" t="s">
        <v>239</v>
      </c>
      <c r="AZ160" t="s">
        <v>240</v>
      </c>
      <c r="BA160" t="s">
        <v>422</v>
      </c>
      <c r="BB160">
        <v>0</v>
      </c>
      <c r="BC160">
        <v>0</v>
      </c>
      <c r="BD160" t="s">
        <v>199</v>
      </c>
      <c r="BE160" t="s">
        <v>199</v>
      </c>
      <c r="BF160">
        <v>0</v>
      </c>
      <c r="BG160">
        <v>0</v>
      </c>
      <c r="BH160" t="s">
        <v>200</v>
      </c>
      <c r="BI160">
        <v>13</v>
      </c>
      <c r="BJ160">
        <v>6231195</v>
      </c>
      <c r="BK160" t="s">
        <v>201</v>
      </c>
      <c r="BL160" t="s">
        <v>190</v>
      </c>
    </row>
    <row r="161" spans="1:64" x14ac:dyDescent="0.3">
      <c r="A161">
        <v>254</v>
      </c>
      <c r="B161" t="s">
        <v>186</v>
      </c>
      <c r="C161">
        <v>3</v>
      </c>
      <c r="D161">
        <v>6233091</v>
      </c>
      <c r="E161" t="s">
        <v>297</v>
      </c>
      <c r="F161" t="s">
        <v>188</v>
      </c>
      <c r="G161">
        <v>10062000</v>
      </c>
      <c r="H161" s="35">
        <v>46073</v>
      </c>
      <c r="I161" s="35">
        <v>46073</v>
      </c>
      <c r="J161">
        <v>2026</v>
      </c>
      <c r="K161">
        <v>2</v>
      </c>
      <c r="L161" t="s">
        <v>242</v>
      </c>
      <c r="M161">
        <v>1</v>
      </c>
      <c r="N161" t="s">
        <v>190</v>
      </c>
      <c r="O161" t="s">
        <v>191</v>
      </c>
      <c r="P161" t="s">
        <v>199</v>
      </c>
      <c r="Q161" t="s">
        <v>199</v>
      </c>
      <c r="R161">
        <v>8</v>
      </c>
      <c r="S161">
        <v>20</v>
      </c>
      <c r="T161">
        <v>5474</v>
      </c>
      <c r="U161">
        <v>3</v>
      </c>
      <c r="V161" t="s">
        <v>298</v>
      </c>
      <c r="W161" t="s">
        <v>54</v>
      </c>
      <c r="X161" t="s">
        <v>19</v>
      </c>
      <c r="Y161" t="s">
        <v>55</v>
      </c>
      <c r="Z161" t="s">
        <v>56</v>
      </c>
      <c r="AA161">
        <v>70</v>
      </c>
      <c r="AB161">
        <v>611055</v>
      </c>
      <c r="AC161" t="s">
        <v>300</v>
      </c>
      <c r="AD161" t="s">
        <v>301</v>
      </c>
      <c r="AE161">
        <v>2</v>
      </c>
      <c r="AF161">
        <v>8</v>
      </c>
      <c r="AG161">
        <v>78.319999999999993</v>
      </c>
      <c r="AH161">
        <v>0</v>
      </c>
      <c r="AI161">
        <v>0</v>
      </c>
      <c r="AJ161">
        <v>0</v>
      </c>
      <c r="AK161">
        <v>112.78</v>
      </c>
      <c r="AL161">
        <v>626.55999999999995</v>
      </c>
      <c r="AM161">
        <v>739</v>
      </c>
      <c r="AN161">
        <v>94</v>
      </c>
      <c r="AO161" t="s">
        <v>64</v>
      </c>
      <c r="AP161" t="s">
        <v>66</v>
      </c>
      <c r="AQ161">
        <v>10</v>
      </c>
      <c r="AR161">
        <v>114</v>
      </c>
      <c r="AS161" t="s">
        <v>79</v>
      </c>
      <c r="AT161">
        <v>66102</v>
      </c>
      <c r="AU161" t="s">
        <v>227</v>
      </c>
      <c r="AV161" t="s">
        <v>80</v>
      </c>
      <c r="AW161" t="s">
        <v>50</v>
      </c>
      <c r="AX161" t="s">
        <v>51</v>
      </c>
      <c r="AY161" t="s">
        <v>65</v>
      </c>
      <c r="AZ161" t="s">
        <v>240</v>
      </c>
      <c r="BA161" t="s">
        <v>423</v>
      </c>
      <c r="BB161">
        <v>0</v>
      </c>
      <c r="BC161">
        <v>0</v>
      </c>
      <c r="BD161" t="s">
        <v>199</v>
      </c>
      <c r="BE161" t="s">
        <v>199</v>
      </c>
      <c r="BF161">
        <v>0</v>
      </c>
      <c r="BG161">
        <v>0</v>
      </c>
      <c r="BH161" t="s">
        <v>200</v>
      </c>
      <c r="BI161">
        <v>13</v>
      </c>
      <c r="BJ161">
        <v>6233091</v>
      </c>
      <c r="BK161" t="s">
        <v>201</v>
      </c>
      <c r="BL161" t="s">
        <v>190</v>
      </c>
    </row>
    <row r="162" spans="1:64" x14ac:dyDescent="0.3">
      <c r="A162">
        <v>270</v>
      </c>
      <c r="B162" t="s">
        <v>186</v>
      </c>
      <c r="C162">
        <v>3</v>
      </c>
      <c r="D162">
        <v>6233248</v>
      </c>
      <c r="E162" t="s">
        <v>382</v>
      </c>
      <c r="F162" t="s">
        <v>188</v>
      </c>
      <c r="G162">
        <v>10062157</v>
      </c>
      <c r="H162" s="35">
        <v>46073</v>
      </c>
      <c r="I162" s="35">
        <v>46073</v>
      </c>
      <c r="J162">
        <v>2026</v>
      </c>
      <c r="K162">
        <v>2</v>
      </c>
      <c r="L162" t="s">
        <v>242</v>
      </c>
      <c r="M162">
        <v>1</v>
      </c>
      <c r="N162" t="s">
        <v>190</v>
      </c>
      <c r="O162" t="s">
        <v>191</v>
      </c>
      <c r="P162" t="s">
        <v>199</v>
      </c>
      <c r="Q162" t="s">
        <v>199</v>
      </c>
      <c r="R162">
        <v>8</v>
      </c>
      <c r="S162">
        <v>20</v>
      </c>
      <c r="T162">
        <v>2280</v>
      </c>
      <c r="U162">
        <v>3</v>
      </c>
      <c r="V162" t="s">
        <v>193</v>
      </c>
      <c r="W162" t="s">
        <v>29</v>
      </c>
      <c r="X162" t="s">
        <v>19</v>
      </c>
      <c r="Y162" t="s">
        <v>30</v>
      </c>
      <c r="Z162" t="s">
        <v>30</v>
      </c>
      <c r="AA162">
        <v>14</v>
      </c>
      <c r="AB162">
        <v>103001</v>
      </c>
      <c r="AC162" t="s">
        <v>286</v>
      </c>
      <c r="AD162" t="s">
        <v>287</v>
      </c>
      <c r="AE162">
        <v>0.16666666666666</v>
      </c>
      <c r="AF162">
        <v>8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93</v>
      </c>
      <c r="AO162" t="s">
        <v>250</v>
      </c>
      <c r="AP162" t="s">
        <v>251</v>
      </c>
      <c r="AQ162">
        <v>10</v>
      </c>
      <c r="AR162">
        <v>107</v>
      </c>
      <c r="AS162" t="s">
        <v>96</v>
      </c>
      <c r="AT162">
        <v>6770651</v>
      </c>
      <c r="AU162" t="s">
        <v>288</v>
      </c>
      <c r="AV162" t="s">
        <v>86</v>
      </c>
      <c r="AW162" t="s">
        <v>23</v>
      </c>
      <c r="AX162" t="s">
        <v>24</v>
      </c>
      <c r="AY162" t="s">
        <v>253</v>
      </c>
      <c r="AZ162" t="s">
        <v>197</v>
      </c>
      <c r="BA162" t="s">
        <v>424</v>
      </c>
      <c r="BB162">
        <v>0</v>
      </c>
      <c r="BC162">
        <v>1</v>
      </c>
      <c r="BD162">
        <v>3374</v>
      </c>
      <c r="BE162" t="s">
        <v>390</v>
      </c>
      <c r="BF162">
        <v>0</v>
      </c>
      <c r="BG162">
        <v>0</v>
      </c>
      <c r="BH162" t="s">
        <v>200</v>
      </c>
      <c r="BI162">
        <v>13</v>
      </c>
      <c r="BJ162">
        <v>6233248</v>
      </c>
      <c r="BK162" t="s">
        <v>201</v>
      </c>
      <c r="BL162" t="s">
        <v>190</v>
      </c>
    </row>
    <row r="163" spans="1:64" x14ac:dyDescent="0.3">
      <c r="A163">
        <v>270</v>
      </c>
      <c r="B163" t="s">
        <v>186</v>
      </c>
      <c r="C163">
        <v>3</v>
      </c>
      <c r="D163">
        <v>6233248</v>
      </c>
      <c r="E163" t="s">
        <v>382</v>
      </c>
      <c r="F163" t="s">
        <v>188</v>
      </c>
      <c r="G163">
        <v>10062157</v>
      </c>
      <c r="H163" s="35">
        <v>46073</v>
      </c>
      <c r="I163" s="35">
        <v>46073</v>
      </c>
      <c r="J163">
        <v>2026</v>
      </c>
      <c r="K163">
        <v>2</v>
      </c>
      <c r="L163" t="s">
        <v>242</v>
      </c>
      <c r="M163">
        <v>1</v>
      </c>
      <c r="N163" t="s">
        <v>203</v>
      </c>
      <c r="O163" t="s">
        <v>191</v>
      </c>
      <c r="P163" t="s">
        <v>199</v>
      </c>
      <c r="Q163" t="s">
        <v>199</v>
      </c>
      <c r="R163">
        <v>8</v>
      </c>
      <c r="S163">
        <v>20</v>
      </c>
      <c r="T163">
        <v>2280</v>
      </c>
      <c r="U163">
        <v>3</v>
      </c>
      <c r="V163" t="s">
        <v>193</v>
      </c>
      <c r="W163" t="s">
        <v>29</v>
      </c>
      <c r="X163" t="s">
        <v>19</v>
      </c>
      <c r="Y163" t="s">
        <v>30</v>
      </c>
      <c r="Z163" t="s">
        <v>30</v>
      </c>
      <c r="AA163">
        <v>14</v>
      </c>
      <c r="AB163">
        <v>930012</v>
      </c>
      <c r="AC163" t="s">
        <v>312</v>
      </c>
      <c r="AD163" t="s">
        <v>313</v>
      </c>
      <c r="AE163">
        <v>0.1875</v>
      </c>
      <c r="AF163">
        <v>3</v>
      </c>
      <c r="AG163">
        <v>91.09</v>
      </c>
      <c r="AH163">
        <v>0</v>
      </c>
      <c r="AI163">
        <v>0</v>
      </c>
      <c r="AJ163">
        <v>0</v>
      </c>
      <c r="AK163">
        <v>49.19</v>
      </c>
      <c r="AL163">
        <v>273.27</v>
      </c>
      <c r="AM163">
        <v>322</v>
      </c>
      <c r="AN163">
        <v>93</v>
      </c>
      <c r="AO163" t="s">
        <v>250</v>
      </c>
      <c r="AP163" t="s">
        <v>251</v>
      </c>
      <c r="AQ163">
        <v>10</v>
      </c>
      <c r="AR163">
        <v>208</v>
      </c>
      <c r="AS163" t="s">
        <v>92</v>
      </c>
      <c r="AT163">
        <v>0</v>
      </c>
      <c r="AU163" t="s">
        <v>199</v>
      </c>
      <c r="AV163" t="s">
        <v>82</v>
      </c>
      <c r="AW163" t="s">
        <v>23</v>
      </c>
      <c r="AX163" t="s">
        <v>24</v>
      </c>
      <c r="AY163" t="s">
        <v>253</v>
      </c>
      <c r="AZ163" t="s">
        <v>197</v>
      </c>
      <c r="BA163" t="s">
        <v>424</v>
      </c>
      <c r="BB163">
        <v>0</v>
      </c>
      <c r="BC163">
        <v>0</v>
      </c>
      <c r="BD163" t="s">
        <v>199</v>
      </c>
      <c r="BE163" t="s">
        <v>199</v>
      </c>
      <c r="BF163">
        <v>0</v>
      </c>
      <c r="BG163">
        <v>0</v>
      </c>
      <c r="BH163" t="s">
        <v>200</v>
      </c>
      <c r="BI163">
        <v>13</v>
      </c>
      <c r="BJ163">
        <v>6233248</v>
      </c>
      <c r="BK163" t="s">
        <v>201</v>
      </c>
      <c r="BL163" t="s">
        <v>190</v>
      </c>
    </row>
    <row r="164" spans="1:64" x14ac:dyDescent="0.3">
      <c r="A164">
        <v>270</v>
      </c>
      <c r="B164" t="s">
        <v>186</v>
      </c>
      <c r="C164">
        <v>3</v>
      </c>
      <c r="D164">
        <v>6233248</v>
      </c>
      <c r="E164" t="s">
        <v>382</v>
      </c>
      <c r="F164" t="s">
        <v>188</v>
      </c>
      <c r="G164">
        <v>10062157</v>
      </c>
      <c r="H164" s="35">
        <v>46073</v>
      </c>
      <c r="I164" s="35">
        <v>46073</v>
      </c>
      <c r="J164">
        <v>2026</v>
      </c>
      <c r="K164">
        <v>2</v>
      </c>
      <c r="L164" t="s">
        <v>242</v>
      </c>
      <c r="M164">
        <v>1</v>
      </c>
      <c r="N164" t="s">
        <v>190</v>
      </c>
      <c r="O164" t="s">
        <v>191</v>
      </c>
      <c r="P164" t="s">
        <v>199</v>
      </c>
      <c r="Q164" t="s">
        <v>199</v>
      </c>
      <c r="R164">
        <v>8</v>
      </c>
      <c r="S164">
        <v>20</v>
      </c>
      <c r="T164">
        <v>2280</v>
      </c>
      <c r="U164">
        <v>3</v>
      </c>
      <c r="V164" t="s">
        <v>193</v>
      </c>
      <c r="W164" t="s">
        <v>29</v>
      </c>
      <c r="X164" t="s">
        <v>19</v>
      </c>
      <c r="Y164" t="s">
        <v>30</v>
      </c>
      <c r="Z164" t="s">
        <v>30</v>
      </c>
      <c r="AA164">
        <v>14</v>
      </c>
      <c r="AB164">
        <v>103001</v>
      </c>
      <c r="AC164" t="s">
        <v>286</v>
      </c>
      <c r="AD164" t="s">
        <v>287</v>
      </c>
      <c r="AE164">
        <v>1</v>
      </c>
      <c r="AF164">
        <v>48</v>
      </c>
      <c r="AG164">
        <v>21.36</v>
      </c>
      <c r="AH164">
        <v>0</v>
      </c>
      <c r="AI164">
        <v>0</v>
      </c>
      <c r="AJ164">
        <v>0</v>
      </c>
      <c r="AK164">
        <v>184.55</v>
      </c>
      <c r="AL164">
        <v>1025.28</v>
      </c>
      <c r="AM164">
        <v>1210</v>
      </c>
      <c r="AN164">
        <v>93</v>
      </c>
      <c r="AO164" t="s">
        <v>250</v>
      </c>
      <c r="AP164" t="s">
        <v>251</v>
      </c>
      <c r="AQ164">
        <v>10</v>
      </c>
      <c r="AR164">
        <v>107</v>
      </c>
      <c r="AS164" t="s">
        <v>96</v>
      </c>
      <c r="AT164">
        <v>6770651</v>
      </c>
      <c r="AU164" t="s">
        <v>288</v>
      </c>
      <c r="AV164" t="s">
        <v>86</v>
      </c>
      <c r="AW164" t="s">
        <v>23</v>
      </c>
      <c r="AX164" t="s">
        <v>24</v>
      </c>
      <c r="AY164" t="s">
        <v>253</v>
      </c>
      <c r="AZ164" t="s">
        <v>197</v>
      </c>
      <c r="BA164" t="s">
        <v>424</v>
      </c>
      <c r="BB164">
        <v>0</v>
      </c>
      <c r="BC164">
        <v>0</v>
      </c>
      <c r="BD164" t="s">
        <v>199</v>
      </c>
      <c r="BE164" t="s">
        <v>199</v>
      </c>
      <c r="BF164">
        <v>0</v>
      </c>
      <c r="BG164">
        <v>0</v>
      </c>
      <c r="BH164" t="s">
        <v>200</v>
      </c>
      <c r="BI164">
        <v>13</v>
      </c>
      <c r="BJ164">
        <v>6233248</v>
      </c>
      <c r="BK164" t="s">
        <v>201</v>
      </c>
      <c r="BL164" t="s">
        <v>190</v>
      </c>
    </row>
    <row r="165" spans="1:64" x14ac:dyDescent="0.3">
      <c r="A165">
        <v>270</v>
      </c>
      <c r="B165" t="s">
        <v>186</v>
      </c>
      <c r="C165">
        <v>3</v>
      </c>
      <c r="D165">
        <v>6233249</v>
      </c>
      <c r="E165" t="s">
        <v>382</v>
      </c>
      <c r="F165" t="s">
        <v>188</v>
      </c>
      <c r="G165">
        <v>10062158</v>
      </c>
      <c r="H165" s="35">
        <v>46073</v>
      </c>
      <c r="I165" s="35">
        <v>46073</v>
      </c>
      <c r="J165">
        <v>2026</v>
      </c>
      <c r="K165">
        <v>2</v>
      </c>
      <c r="L165" t="s">
        <v>242</v>
      </c>
      <c r="M165">
        <v>1</v>
      </c>
      <c r="N165" t="s">
        <v>190</v>
      </c>
      <c r="O165" t="s">
        <v>191</v>
      </c>
      <c r="P165" t="s">
        <v>199</v>
      </c>
      <c r="Q165" t="s">
        <v>199</v>
      </c>
      <c r="R165">
        <v>8</v>
      </c>
      <c r="S165">
        <v>20</v>
      </c>
      <c r="T165">
        <v>2280</v>
      </c>
      <c r="U165">
        <v>3</v>
      </c>
      <c r="V165" t="s">
        <v>193</v>
      </c>
      <c r="W165" t="s">
        <v>29</v>
      </c>
      <c r="X165" t="s">
        <v>19</v>
      </c>
      <c r="Y165" t="s">
        <v>30</v>
      </c>
      <c r="Z165" t="s">
        <v>30</v>
      </c>
      <c r="AA165">
        <v>14</v>
      </c>
      <c r="AB165">
        <v>103001</v>
      </c>
      <c r="AC165" t="s">
        <v>286</v>
      </c>
      <c r="AD165" t="s">
        <v>287</v>
      </c>
      <c r="AE165">
        <v>1</v>
      </c>
      <c r="AF165">
        <v>48</v>
      </c>
      <c r="AG165">
        <v>21.36</v>
      </c>
      <c r="AH165">
        <v>0</v>
      </c>
      <c r="AI165">
        <v>0</v>
      </c>
      <c r="AJ165">
        <v>0</v>
      </c>
      <c r="AK165">
        <v>184.55</v>
      </c>
      <c r="AL165">
        <v>1025.28</v>
      </c>
      <c r="AM165">
        <v>1210</v>
      </c>
      <c r="AN165">
        <v>93</v>
      </c>
      <c r="AO165" t="s">
        <v>250</v>
      </c>
      <c r="AP165" t="s">
        <v>251</v>
      </c>
      <c r="AQ165">
        <v>10</v>
      </c>
      <c r="AR165">
        <v>107</v>
      </c>
      <c r="AS165" t="s">
        <v>96</v>
      </c>
      <c r="AT165">
        <v>6770651</v>
      </c>
      <c r="AU165" t="s">
        <v>288</v>
      </c>
      <c r="AV165" t="s">
        <v>86</v>
      </c>
      <c r="AW165" t="s">
        <v>23</v>
      </c>
      <c r="AX165" t="s">
        <v>24</v>
      </c>
      <c r="AY165" t="s">
        <v>253</v>
      </c>
      <c r="AZ165" t="s">
        <v>197</v>
      </c>
      <c r="BA165" t="s">
        <v>425</v>
      </c>
      <c r="BB165">
        <v>0</v>
      </c>
      <c r="BC165">
        <v>0</v>
      </c>
      <c r="BD165" t="s">
        <v>199</v>
      </c>
      <c r="BE165" t="s">
        <v>199</v>
      </c>
      <c r="BF165">
        <v>0</v>
      </c>
      <c r="BG165">
        <v>0</v>
      </c>
      <c r="BH165" t="s">
        <v>200</v>
      </c>
      <c r="BI165">
        <v>13</v>
      </c>
      <c r="BJ165">
        <v>6233249</v>
      </c>
      <c r="BK165" t="s">
        <v>201</v>
      </c>
      <c r="BL165" t="s">
        <v>190</v>
      </c>
    </row>
    <row r="166" spans="1:64" x14ac:dyDescent="0.3">
      <c r="A166">
        <v>270</v>
      </c>
      <c r="B166" t="s">
        <v>186</v>
      </c>
      <c r="C166">
        <v>3</v>
      </c>
      <c r="D166">
        <v>6233249</v>
      </c>
      <c r="E166" t="s">
        <v>382</v>
      </c>
      <c r="F166" t="s">
        <v>188</v>
      </c>
      <c r="G166">
        <v>10062158</v>
      </c>
      <c r="H166" s="35">
        <v>46073</v>
      </c>
      <c r="I166" s="35">
        <v>46073</v>
      </c>
      <c r="J166">
        <v>2026</v>
      </c>
      <c r="K166">
        <v>2</v>
      </c>
      <c r="L166" t="s">
        <v>242</v>
      </c>
      <c r="M166">
        <v>1</v>
      </c>
      <c r="N166" t="s">
        <v>190</v>
      </c>
      <c r="O166" t="s">
        <v>191</v>
      </c>
      <c r="P166" t="s">
        <v>199</v>
      </c>
      <c r="Q166" t="s">
        <v>199</v>
      </c>
      <c r="R166">
        <v>8</v>
      </c>
      <c r="S166">
        <v>20</v>
      </c>
      <c r="T166">
        <v>2280</v>
      </c>
      <c r="U166">
        <v>3</v>
      </c>
      <c r="V166" t="s">
        <v>193</v>
      </c>
      <c r="W166" t="s">
        <v>29</v>
      </c>
      <c r="X166" t="s">
        <v>19</v>
      </c>
      <c r="Y166" t="s">
        <v>30</v>
      </c>
      <c r="Z166" t="s">
        <v>30</v>
      </c>
      <c r="AA166">
        <v>14</v>
      </c>
      <c r="AB166">
        <v>103001</v>
      </c>
      <c r="AC166" t="s">
        <v>286</v>
      </c>
      <c r="AD166" t="s">
        <v>287</v>
      </c>
      <c r="AE166">
        <v>0.16666666666666</v>
      </c>
      <c r="AF166">
        <v>8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93</v>
      </c>
      <c r="AO166" t="s">
        <v>250</v>
      </c>
      <c r="AP166" t="s">
        <v>251</v>
      </c>
      <c r="AQ166">
        <v>10</v>
      </c>
      <c r="AR166">
        <v>107</v>
      </c>
      <c r="AS166" t="s">
        <v>96</v>
      </c>
      <c r="AT166">
        <v>6770651</v>
      </c>
      <c r="AU166" t="s">
        <v>288</v>
      </c>
      <c r="AV166" t="s">
        <v>86</v>
      </c>
      <c r="AW166" t="s">
        <v>23</v>
      </c>
      <c r="AX166" t="s">
        <v>24</v>
      </c>
      <c r="AY166" t="s">
        <v>253</v>
      </c>
      <c r="AZ166" t="s">
        <v>197</v>
      </c>
      <c r="BA166" t="s">
        <v>425</v>
      </c>
      <c r="BB166">
        <v>0</v>
      </c>
      <c r="BC166">
        <v>1</v>
      </c>
      <c r="BD166">
        <v>3374</v>
      </c>
      <c r="BE166" t="s">
        <v>390</v>
      </c>
      <c r="BF166">
        <v>0</v>
      </c>
      <c r="BG166">
        <v>0</v>
      </c>
      <c r="BH166" t="s">
        <v>200</v>
      </c>
      <c r="BI166">
        <v>13</v>
      </c>
      <c r="BJ166">
        <v>6233249</v>
      </c>
      <c r="BK166" t="s">
        <v>201</v>
      </c>
      <c r="BL166" t="s">
        <v>190</v>
      </c>
    </row>
    <row r="167" spans="1:64" x14ac:dyDescent="0.3">
      <c r="A167">
        <v>242</v>
      </c>
      <c r="B167" t="s">
        <v>186</v>
      </c>
      <c r="C167">
        <v>3</v>
      </c>
      <c r="D167">
        <v>6235750</v>
      </c>
      <c r="E167" t="s">
        <v>275</v>
      </c>
      <c r="F167" t="s">
        <v>188</v>
      </c>
      <c r="G167">
        <v>10064659</v>
      </c>
      <c r="H167" s="35">
        <v>46074</v>
      </c>
      <c r="I167" s="35">
        <v>46074</v>
      </c>
      <c r="J167">
        <v>2026</v>
      </c>
      <c r="K167">
        <v>2</v>
      </c>
      <c r="L167" t="s">
        <v>242</v>
      </c>
      <c r="M167">
        <v>1</v>
      </c>
      <c r="N167" t="s">
        <v>190</v>
      </c>
      <c r="O167" t="s">
        <v>191</v>
      </c>
      <c r="P167" t="s">
        <v>199</v>
      </c>
      <c r="Q167" t="s">
        <v>199</v>
      </c>
      <c r="R167">
        <v>8</v>
      </c>
      <c r="S167">
        <v>21</v>
      </c>
      <c r="T167">
        <v>2280</v>
      </c>
      <c r="U167">
        <v>3</v>
      </c>
      <c r="V167" t="s">
        <v>193</v>
      </c>
      <c r="W167" t="s">
        <v>29</v>
      </c>
      <c r="X167" t="s">
        <v>19</v>
      </c>
      <c r="Y167" t="s">
        <v>30</v>
      </c>
      <c r="Z167" t="s">
        <v>30</v>
      </c>
      <c r="AA167">
        <v>14</v>
      </c>
      <c r="AB167">
        <v>101028</v>
      </c>
      <c r="AC167" t="s">
        <v>325</v>
      </c>
      <c r="AD167" t="s">
        <v>326</v>
      </c>
      <c r="AE167">
        <v>1</v>
      </c>
      <c r="AF167">
        <v>18</v>
      </c>
      <c r="AG167">
        <v>98.4</v>
      </c>
      <c r="AH167">
        <v>0</v>
      </c>
      <c r="AI167">
        <v>0</v>
      </c>
      <c r="AJ167">
        <v>0</v>
      </c>
      <c r="AK167">
        <v>318.82</v>
      </c>
      <c r="AL167">
        <v>1771.2</v>
      </c>
      <c r="AM167">
        <v>2090</v>
      </c>
      <c r="AN167">
        <v>93</v>
      </c>
      <c r="AO167" t="s">
        <v>250</v>
      </c>
      <c r="AP167" t="s">
        <v>251</v>
      </c>
      <c r="AQ167">
        <v>10</v>
      </c>
      <c r="AR167">
        <v>105</v>
      </c>
      <c r="AS167" t="s">
        <v>85</v>
      </c>
      <c r="AT167">
        <v>677001</v>
      </c>
      <c r="AU167" t="s">
        <v>273</v>
      </c>
      <c r="AV167" t="s">
        <v>86</v>
      </c>
      <c r="AW167" t="s">
        <v>23</v>
      </c>
      <c r="AX167" t="s">
        <v>24</v>
      </c>
      <c r="AY167" t="s">
        <v>253</v>
      </c>
      <c r="AZ167" t="s">
        <v>197</v>
      </c>
      <c r="BA167" t="s">
        <v>426</v>
      </c>
      <c r="BB167">
        <v>0</v>
      </c>
      <c r="BC167">
        <v>0</v>
      </c>
      <c r="BD167" t="s">
        <v>199</v>
      </c>
      <c r="BE167" t="s">
        <v>199</v>
      </c>
      <c r="BF167">
        <v>0</v>
      </c>
      <c r="BG167">
        <v>0</v>
      </c>
      <c r="BH167" t="s">
        <v>200</v>
      </c>
      <c r="BI167">
        <v>13</v>
      </c>
      <c r="BJ167">
        <v>6235750</v>
      </c>
      <c r="BK167" t="s">
        <v>201</v>
      </c>
      <c r="BL167" t="s">
        <v>190</v>
      </c>
    </row>
    <row r="168" spans="1:64" x14ac:dyDescent="0.3">
      <c r="A168">
        <v>242</v>
      </c>
      <c r="B168" t="s">
        <v>186</v>
      </c>
      <c r="C168">
        <v>3</v>
      </c>
      <c r="D168">
        <v>6235750</v>
      </c>
      <c r="E168" t="s">
        <v>275</v>
      </c>
      <c r="F168" t="s">
        <v>188</v>
      </c>
      <c r="G168">
        <v>10064659</v>
      </c>
      <c r="H168" s="35">
        <v>46074</v>
      </c>
      <c r="I168" s="35">
        <v>46074</v>
      </c>
      <c r="J168">
        <v>2026</v>
      </c>
      <c r="K168">
        <v>2</v>
      </c>
      <c r="L168" t="s">
        <v>242</v>
      </c>
      <c r="M168">
        <v>1</v>
      </c>
      <c r="N168" t="s">
        <v>190</v>
      </c>
      <c r="O168" t="s">
        <v>191</v>
      </c>
      <c r="P168" t="s">
        <v>199</v>
      </c>
      <c r="Q168" t="s">
        <v>199</v>
      </c>
      <c r="R168">
        <v>8</v>
      </c>
      <c r="S168">
        <v>21</v>
      </c>
      <c r="T168">
        <v>2280</v>
      </c>
      <c r="U168">
        <v>3</v>
      </c>
      <c r="V168" t="s">
        <v>193</v>
      </c>
      <c r="W168" t="s">
        <v>29</v>
      </c>
      <c r="X168" t="s">
        <v>19</v>
      </c>
      <c r="Y168" t="s">
        <v>30</v>
      </c>
      <c r="Z168" t="s">
        <v>30</v>
      </c>
      <c r="AA168">
        <v>14</v>
      </c>
      <c r="AB168">
        <v>101005</v>
      </c>
      <c r="AC168" t="s">
        <v>320</v>
      </c>
      <c r="AD168" t="s">
        <v>321</v>
      </c>
      <c r="AE168">
        <v>1</v>
      </c>
      <c r="AF168">
        <v>30</v>
      </c>
      <c r="AG168">
        <v>73.41</v>
      </c>
      <c r="AH168">
        <v>0</v>
      </c>
      <c r="AI168">
        <v>0</v>
      </c>
      <c r="AJ168">
        <v>0</v>
      </c>
      <c r="AK168">
        <v>396.41</v>
      </c>
      <c r="AL168">
        <v>2202.3000000000002</v>
      </c>
      <c r="AM168">
        <v>2599</v>
      </c>
      <c r="AN168">
        <v>93</v>
      </c>
      <c r="AO168" t="s">
        <v>250</v>
      </c>
      <c r="AP168" t="s">
        <v>251</v>
      </c>
      <c r="AQ168">
        <v>10</v>
      </c>
      <c r="AR168">
        <v>105</v>
      </c>
      <c r="AS168" t="s">
        <v>85</v>
      </c>
      <c r="AT168">
        <v>677001</v>
      </c>
      <c r="AU168" t="s">
        <v>273</v>
      </c>
      <c r="AV168" t="s">
        <v>86</v>
      </c>
      <c r="AW168" t="s">
        <v>23</v>
      </c>
      <c r="AX168" t="s">
        <v>24</v>
      </c>
      <c r="AY168" t="s">
        <v>253</v>
      </c>
      <c r="AZ168" t="s">
        <v>197</v>
      </c>
      <c r="BA168" t="s">
        <v>426</v>
      </c>
      <c r="BB168">
        <v>0</v>
      </c>
      <c r="BC168">
        <v>0</v>
      </c>
      <c r="BD168" t="s">
        <v>199</v>
      </c>
      <c r="BE168" t="s">
        <v>199</v>
      </c>
      <c r="BF168">
        <v>0</v>
      </c>
      <c r="BG168">
        <v>0</v>
      </c>
      <c r="BH168" t="s">
        <v>200</v>
      </c>
      <c r="BI168">
        <v>13</v>
      </c>
      <c r="BJ168">
        <v>6235750</v>
      </c>
      <c r="BK168" t="s">
        <v>201</v>
      </c>
      <c r="BL168" t="s">
        <v>190</v>
      </c>
    </row>
    <row r="169" spans="1:64" x14ac:dyDescent="0.3">
      <c r="A169">
        <v>109</v>
      </c>
      <c r="B169" t="s">
        <v>186</v>
      </c>
      <c r="C169">
        <v>3</v>
      </c>
      <c r="D169">
        <v>6237373</v>
      </c>
      <c r="E169" t="s">
        <v>187</v>
      </c>
      <c r="F169" t="s">
        <v>188</v>
      </c>
      <c r="G169">
        <v>10066282</v>
      </c>
      <c r="H169" s="35">
        <v>46076</v>
      </c>
      <c r="I169" s="35">
        <v>46076</v>
      </c>
      <c r="J169">
        <v>2026</v>
      </c>
      <c r="K169">
        <v>2</v>
      </c>
      <c r="L169" t="s">
        <v>242</v>
      </c>
      <c r="M169">
        <v>1</v>
      </c>
      <c r="N169" t="s">
        <v>190</v>
      </c>
      <c r="O169" t="s">
        <v>191</v>
      </c>
      <c r="P169" t="s">
        <v>199</v>
      </c>
      <c r="Q169" t="s">
        <v>199</v>
      </c>
      <c r="R169">
        <v>9</v>
      </c>
      <c r="S169">
        <v>23</v>
      </c>
      <c r="T169">
        <v>2280</v>
      </c>
      <c r="U169">
        <v>3</v>
      </c>
      <c r="V169" t="s">
        <v>193</v>
      </c>
      <c r="W169" t="s">
        <v>29</v>
      </c>
      <c r="X169" t="s">
        <v>19</v>
      </c>
      <c r="Y169" t="s">
        <v>30</v>
      </c>
      <c r="Z169" t="s">
        <v>30</v>
      </c>
      <c r="AA169">
        <v>14</v>
      </c>
      <c r="AB169">
        <v>101038</v>
      </c>
      <c r="AC169" t="s">
        <v>271</v>
      </c>
      <c r="AD169" t="s">
        <v>272</v>
      </c>
      <c r="AE169">
        <v>0.2</v>
      </c>
      <c r="AF169">
        <v>2</v>
      </c>
      <c r="AG169">
        <v>357.83</v>
      </c>
      <c r="AH169">
        <v>0</v>
      </c>
      <c r="AI169">
        <v>0</v>
      </c>
      <c r="AJ169">
        <v>0</v>
      </c>
      <c r="AK169">
        <v>128.82</v>
      </c>
      <c r="AL169">
        <v>715.66</v>
      </c>
      <c r="AM169">
        <v>844</v>
      </c>
      <c r="AN169">
        <v>93</v>
      </c>
      <c r="AO169" t="s">
        <v>250</v>
      </c>
      <c r="AP169" t="s">
        <v>251</v>
      </c>
      <c r="AQ169">
        <v>10</v>
      </c>
      <c r="AR169">
        <v>105</v>
      </c>
      <c r="AS169" t="s">
        <v>85</v>
      </c>
      <c r="AT169">
        <v>677001</v>
      </c>
      <c r="AU169" t="s">
        <v>273</v>
      </c>
      <c r="AV169" t="s">
        <v>86</v>
      </c>
      <c r="AW169" t="s">
        <v>23</v>
      </c>
      <c r="AX169" t="s">
        <v>24</v>
      </c>
      <c r="AY169" t="s">
        <v>253</v>
      </c>
      <c r="AZ169" t="s">
        <v>197</v>
      </c>
      <c r="BA169" t="s">
        <v>427</v>
      </c>
      <c r="BB169">
        <v>0</v>
      </c>
      <c r="BC169">
        <v>0</v>
      </c>
      <c r="BD169" t="s">
        <v>199</v>
      </c>
      <c r="BE169" t="s">
        <v>199</v>
      </c>
      <c r="BF169">
        <v>0</v>
      </c>
      <c r="BG169">
        <v>0</v>
      </c>
      <c r="BH169" t="s">
        <v>200</v>
      </c>
      <c r="BI169">
        <v>13</v>
      </c>
      <c r="BJ169">
        <v>6237373</v>
      </c>
      <c r="BK169" t="s">
        <v>201</v>
      </c>
      <c r="BL169" t="s">
        <v>190</v>
      </c>
    </row>
    <row r="170" spans="1:64" x14ac:dyDescent="0.3">
      <c r="A170">
        <v>109</v>
      </c>
      <c r="B170" t="s">
        <v>186</v>
      </c>
      <c r="C170">
        <v>3</v>
      </c>
      <c r="D170">
        <v>6237373</v>
      </c>
      <c r="E170" t="s">
        <v>187</v>
      </c>
      <c r="F170" t="s">
        <v>188</v>
      </c>
      <c r="G170">
        <v>10066282</v>
      </c>
      <c r="H170" s="35">
        <v>46076</v>
      </c>
      <c r="I170" s="35">
        <v>46076</v>
      </c>
      <c r="J170">
        <v>2026</v>
      </c>
      <c r="K170">
        <v>2</v>
      </c>
      <c r="L170" t="s">
        <v>242</v>
      </c>
      <c r="M170">
        <v>1</v>
      </c>
      <c r="N170" t="s">
        <v>190</v>
      </c>
      <c r="O170" t="s">
        <v>191</v>
      </c>
      <c r="P170" t="s">
        <v>199</v>
      </c>
      <c r="Q170" t="s">
        <v>199</v>
      </c>
      <c r="R170">
        <v>9</v>
      </c>
      <c r="S170">
        <v>23</v>
      </c>
      <c r="T170">
        <v>2280</v>
      </c>
      <c r="U170">
        <v>3</v>
      </c>
      <c r="V170" t="s">
        <v>193</v>
      </c>
      <c r="W170" t="s">
        <v>29</v>
      </c>
      <c r="X170" t="s">
        <v>19</v>
      </c>
      <c r="Y170" t="s">
        <v>30</v>
      </c>
      <c r="Z170" t="s">
        <v>30</v>
      </c>
      <c r="AA170">
        <v>14</v>
      </c>
      <c r="AB170">
        <v>101028</v>
      </c>
      <c r="AC170" t="s">
        <v>325</v>
      </c>
      <c r="AD170" t="s">
        <v>326</v>
      </c>
      <c r="AE170">
        <v>0.44444444444443998</v>
      </c>
      <c r="AF170">
        <v>8</v>
      </c>
      <c r="AG170">
        <v>98.4</v>
      </c>
      <c r="AH170">
        <v>0</v>
      </c>
      <c r="AI170">
        <v>0</v>
      </c>
      <c r="AJ170">
        <v>0</v>
      </c>
      <c r="AK170">
        <v>141.69999999999999</v>
      </c>
      <c r="AL170">
        <v>787.2</v>
      </c>
      <c r="AM170">
        <v>929</v>
      </c>
      <c r="AN170">
        <v>93</v>
      </c>
      <c r="AO170" t="s">
        <v>250</v>
      </c>
      <c r="AP170" t="s">
        <v>251</v>
      </c>
      <c r="AQ170">
        <v>10</v>
      </c>
      <c r="AR170">
        <v>105</v>
      </c>
      <c r="AS170" t="s">
        <v>85</v>
      </c>
      <c r="AT170">
        <v>677001</v>
      </c>
      <c r="AU170" t="s">
        <v>273</v>
      </c>
      <c r="AV170" t="s">
        <v>86</v>
      </c>
      <c r="AW170" t="s">
        <v>23</v>
      </c>
      <c r="AX170" t="s">
        <v>24</v>
      </c>
      <c r="AY170" t="s">
        <v>253</v>
      </c>
      <c r="AZ170" t="s">
        <v>197</v>
      </c>
      <c r="BA170" t="s">
        <v>427</v>
      </c>
      <c r="BB170">
        <v>0</v>
      </c>
      <c r="BC170">
        <v>0</v>
      </c>
      <c r="BD170" t="s">
        <v>199</v>
      </c>
      <c r="BE170" t="s">
        <v>199</v>
      </c>
      <c r="BF170">
        <v>0</v>
      </c>
      <c r="BG170">
        <v>0</v>
      </c>
      <c r="BH170" t="s">
        <v>200</v>
      </c>
      <c r="BI170">
        <v>13</v>
      </c>
      <c r="BJ170">
        <v>6237373</v>
      </c>
      <c r="BK170" t="s">
        <v>201</v>
      </c>
      <c r="BL170" t="s">
        <v>190</v>
      </c>
    </row>
    <row r="171" spans="1:64" x14ac:dyDescent="0.3">
      <c r="A171">
        <v>109</v>
      </c>
      <c r="B171" t="s">
        <v>186</v>
      </c>
      <c r="C171">
        <v>3</v>
      </c>
      <c r="D171">
        <v>6237373</v>
      </c>
      <c r="E171" t="s">
        <v>187</v>
      </c>
      <c r="F171" t="s">
        <v>188</v>
      </c>
      <c r="G171">
        <v>10066282</v>
      </c>
      <c r="H171" s="35">
        <v>46076</v>
      </c>
      <c r="I171" s="35">
        <v>46076</v>
      </c>
      <c r="J171">
        <v>2026</v>
      </c>
      <c r="K171">
        <v>2</v>
      </c>
      <c r="L171" t="s">
        <v>242</v>
      </c>
      <c r="M171">
        <v>1</v>
      </c>
      <c r="N171" t="s">
        <v>190</v>
      </c>
      <c r="O171" t="s">
        <v>191</v>
      </c>
      <c r="P171" t="s">
        <v>199</v>
      </c>
      <c r="Q171" t="s">
        <v>199</v>
      </c>
      <c r="R171">
        <v>9</v>
      </c>
      <c r="S171">
        <v>23</v>
      </c>
      <c r="T171">
        <v>2280</v>
      </c>
      <c r="U171">
        <v>3</v>
      </c>
      <c r="V171" t="s">
        <v>193</v>
      </c>
      <c r="W171" t="s">
        <v>29</v>
      </c>
      <c r="X171" t="s">
        <v>19</v>
      </c>
      <c r="Y171" t="s">
        <v>30</v>
      </c>
      <c r="Z171" t="s">
        <v>30</v>
      </c>
      <c r="AA171">
        <v>14</v>
      </c>
      <c r="AB171">
        <v>201001</v>
      </c>
      <c r="AC171" t="s">
        <v>248</v>
      </c>
      <c r="AD171" t="s">
        <v>249</v>
      </c>
      <c r="AE171">
        <v>2</v>
      </c>
      <c r="AF171">
        <v>2</v>
      </c>
      <c r="AG171">
        <v>221.67</v>
      </c>
      <c r="AH171">
        <v>0</v>
      </c>
      <c r="AI171">
        <v>0</v>
      </c>
      <c r="AJ171">
        <v>0</v>
      </c>
      <c r="AK171">
        <v>79.8</v>
      </c>
      <c r="AL171">
        <v>443.34</v>
      </c>
      <c r="AM171">
        <v>523</v>
      </c>
      <c r="AN171">
        <v>93</v>
      </c>
      <c r="AO171" t="s">
        <v>250</v>
      </c>
      <c r="AP171" t="s">
        <v>251</v>
      </c>
      <c r="AQ171">
        <v>10</v>
      </c>
      <c r="AR171">
        <v>113</v>
      </c>
      <c r="AS171" t="s">
        <v>89</v>
      </c>
      <c r="AT171">
        <v>82101</v>
      </c>
      <c r="AU171" t="s">
        <v>252</v>
      </c>
      <c r="AV171" t="s">
        <v>80</v>
      </c>
      <c r="AW171" t="s">
        <v>23</v>
      </c>
      <c r="AX171" t="s">
        <v>24</v>
      </c>
      <c r="AY171" t="s">
        <v>253</v>
      </c>
      <c r="AZ171" t="s">
        <v>197</v>
      </c>
      <c r="BA171" t="s">
        <v>427</v>
      </c>
      <c r="BB171">
        <v>0</v>
      </c>
      <c r="BC171">
        <v>0</v>
      </c>
      <c r="BD171" t="s">
        <v>199</v>
      </c>
      <c r="BE171" t="s">
        <v>199</v>
      </c>
      <c r="BF171">
        <v>0</v>
      </c>
      <c r="BG171">
        <v>0</v>
      </c>
      <c r="BH171" t="s">
        <v>200</v>
      </c>
      <c r="BI171">
        <v>13</v>
      </c>
      <c r="BJ171">
        <v>6237373</v>
      </c>
      <c r="BK171" t="s">
        <v>201</v>
      </c>
      <c r="BL171" t="s">
        <v>190</v>
      </c>
    </row>
    <row r="172" spans="1:64" x14ac:dyDescent="0.3">
      <c r="A172">
        <v>109</v>
      </c>
      <c r="B172" t="s">
        <v>186</v>
      </c>
      <c r="C172">
        <v>3</v>
      </c>
      <c r="D172">
        <v>6237373</v>
      </c>
      <c r="E172" t="s">
        <v>187</v>
      </c>
      <c r="F172" t="s">
        <v>188</v>
      </c>
      <c r="G172">
        <v>10066282</v>
      </c>
      <c r="H172" s="35">
        <v>46076</v>
      </c>
      <c r="I172" s="35">
        <v>46076</v>
      </c>
      <c r="J172">
        <v>2026</v>
      </c>
      <c r="K172">
        <v>2</v>
      </c>
      <c r="L172" t="s">
        <v>242</v>
      </c>
      <c r="M172">
        <v>1</v>
      </c>
      <c r="N172" t="s">
        <v>190</v>
      </c>
      <c r="O172" t="s">
        <v>191</v>
      </c>
      <c r="P172" t="s">
        <v>199</v>
      </c>
      <c r="Q172" t="s">
        <v>199</v>
      </c>
      <c r="R172">
        <v>9</v>
      </c>
      <c r="S172">
        <v>23</v>
      </c>
      <c r="T172">
        <v>2280</v>
      </c>
      <c r="U172">
        <v>3</v>
      </c>
      <c r="V172" t="s">
        <v>193</v>
      </c>
      <c r="W172" t="s">
        <v>29</v>
      </c>
      <c r="X172" t="s">
        <v>19</v>
      </c>
      <c r="Y172" t="s">
        <v>30</v>
      </c>
      <c r="Z172" t="s">
        <v>30</v>
      </c>
      <c r="AA172">
        <v>14</v>
      </c>
      <c r="AB172">
        <v>103001</v>
      </c>
      <c r="AC172" t="s">
        <v>286</v>
      </c>
      <c r="AD172" t="s">
        <v>287</v>
      </c>
      <c r="AE172">
        <v>1</v>
      </c>
      <c r="AF172">
        <v>48</v>
      </c>
      <c r="AG172">
        <v>21.36</v>
      </c>
      <c r="AH172">
        <v>0</v>
      </c>
      <c r="AI172">
        <v>0</v>
      </c>
      <c r="AJ172">
        <v>0</v>
      </c>
      <c r="AK172">
        <v>184.55</v>
      </c>
      <c r="AL172">
        <v>1025.28</v>
      </c>
      <c r="AM172">
        <v>1210</v>
      </c>
      <c r="AN172">
        <v>93</v>
      </c>
      <c r="AO172" t="s">
        <v>250</v>
      </c>
      <c r="AP172" t="s">
        <v>251</v>
      </c>
      <c r="AQ172">
        <v>10</v>
      </c>
      <c r="AR172">
        <v>107</v>
      </c>
      <c r="AS172" t="s">
        <v>96</v>
      </c>
      <c r="AT172">
        <v>6770651</v>
      </c>
      <c r="AU172" t="s">
        <v>288</v>
      </c>
      <c r="AV172" t="s">
        <v>86</v>
      </c>
      <c r="AW172" t="s">
        <v>23</v>
      </c>
      <c r="AX172" t="s">
        <v>24</v>
      </c>
      <c r="AY172" t="s">
        <v>253</v>
      </c>
      <c r="AZ172" t="s">
        <v>197</v>
      </c>
      <c r="BA172" t="s">
        <v>427</v>
      </c>
      <c r="BB172">
        <v>0</v>
      </c>
      <c r="BC172">
        <v>0</v>
      </c>
      <c r="BD172" t="s">
        <v>199</v>
      </c>
      <c r="BE172" t="s">
        <v>199</v>
      </c>
      <c r="BF172">
        <v>0</v>
      </c>
      <c r="BG172">
        <v>0</v>
      </c>
      <c r="BH172" t="s">
        <v>200</v>
      </c>
      <c r="BI172">
        <v>13</v>
      </c>
      <c r="BJ172">
        <v>6237373</v>
      </c>
      <c r="BK172" t="s">
        <v>201</v>
      </c>
      <c r="BL172" t="s">
        <v>190</v>
      </c>
    </row>
    <row r="173" spans="1:64" x14ac:dyDescent="0.3">
      <c r="A173">
        <v>109</v>
      </c>
      <c r="B173" t="s">
        <v>186</v>
      </c>
      <c r="C173">
        <v>3</v>
      </c>
      <c r="D173">
        <v>6237373</v>
      </c>
      <c r="E173" t="s">
        <v>187</v>
      </c>
      <c r="F173" t="s">
        <v>188</v>
      </c>
      <c r="G173">
        <v>10066282</v>
      </c>
      <c r="H173" s="35">
        <v>46076</v>
      </c>
      <c r="I173" s="35">
        <v>46076</v>
      </c>
      <c r="J173">
        <v>2026</v>
      </c>
      <c r="K173">
        <v>2</v>
      </c>
      <c r="L173" t="s">
        <v>242</v>
      </c>
      <c r="M173">
        <v>1</v>
      </c>
      <c r="N173" t="s">
        <v>190</v>
      </c>
      <c r="O173" t="s">
        <v>191</v>
      </c>
      <c r="P173" t="s">
        <v>199</v>
      </c>
      <c r="Q173" t="s">
        <v>199</v>
      </c>
      <c r="R173">
        <v>9</v>
      </c>
      <c r="S173">
        <v>23</v>
      </c>
      <c r="T173">
        <v>2280</v>
      </c>
      <c r="U173">
        <v>3</v>
      </c>
      <c r="V173" t="s">
        <v>193</v>
      </c>
      <c r="W173" t="s">
        <v>29</v>
      </c>
      <c r="X173" t="s">
        <v>19</v>
      </c>
      <c r="Y173" t="s">
        <v>30</v>
      </c>
      <c r="Z173" t="s">
        <v>30</v>
      </c>
      <c r="AA173">
        <v>14</v>
      </c>
      <c r="AB173">
        <v>103001</v>
      </c>
      <c r="AC173" t="s">
        <v>286</v>
      </c>
      <c r="AD173" t="s">
        <v>287</v>
      </c>
      <c r="AE173">
        <v>0.16666666666666</v>
      </c>
      <c r="AF173">
        <v>8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93</v>
      </c>
      <c r="AO173" t="s">
        <v>250</v>
      </c>
      <c r="AP173" t="s">
        <v>251</v>
      </c>
      <c r="AQ173">
        <v>10</v>
      </c>
      <c r="AR173">
        <v>107</v>
      </c>
      <c r="AS173" t="s">
        <v>96</v>
      </c>
      <c r="AT173">
        <v>6770651</v>
      </c>
      <c r="AU173" t="s">
        <v>288</v>
      </c>
      <c r="AV173" t="s">
        <v>86</v>
      </c>
      <c r="AW173" t="s">
        <v>23</v>
      </c>
      <c r="AX173" t="s">
        <v>24</v>
      </c>
      <c r="AY173" t="s">
        <v>253</v>
      </c>
      <c r="AZ173" t="s">
        <v>197</v>
      </c>
      <c r="BA173" t="s">
        <v>427</v>
      </c>
      <c r="BB173">
        <v>0</v>
      </c>
      <c r="BC173">
        <v>1</v>
      </c>
      <c r="BD173">
        <v>3374</v>
      </c>
      <c r="BE173" t="s">
        <v>390</v>
      </c>
      <c r="BF173">
        <v>0</v>
      </c>
      <c r="BG173">
        <v>0</v>
      </c>
      <c r="BH173" t="s">
        <v>200</v>
      </c>
      <c r="BI173">
        <v>13</v>
      </c>
      <c r="BJ173">
        <v>6237373</v>
      </c>
      <c r="BK173" t="s">
        <v>201</v>
      </c>
      <c r="BL173" t="s">
        <v>190</v>
      </c>
    </row>
    <row r="174" spans="1:64" x14ac:dyDescent="0.3">
      <c r="A174">
        <v>242</v>
      </c>
      <c r="B174" t="s">
        <v>186</v>
      </c>
      <c r="C174">
        <v>3</v>
      </c>
      <c r="D174">
        <v>6241726</v>
      </c>
      <c r="E174" t="s">
        <v>275</v>
      </c>
      <c r="F174" t="s">
        <v>188</v>
      </c>
      <c r="G174">
        <v>10070635</v>
      </c>
      <c r="H174" s="35">
        <v>46078</v>
      </c>
      <c r="I174" s="35">
        <v>46078</v>
      </c>
      <c r="J174">
        <v>2026</v>
      </c>
      <c r="K174">
        <v>2</v>
      </c>
      <c r="L174" t="s">
        <v>242</v>
      </c>
      <c r="M174">
        <v>1</v>
      </c>
      <c r="N174" t="s">
        <v>190</v>
      </c>
      <c r="O174" t="s">
        <v>191</v>
      </c>
      <c r="P174" t="s">
        <v>199</v>
      </c>
      <c r="Q174" t="s">
        <v>199</v>
      </c>
      <c r="R174">
        <v>9</v>
      </c>
      <c r="S174">
        <v>25</v>
      </c>
      <c r="T174">
        <v>2280</v>
      </c>
      <c r="U174">
        <v>3</v>
      </c>
      <c r="V174" t="s">
        <v>193</v>
      </c>
      <c r="W174" t="s">
        <v>29</v>
      </c>
      <c r="X174" t="s">
        <v>19</v>
      </c>
      <c r="Y174" t="s">
        <v>30</v>
      </c>
      <c r="Z174" t="s">
        <v>30</v>
      </c>
      <c r="AA174">
        <v>14</v>
      </c>
      <c r="AB174">
        <v>101038</v>
      </c>
      <c r="AC174" t="s">
        <v>271</v>
      </c>
      <c r="AD174" t="s">
        <v>272</v>
      </c>
      <c r="AE174">
        <v>0.2</v>
      </c>
      <c r="AF174">
        <v>2</v>
      </c>
      <c r="AG174">
        <v>357.83</v>
      </c>
      <c r="AH174">
        <v>0</v>
      </c>
      <c r="AI174">
        <v>0</v>
      </c>
      <c r="AJ174">
        <v>0</v>
      </c>
      <c r="AK174">
        <v>128.82</v>
      </c>
      <c r="AL174">
        <v>715.66</v>
      </c>
      <c r="AM174">
        <v>844</v>
      </c>
      <c r="AN174">
        <v>93</v>
      </c>
      <c r="AO174" t="s">
        <v>250</v>
      </c>
      <c r="AP174" t="s">
        <v>251</v>
      </c>
      <c r="AQ174">
        <v>10</v>
      </c>
      <c r="AR174">
        <v>105</v>
      </c>
      <c r="AS174" t="s">
        <v>85</v>
      </c>
      <c r="AT174">
        <v>677001</v>
      </c>
      <c r="AU174" t="s">
        <v>273</v>
      </c>
      <c r="AV174" t="s">
        <v>86</v>
      </c>
      <c r="AW174" t="s">
        <v>23</v>
      </c>
      <c r="AX174" t="s">
        <v>24</v>
      </c>
      <c r="AY174" t="s">
        <v>253</v>
      </c>
      <c r="AZ174" t="s">
        <v>197</v>
      </c>
      <c r="BA174" t="s">
        <v>428</v>
      </c>
      <c r="BB174">
        <v>0</v>
      </c>
      <c r="BC174">
        <v>0</v>
      </c>
      <c r="BD174" t="s">
        <v>199</v>
      </c>
      <c r="BE174" t="s">
        <v>199</v>
      </c>
      <c r="BF174">
        <v>0</v>
      </c>
      <c r="BG174">
        <v>0</v>
      </c>
      <c r="BH174" t="s">
        <v>200</v>
      </c>
      <c r="BI174">
        <v>13</v>
      </c>
      <c r="BJ174">
        <v>6241726</v>
      </c>
      <c r="BK174" t="s">
        <v>201</v>
      </c>
      <c r="BL174" t="s">
        <v>190</v>
      </c>
    </row>
    <row r="175" spans="1:64" x14ac:dyDescent="0.3">
      <c r="A175">
        <v>242</v>
      </c>
      <c r="B175" t="s">
        <v>186</v>
      </c>
      <c r="C175">
        <v>3</v>
      </c>
      <c r="D175">
        <v>6241726</v>
      </c>
      <c r="E175" t="s">
        <v>275</v>
      </c>
      <c r="F175" t="s">
        <v>188</v>
      </c>
      <c r="G175">
        <v>10070635</v>
      </c>
      <c r="H175" s="35">
        <v>46078</v>
      </c>
      <c r="I175" s="35">
        <v>46078</v>
      </c>
      <c r="J175">
        <v>2026</v>
      </c>
      <c r="K175">
        <v>2</v>
      </c>
      <c r="L175" t="s">
        <v>242</v>
      </c>
      <c r="M175">
        <v>1</v>
      </c>
      <c r="N175" t="s">
        <v>190</v>
      </c>
      <c r="O175" t="s">
        <v>191</v>
      </c>
      <c r="P175" t="s">
        <v>199</v>
      </c>
      <c r="Q175" t="s">
        <v>199</v>
      </c>
      <c r="R175">
        <v>9</v>
      </c>
      <c r="S175">
        <v>25</v>
      </c>
      <c r="T175">
        <v>2280</v>
      </c>
      <c r="U175">
        <v>3</v>
      </c>
      <c r="V175" t="s">
        <v>193</v>
      </c>
      <c r="W175" t="s">
        <v>29</v>
      </c>
      <c r="X175" t="s">
        <v>19</v>
      </c>
      <c r="Y175" t="s">
        <v>30</v>
      </c>
      <c r="Z175" t="s">
        <v>30</v>
      </c>
      <c r="AA175">
        <v>14</v>
      </c>
      <c r="AB175">
        <v>800088</v>
      </c>
      <c r="AC175" t="s">
        <v>276</v>
      </c>
      <c r="AD175" t="s">
        <v>277</v>
      </c>
      <c r="AE175">
        <v>0.125</v>
      </c>
      <c r="AF175">
        <v>1</v>
      </c>
      <c r="AG175">
        <v>349.28</v>
      </c>
      <c r="AH175">
        <v>0</v>
      </c>
      <c r="AI175">
        <v>0</v>
      </c>
      <c r="AJ175">
        <v>0</v>
      </c>
      <c r="AK175">
        <v>62.87</v>
      </c>
      <c r="AL175">
        <v>349.28</v>
      </c>
      <c r="AM175">
        <v>412</v>
      </c>
      <c r="AN175">
        <v>93</v>
      </c>
      <c r="AO175" t="s">
        <v>250</v>
      </c>
      <c r="AP175" t="s">
        <v>251</v>
      </c>
      <c r="AQ175">
        <v>10</v>
      </c>
      <c r="AR175">
        <v>105</v>
      </c>
      <c r="AS175" t="s">
        <v>85</v>
      </c>
      <c r="AT175">
        <v>677001</v>
      </c>
      <c r="AU175" t="s">
        <v>273</v>
      </c>
      <c r="AV175" t="s">
        <v>86</v>
      </c>
      <c r="AW175" t="s">
        <v>23</v>
      </c>
      <c r="AX175" t="s">
        <v>24</v>
      </c>
      <c r="AY175" t="s">
        <v>253</v>
      </c>
      <c r="AZ175" t="s">
        <v>197</v>
      </c>
      <c r="BA175" t="s">
        <v>428</v>
      </c>
      <c r="BB175">
        <v>0</v>
      </c>
      <c r="BC175">
        <v>0</v>
      </c>
      <c r="BD175" t="s">
        <v>199</v>
      </c>
      <c r="BE175" t="s">
        <v>199</v>
      </c>
      <c r="BF175">
        <v>0</v>
      </c>
      <c r="BG175">
        <v>0</v>
      </c>
      <c r="BH175" t="s">
        <v>200</v>
      </c>
      <c r="BI175">
        <v>13</v>
      </c>
      <c r="BJ175">
        <v>6241726</v>
      </c>
      <c r="BK175" t="s">
        <v>201</v>
      </c>
      <c r="BL175" t="s">
        <v>190</v>
      </c>
    </row>
    <row r="176" spans="1:64" x14ac:dyDescent="0.3">
      <c r="A176">
        <v>242</v>
      </c>
      <c r="B176" t="s">
        <v>186</v>
      </c>
      <c r="C176">
        <v>3</v>
      </c>
      <c r="D176">
        <v>6241726</v>
      </c>
      <c r="E176" t="s">
        <v>275</v>
      </c>
      <c r="F176" t="s">
        <v>188</v>
      </c>
      <c r="G176">
        <v>10070635</v>
      </c>
      <c r="H176" s="35">
        <v>46078</v>
      </c>
      <c r="I176" s="35">
        <v>46078</v>
      </c>
      <c r="J176">
        <v>2026</v>
      </c>
      <c r="K176">
        <v>2</v>
      </c>
      <c r="L176" t="s">
        <v>242</v>
      </c>
      <c r="M176">
        <v>1</v>
      </c>
      <c r="N176" t="s">
        <v>190</v>
      </c>
      <c r="O176" t="s">
        <v>191</v>
      </c>
      <c r="P176" t="s">
        <v>199</v>
      </c>
      <c r="Q176" t="s">
        <v>199</v>
      </c>
      <c r="R176">
        <v>9</v>
      </c>
      <c r="S176">
        <v>25</v>
      </c>
      <c r="T176">
        <v>2280</v>
      </c>
      <c r="U176">
        <v>3</v>
      </c>
      <c r="V176" t="s">
        <v>193</v>
      </c>
      <c r="W176" t="s">
        <v>29</v>
      </c>
      <c r="X176" t="s">
        <v>19</v>
      </c>
      <c r="Y176" t="s">
        <v>30</v>
      </c>
      <c r="Z176" t="s">
        <v>30</v>
      </c>
      <c r="AA176">
        <v>14</v>
      </c>
      <c r="AB176">
        <v>800089</v>
      </c>
      <c r="AC176" t="s">
        <v>295</v>
      </c>
      <c r="AD176" t="s">
        <v>296</v>
      </c>
      <c r="AE176">
        <v>0.25</v>
      </c>
      <c r="AF176">
        <v>2</v>
      </c>
      <c r="AG176">
        <v>349.28</v>
      </c>
      <c r="AH176">
        <v>0</v>
      </c>
      <c r="AI176">
        <v>0</v>
      </c>
      <c r="AJ176">
        <v>0</v>
      </c>
      <c r="AK176">
        <v>125.74</v>
      </c>
      <c r="AL176">
        <v>698.56</v>
      </c>
      <c r="AM176">
        <v>824</v>
      </c>
      <c r="AN176">
        <v>93</v>
      </c>
      <c r="AO176" t="s">
        <v>250</v>
      </c>
      <c r="AP176" t="s">
        <v>251</v>
      </c>
      <c r="AQ176">
        <v>10</v>
      </c>
      <c r="AR176">
        <v>105</v>
      </c>
      <c r="AS176" t="s">
        <v>85</v>
      </c>
      <c r="AT176">
        <v>677001</v>
      </c>
      <c r="AU176" t="s">
        <v>273</v>
      </c>
      <c r="AV176" t="s">
        <v>86</v>
      </c>
      <c r="AW176" t="s">
        <v>23</v>
      </c>
      <c r="AX176" t="s">
        <v>24</v>
      </c>
      <c r="AY176" t="s">
        <v>253</v>
      </c>
      <c r="AZ176" t="s">
        <v>197</v>
      </c>
      <c r="BA176" t="s">
        <v>428</v>
      </c>
      <c r="BB176">
        <v>0</v>
      </c>
      <c r="BC176">
        <v>0</v>
      </c>
      <c r="BD176" t="s">
        <v>199</v>
      </c>
      <c r="BE176" t="s">
        <v>199</v>
      </c>
      <c r="BF176">
        <v>0</v>
      </c>
      <c r="BG176">
        <v>0</v>
      </c>
      <c r="BH176" t="s">
        <v>200</v>
      </c>
      <c r="BI176">
        <v>13</v>
      </c>
      <c r="BJ176">
        <v>6241726</v>
      </c>
      <c r="BK176" t="s">
        <v>201</v>
      </c>
      <c r="BL176" t="s">
        <v>190</v>
      </c>
    </row>
    <row r="177" spans="1:64" x14ac:dyDescent="0.3">
      <c r="A177">
        <v>242</v>
      </c>
      <c r="B177" t="s">
        <v>186</v>
      </c>
      <c r="C177">
        <v>3</v>
      </c>
      <c r="D177">
        <v>6241759</v>
      </c>
      <c r="E177" t="s">
        <v>275</v>
      </c>
      <c r="F177" t="s">
        <v>188</v>
      </c>
      <c r="G177">
        <v>10070668</v>
      </c>
      <c r="H177" s="35">
        <v>46078</v>
      </c>
      <c r="I177" s="35">
        <v>46078</v>
      </c>
      <c r="J177">
        <v>2026</v>
      </c>
      <c r="K177">
        <v>2</v>
      </c>
      <c r="L177" t="s">
        <v>242</v>
      </c>
      <c r="M177">
        <v>1</v>
      </c>
      <c r="N177" t="s">
        <v>190</v>
      </c>
      <c r="O177" t="s">
        <v>191</v>
      </c>
      <c r="P177" t="s">
        <v>199</v>
      </c>
      <c r="Q177" t="s">
        <v>199</v>
      </c>
      <c r="R177">
        <v>9</v>
      </c>
      <c r="S177">
        <v>25</v>
      </c>
      <c r="T177">
        <v>2280</v>
      </c>
      <c r="U177">
        <v>3</v>
      </c>
      <c r="V177" t="s">
        <v>193</v>
      </c>
      <c r="W177" t="s">
        <v>29</v>
      </c>
      <c r="X177" t="s">
        <v>19</v>
      </c>
      <c r="Y177" t="s">
        <v>30</v>
      </c>
      <c r="Z177" t="s">
        <v>30</v>
      </c>
      <c r="AA177">
        <v>14</v>
      </c>
      <c r="AB177">
        <v>201001</v>
      </c>
      <c r="AC177" t="s">
        <v>248</v>
      </c>
      <c r="AD177" t="s">
        <v>249</v>
      </c>
      <c r="AE177">
        <v>10</v>
      </c>
      <c r="AF177">
        <v>10</v>
      </c>
      <c r="AG177">
        <v>221.67</v>
      </c>
      <c r="AH177">
        <v>0</v>
      </c>
      <c r="AI177">
        <v>0</v>
      </c>
      <c r="AJ177">
        <v>0</v>
      </c>
      <c r="AK177">
        <v>399.01</v>
      </c>
      <c r="AL177">
        <v>2216.6999999999998</v>
      </c>
      <c r="AM177">
        <v>2616</v>
      </c>
      <c r="AN177">
        <v>93</v>
      </c>
      <c r="AO177" t="s">
        <v>250</v>
      </c>
      <c r="AP177" t="s">
        <v>251</v>
      </c>
      <c r="AQ177">
        <v>10</v>
      </c>
      <c r="AR177">
        <v>113</v>
      </c>
      <c r="AS177" t="s">
        <v>89</v>
      </c>
      <c r="AT177">
        <v>82101</v>
      </c>
      <c r="AU177" t="s">
        <v>252</v>
      </c>
      <c r="AV177" t="s">
        <v>80</v>
      </c>
      <c r="AW177" t="s">
        <v>23</v>
      </c>
      <c r="AX177" t="s">
        <v>24</v>
      </c>
      <c r="AY177" t="s">
        <v>253</v>
      </c>
      <c r="AZ177" t="s">
        <v>197</v>
      </c>
      <c r="BA177" t="s">
        <v>429</v>
      </c>
      <c r="BB177">
        <v>0</v>
      </c>
      <c r="BC177">
        <v>0</v>
      </c>
      <c r="BD177" t="s">
        <v>199</v>
      </c>
      <c r="BE177" t="s">
        <v>199</v>
      </c>
      <c r="BF177">
        <v>0</v>
      </c>
      <c r="BG177">
        <v>0</v>
      </c>
      <c r="BH177" t="s">
        <v>200</v>
      </c>
      <c r="BI177">
        <v>13</v>
      </c>
      <c r="BJ177">
        <v>6241759</v>
      </c>
      <c r="BK177" t="s">
        <v>201</v>
      </c>
      <c r="BL177" t="s">
        <v>190</v>
      </c>
    </row>
    <row r="178" spans="1:64" x14ac:dyDescent="0.3">
      <c r="A178">
        <v>242</v>
      </c>
      <c r="B178" t="s">
        <v>186</v>
      </c>
      <c r="C178">
        <v>3</v>
      </c>
      <c r="D178">
        <v>6241761</v>
      </c>
      <c r="E178" t="s">
        <v>275</v>
      </c>
      <c r="F178" t="s">
        <v>188</v>
      </c>
      <c r="G178">
        <v>10070670</v>
      </c>
      <c r="H178" s="35">
        <v>46078</v>
      </c>
      <c r="I178" s="35">
        <v>46078</v>
      </c>
      <c r="J178">
        <v>2026</v>
      </c>
      <c r="K178">
        <v>2</v>
      </c>
      <c r="L178" t="s">
        <v>242</v>
      </c>
      <c r="M178">
        <v>1</v>
      </c>
      <c r="N178" t="s">
        <v>190</v>
      </c>
      <c r="O178" t="s">
        <v>191</v>
      </c>
      <c r="P178" t="s">
        <v>199</v>
      </c>
      <c r="Q178" t="s">
        <v>199</v>
      </c>
      <c r="R178">
        <v>9</v>
      </c>
      <c r="S178">
        <v>25</v>
      </c>
      <c r="T178">
        <v>19291</v>
      </c>
      <c r="U178">
        <v>3</v>
      </c>
      <c r="V178" t="s">
        <v>261</v>
      </c>
      <c r="W178" t="s">
        <v>35</v>
      </c>
      <c r="X178" t="s">
        <v>19</v>
      </c>
      <c r="Y178" t="s">
        <v>30</v>
      </c>
      <c r="Z178" t="s">
        <v>30</v>
      </c>
      <c r="AA178">
        <v>8</v>
      </c>
      <c r="AB178">
        <v>611306</v>
      </c>
      <c r="AC178" t="s">
        <v>430</v>
      </c>
      <c r="AD178" t="s">
        <v>431</v>
      </c>
      <c r="AE178">
        <v>1</v>
      </c>
      <c r="AF178">
        <v>1</v>
      </c>
      <c r="AG178">
        <v>838.98</v>
      </c>
      <c r="AH178">
        <v>0</v>
      </c>
      <c r="AI178">
        <v>0</v>
      </c>
      <c r="AJ178">
        <v>0</v>
      </c>
      <c r="AK178">
        <v>151.02000000000001</v>
      </c>
      <c r="AL178">
        <v>838.98</v>
      </c>
      <c r="AM178">
        <v>990</v>
      </c>
      <c r="AN178">
        <v>4</v>
      </c>
      <c r="AO178" t="s">
        <v>264</v>
      </c>
      <c r="AP178" t="s">
        <v>265</v>
      </c>
      <c r="AQ178">
        <v>10</v>
      </c>
      <c r="AR178">
        <v>118</v>
      </c>
      <c r="AS178" t="s">
        <v>108</v>
      </c>
      <c r="AT178">
        <v>8081801</v>
      </c>
      <c r="AU178" t="s">
        <v>432</v>
      </c>
      <c r="AV178" t="s">
        <v>109</v>
      </c>
      <c r="AW178" t="s">
        <v>23</v>
      </c>
      <c r="AX178" t="s">
        <v>24</v>
      </c>
      <c r="AY178" t="s">
        <v>267</v>
      </c>
      <c r="AZ178" t="s">
        <v>197</v>
      </c>
      <c r="BA178" t="s">
        <v>433</v>
      </c>
      <c r="BB178">
        <v>0</v>
      </c>
      <c r="BC178">
        <v>0</v>
      </c>
      <c r="BD178" t="s">
        <v>199</v>
      </c>
      <c r="BE178" t="s">
        <v>199</v>
      </c>
      <c r="BF178">
        <v>0</v>
      </c>
      <c r="BG178">
        <v>0</v>
      </c>
      <c r="BH178" t="s">
        <v>200</v>
      </c>
      <c r="BI178">
        <v>13</v>
      </c>
      <c r="BJ178">
        <v>6241761</v>
      </c>
      <c r="BK178" t="s">
        <v>201</v>
      </c>
      <c r="BL178" t="s">
        <v>190</v>
      </c>
    </row>
    <row r="179" spans="1:64" x14ac:dyDescent="0.3">
      <c r="A179">
        <v>242</v>
      </c>
      <c r="B179" t="s">
        <v>186</v>
      </c>
      <c r="C179">
        <v>3</v>
      </c>
      <c r="D179">
        <v>6241761</v>
      </c>
      <c r="E179" t="s">
        <v>275</v>
      </c>
      <c r="F179" t="s">
        <v>188</v>
      </c>
      <c r="G179">
        <v>10070670</v>
      </c>
      <c r="H179" s="35">
        <v>46078</v>
      </c>
      <c r="I179" s="35">
        <v>46078</v>
      </c>
      <c r="J179">
        <v>2026</v>
      </c>
      <c r="K179">
        <v>2</v>
      </c>
      <c r="L179" t="s">
        <v>242</v>
      </c>
      <c r="M179">
        <v>1</v>
      </c>
      <c r="N179" t="s">
        <v>190</v>
      </c>
      <c r="O179" t="s">
        <v>191</v>
      </c>
      <c r="P179" t="s">
        <v>199</v>
      </c>
      <c r="Q179" t="s">
        <v>199</v>
      </c>
      <c r="R179">
        <v>9</v>
      </c>
      <c r="S179">
        <v>25</v>
      </c>
      <c r="T179">
        <v>19291</v>
      </c>
      <c r="U179">
        <v>3</v>
      </c>
      <c r="V179" t="s">
        <v>261</v>
      </c>
      <c r="W179" t="s">
        <v>35</v>
      </c>
      <c r="X179" t="s">
        <v>19</v>
      </c>
      <c r="Y179" t="s">
        <v>30</v>
      </c>
      <c r="Z179" t="s">
        <v>30</v>
      </c>
      <c r="AA179">
        <v>8</v>
      </c>
      <c r="AB179">
        <v>501000</v>
      </c>
      <c r="AC179" t="s">
        <v>316</v>
      </c>
      <c r="AD179" t="s">
        <v>317</v>
      </c>
      <c r="AE179">
        <v>10</v>
      </c>
      <c r="AF179">
        <v>40</v>
      </c>
      <c r="AG179">
        <v>114.4</v>
      </c>
      <c r="AH179">
        <v>0</v>
      </c>
      <c r="AI179">
        <v>0</v>
      </c>
      <c r="AJ179">
        <v>0</v>
      </c>
      <c r="AK179">
        <v>823.68</v>
      </c>
      <c r="AL179">
        <v>4576</v>
      </c>
      <c r="AM179">
        <v>5400</v>
      </c>
      <c r="AN179">
        <v>4</v>
      </c>
      <c r="AO179" t="s">
        <v>264</v>
      </c>
      <c r="AP179" t="s">
        <v>265</v>
      </c>
      <c r="AQ179">
        <v>10</v>
      </c>
      <c r="AR179">
        <v>114</v>
      </c>
      <c r="AS179" t="s">
        <v>79</v>
      </c>
      <c r="AT179">
        <v>66101</v>
      </c>
      <c r="AU179" t="s">
        <v>318</v>
      </c>
      <c r="AV179" t="s">
        <v>80</v>
      </c>
      <c r="AW179" t="s">
        <v>23</v>
      </c>
      <c r="AX179" t="s">
        <v>24</v>
      </c>
      <c r="AY179" t="s">
        <v>267</v>
      </c>
      <c r="AZ179" t="s">
        <v>197</v>
      </c>
      <c r="BA179" t="s">
        <v>433</v>
      </c>
      <c r="BB179">
        <v>0</v>
      </c>
      <c r="BC179">
        <v>0</v>
      </c>
      <c r="BD179" t="s">
        <v>199</v>
      </c>
      <c r="BE179" t="s">
        <v>199</v>
      </c>
      <c r="BF179">
        <v>0</v>
      </c>
      <c r="BG179">
        <v>0</v>
      </c>
      <c r="BH179" t="s">
        <v>200</v>
      </c>
      <c r="BI179">
        <v>13</v>
      </c>
      <c r="BJ179">
        <v>6241761</v>
      </c>
      <c r="BK179" t="s">
        <v>201</v>
      </c>
      <c r="BL179" t="s">
        <v>190</v>
      </c>
    </row>
    <row r="180" spans="1:64" x14ac:dyDescent="0.3">
      <c r="A180">
        <v>283</v>
      </c>
      <c r="B180" t="s">
        <v>186</v>
      </c>
      <c r="C180">
        <v>3</v>
      </c>
      <c r="D180">
        <v>6243507</v>
      </c>
      <c r="E180" t="s">
        <v>434</v>
      </c>
      <c r="F180" t="s">
        <v>188</v>
      </c>
      <c r="G180">
        <v>10072416</v>
      </c>
      <c r="H180" s="35">
        <v>46079</v>
      </c>
      <c r="I180" s="35">
        <v>46079</v>
      </c>
      <c r="J180">
        <v>2026</v>
      </c>
      <c r="K180">
        <v>2</v>
      </c>
      <c r="L180" t="s">
        <v>242</v>
      </c>
      <c r="M180">
        <v>1</v>
      </c>
      <c r="N180" t="s">
        <v>190</v>
      </c>
      <c r="O180" t="s">
        <v>191</v>
      </c>
      <c r="P180" t="s">
        <v>199</v>
      </c>
      <c r="Q180" t="s">
        <v>199</v>
      </c>
      <c r="R180">
        <v>9</v>
      </c>
      <c r="S180">
        <v>26</v>
      </c>
      <c r="T180">
        <v>37594</v>
      </c>
      <c r="U180">
        <v>3</v>
      </c>
      <c r="V180" t="s">
        <v>234</v>
      </c>
      <c r="W180" t="s">
        <v>47</v>
      </c>
      <c r="X180" t="s">
        <v>19</v>
      </c>
      <c r="Y180" t="s">
        <v>30</v>
      </c>
      <c r="Z180" t="s">
        <v>30</v>
      </c>
      <c r="AA180">
        <v>72</v>
      </c>
      <c r="AB180">
        <v>201001</v>
      </c>
      <c r="AC180" t="s">
        <v>248</v>
      </c>
      <c r="AD180" t="s">
        <v>249</v>
      </c>
      <c r="AE180">
        <v>25</v>
      </c>
      <c r="AF180">
        <v>25</v>
      </c>
      <c r="AG180">
        <v>212.8</v>
      </c>
      <c r="AH180">
        <v>0</v>
      </c>
      <c r="AI180">
        <v>0</v>
      </c>
      <c r="AJ180">
        <v>0</v>
      </c>
      <c r="AK180">
        <v>957.6</v>
      </c>
      <c r="AL180">
        <v>5320</v>
      </c>
      <c r="AM180">
        <v>6278</v>
      </c>
      <c r="AN180">
        <v>95</v>
      </c>
      <c r="AO180" t="s">
        <v>237</v>
      </c>
      <c r="AP180" t="s">
        <v>238</v>
      </c>
      <c r="AQ180">
        <v>10</v>
      </c>
      <c r="AR180">
        <v>113</v>
      </c>
      <c r="AS180" t="s">
        <v>89</v>
      </c>
      <c r="AT180">
        <v>82101</v>
      </c>
      <c r="AU180" t="s">
        <v>252</v>
      </c>
      <c r="AV180" t="s">
        <v>80</v>
      </c>
      <c r="AW180" t="s">
        <v>50</v>
      </c>
      <c r="AX180" t="s">
        <v>51</v>
      </c>
      <c r="AY180" t="s">
        <v>239</v>
      </c>
      <c r="AZ180" t="s">
        <v>240</v>
      </c>
      <c r="BA180" t="s">
        <v>435</v>
      </c>
      <c r="BB180">
        <v>0</v>
      </c>
      <c r="BC180">
        <v>0</v>
      </c>
      <c r="BD180" t="s">
        <v>199</v>
      </c>
      <c r="BE180" t="s">
        <v>199</v>
      </c>
      <c r="BF180">
        <v>0</v>
      </c>
      <c r="BG180">
        <v>0</v>
      </c>
      <c r="BH180" t="s">
        <v>200</v>
      </c>
      <c r="BI180">
        <v>13</v>
      </c>
      <c r="BJ180">
        <v>6243507</v>
      </c>
      <c r="BK180" t="s">
        <v>201</v>
      </c>
      <c r="BL180" t="s">
        <v>190</v>
      </c>
    </row>
    <row r="181" spans="1:64" x14ac:dyDescent="0.3">
      <c r="A181">
        <v>254</v>
      </c>
      <c r="B181" t="s">
        <v>186</v>
      </c>
      <c r="C181">
        <v>3</v>
      </c>
      <c r="D181">
        <v>6245918</v>
      </c>
      <c r="E181" t="s">
        <v>297</v>
      </c>
      <c r="F181" t="s">
        <v>188</v>
      </c>
      <c r="G181">
        <v>10074827</v>
      </c>
      <c r="H181" s="35">
        <v>46080</v>
      </c>
      <c r="I181" s="35">
        <v>46080</v>
      </c>
      <c r="J181">
        <v>2026</v>
      </c>
      <c r="K181">
        <v>2</v>
      </c>
      <c r="L181" t="s">
        <v>242</v>
      </c>
      <c r="M181">
        <v>1</v>
      </c>
      <c r="N181" t="s">
        <v>190</v>
      </c>
      <c r="O181" t="s">
        <v>191</v>
      </c>
      <c r="P181" t="s">
        <v>199</v>
      </c>
      <c r="Q181" t="s">
        <v>199</v>
      </c>
      <c r="R181">
        <v>9</v>
      </c>
      <c r="S181">
        <v>27</v>
      </c>
      <c r="T181">
        <v>5474</v>
      </c>
      <c r="U181">
        <v>3</v>
      </c>
      <c r="V181" t="s">
        <v>298</v>
      </c>
      <c r="W181" t="s">
        <v>54</v>
      </c>
      <c r="X181" t="s">
        <v>19</v>
      </c>
      <c r="Y181" t="s">
        <v>55</v>
      </c>
      <c r="Z181" t="s">
        <v>56</v>
      </c>
      <c r="AA181">
        <v>70</v>
      </c>
      <c r="AB181">
        <v>201001</v>
      </c>
      <c r="AC181" t="s">
        <v>248</v>
      </c>
      <c r="AD181" t="s">
        <v>249</v>
      </c>
      <c r="AE181">
        <v>26</v>
      </c>
      <c r="AF181">
        <v>26</v>
      </c>
      <c r="AG181">
        <v>212.8</v>
      </c>
      <c r="AH181">
        <v>0</v>
      </c>
      <c r="AI181">
        <v>0</v>
      </c>
      <c r="AJ181">
        <v>0</v>
      </c>
      <c r="AK181">
        <v>995.9</v>
      </c>
      <c r="AL181">
        <v>5532.8</v>
      </c>
      <c r="AM181">
        <v>6529</v>
      </c>
      <c r="AN181">
        <v>94</v>
      </c>
      <c r="AO181" t="s">
        <v>64</v>
      </c>
      <c r="AP181" t="s">
        <v>66</v>
      </c>
      <c r="AQ181">
        <v>10</v>
      </c>
      <c r="AR181">
        <v>113</v>
      </c>
      <c r="AS181" t="s">
        <v>89</v>
      </c>
      <c r="AT181">
        <v>82101</v>
      </c>
      <c r="AU181" t="s">
        <v>252</v>
      </c>
      <c r="AV181" t="s">
        <v>80</v>
      </c>
      <c r="AW181" t="s">
        <v>50</v>
      </c>
      <c r="AX181" t="s">
        <v>51</v>
      </c>
      <c r="AY181" t="s">
        <v>65</v>
      </c>
      <c r="AZ181" t="s">
        <v>240</v>
      </c>
      <c r="BA181" t="s">
        <v>436</v>
      </c>
      <c r="BB181">
        <v>0</v>
      </c>
      <c r="BC181">
        <v>0</v>
      </c>
      <c r="BD181" t="s">
        <v>199</v>
      </c>
      <c r="BE181" t="s">
        <v>199</v>
      </c>
      <c r="BF181">
        <v>0</v>
      </c>
      <c r="BG181">
        <v>0</v>
      </c>
      <c r="BH181" t="s">
        <v>200</v>
      </c>
      <c r="BI181">
        <v>13</v>
      </c>
      <c r="BJ181">
        <v>6245918</v>
      </c>
      <c r="BK181" t="s">
        <v>201</v>
      </c>
      <c r="BL181" t="s">
        <v>190</v>
      </c>
    </row>
    <row r="182" spans="1:64" x14ac:dyDescent="0.3">
      <c r="A182">
        <v>254</v>
      </c>
      <c r="B182" t="s">
        <v>186</v>
      </c>
      <c r="C182">
        <v>3</v>
      </c>
      <c r="D182">
        <v>6245918</v>
      </c>
      <c r="E182" t="s">
        <v>297</v>
      </c>
      <c r="F182" t="s">
        <v>188</v>
      </c>
      <c r="G182">
        <v>10074827</v>
      </c>
      <c r="H182" s="35">
        <v>46080</v>
      </c>
      <c r="I182" s="35">
        <v>46080</v>
      </c>
      <c r="J182">
        <v>2026</v>
      </c>
      <c r="K182">
        <v>2</v>
      </c>
      <c r="L182" t="s">
        <v>242</v>
      </c>
      <c r="M182">
        <v>1</v>
      </c>
      <c r="N182" t="s">
        <v>190</v>
      </c>
      <c r="O182" t="s">
        <v>191</v>
      </c>
      <c r="P182" t="s">
        <v>199</v>
      </c>
      <c r="Q182" t="s">
        <v>199</v>
      </c>
      <c r="R182">
        <v>9</v>
      </c>
      <c r="S182">
        <v>27</v>
      </c>
      <c r="T182">
        <v>5474</v>
      </c>
      <c r="U182">
        <v>3</v>
      </c>
      <c r="V182" t="s">
        <v>298</v>
      </c>
      <c r="W182" t="s">
        <v>54</v>
      </c>
      <c r="X182" t="s">
        <v>19</v>
      </c>
      <c r="Y182" t="s">
        <v>55</v>
      </c>
      <c r="Z182" t="s">
        <v>56</v>
      </c>
      <c r="AA182">
        <v>70</v>
      </c>
      <c r="AB182">
        <v>611049</v>
      </c>
      <c r="AC182" t="s">
        <v>437</v>
      </c>
      <c r="AD182" t="s">
        <v>438</v>
      </c>
      <c r="AE182">
        <v>1</v>
      </c>
      <c r="AF182">
        <v>24</v>
      </c>
      <c r="AG182">
        <v>27.76</v>
      </c>
      <c r="AH182">
        <v>0</v>
      </c>
      <c r="AI182">
        <v>0</v>
      </c>
      <c r="AJ182">
        <v>0</v>
      </c>
      <c r="AK182">
        <v>119.92</v>
      </c>
      <c r="AL182">
        <v>666.24</v>
      </c>
      <c r="AM182">
        <v>786</v>
      </c>
      <c r="AN182">
        <v>94</v>
      </c>
      <c r="AO182" t="s">
        <v>64</v>
      </c>
      <c r="AP182" t="s">
        <v>66</v>
      </c>
      <c r="AQ182">
        <v>10</v>
      </c>
      <c r="AR182">
        <v>113</v>
      </c>
      <c r="AS182" t="s">
        <v>89</v>
      </c>
      <c r="AT182">
        <v>82102</v>
      </c>
      <c r="AU182" t="s">
        <v>439</v>
      </c>
      <c r="AV182" t="s">
        <v>80</v>
      </c>
      <c r="AW182" t="s">
        <v>50</v>
      </c>
      <c r="AX182" t="s">
        <v>51</v>
      </c>
      <c r="AY182" t="s">
        <v>65</v>
      </c>
      <c r="AZ182" t="s">
        <v>240</v>
      </c>
      <c r="BA182" t="s">
        <v>436</v>
      </c>
      <c r="BB182">
        <v>0</v>
      </c>
      <c r="BC182">
        <v>0</v>
      </c>
      <c r="BD182" t="s">
        <v>199</v>
      </c>
      <c r="BE182" t="s">
        <v>199</v>
      </c>
      <c r="BF182">
        <v>0</v>
      </c>
      <c r="BG182">
        <v>0</v>
      </c>
      <c r="BH182" t="s">
        <v>200</v>
      </c>
      <c r="BI182">
        <v>13</v>
      </c>
      <c r="BJ182">
        <v>6245918</v>
      </c>
      <c r="BK182" t="s">
        <v>201</v>
      </c>
      <c r="BL182" t="s">
        <v>190</v>
      </c>
    </row>
    <row r="183" spans="1:64" x14ac:dyDescent="0.3">
      <c r="A183">
        <v>223</v>
      </c>
      <c r="B183" t="s">
        <v>186</v>
      </c>
      <c r="C183">
        <v>3</v>
      </c>
      <c r="D183">
        <v>6246167</v>
      </c>
      <c r="E183" t="s">
        <v>202</v>
      </c>
      <c r="F183" t="s">
        <v>188</v>
      </c>
      <c r="G183">
        <v>10075076</v>
      </c>
      <c r="H183" s="35">
        <v>46080</v>
      </c>
      <c r="I183" s="35">
        <v>46080</v>
      </c>
      <c r="J183">
        <v>2026</v>
      </c>
      <c r="K183">
        <v>2</v>
      </c>
      <c r="L183" t="s">
        <v>242</v>
      </c>
      <c r="M183">
        <v>1</v>
      </c>
      <c r="N183" t="s">
        <v>203</v>
      </c>
      <c r="O183" t="s">
        <v>191</v>
      </c>
      <c r="P183" t="s">
        <v>199</v>
      </c>
      <c r="Q183" t="s">
        <v>199</v>
      </c>
      <c r="R183">
        <v>9</v>
      </c>
      <c r="S183">
        <v>27</v>
      </c>
      <c r="T183">
        <v>12191</v>
      </c>
      <c r="U183">
        <v>3</v>
      </c>
      <c r="V183" t="s">
        <v>204</v>
      </c>
      <c r="W183" t="s">
        <v>27</v>
      </c>
      <c r="X183" t="s">
        <v>28</v>
      </c>
      <c r="Y183" t="s">
        <v>20</v>
      </c>
      <c r="Z183" t="s">
        <v>20</v>
      </c>
      <c r="AA183">
        <v>91</v>
      </c>
      <c r="AB183">
        <v>800791</v>
      </c>
      <c r="AC183" t="s">
        <v>262</v>
      </c>
      <c r="AD183" t="s">
        <v>263</v>
      </c>
      <c r="AE183">
        <v>0.16</v>
      </c>
      <c r="AF183">
        <v>4</v>
      </c>
      <c r="AG183">
        <v>153.11000000000001</v>
      </c>
      <c r="AH183">
        <v>0</v>
      </c>
      <c r="AI183">
        <v>0</v>
      </c>
      <c r="AJ183">
        <v>0</v>
      </c>
      <c r="AK183">
        <v>110.24</v>
      </c>
      <c r="AL183">
        <v>612.44000000000005</v>
      </c>
      <c r="AM183">
        <v>723</v>
      </c>
      <c r="AN183">
        <v>91</v>
      </c>
      <c r="AO183" t="s">
        <v>22</v>
      </c>
      <c r="AP183" t="s">
        <v>26</v>
      </c>
      <c r="AQ183">
        <v>10</v>
      </c>
      <c r="AR183">
        <v>207</v>
      </c>
      <c r="AS183" t="s">
        <v>81</v>
      </c>
      <c r="AT183">
        <v>65103</v>
      </c>
      <c r="AU183" t="s">
        <v>266</v>
      </c>
      <c r="AV183" t="s">
        <v>82</v>
      </c>
      <c r="AW183" t="s">
        <v>23</v>
      </c>
      <c r="AX183" t="s">
        <v>24</v>
      </c>
      <c r="AY183" t="s">
        <v>25</v>
      </c>
      <c r="AZ183" t="s">
        <v>197</v>
      </c>
      <c r="BA183" t="s">
        <v>440</v>
      </c>
      <c r="BB183">
        <v>0</v>
      </c>
      <c r="BC183">
        <v>0</v>
      </c>
      <c r="BD183" t="s">
        <v>199</v>
      </c>
      <c r="BE183" t="s">
        <v>199</v>
      </c>
      <c r="BF183">
        <v>0</v>
      </c>
      <c r="BG183">
        <v>0</v>
      </c>
      <c r="BH183" t="s">
        <v>200</v>
      </c>
      <c r="BI183">
        <v>13</v>
      </c>
      <c r="BJ183">
        <v>6246167</v>
      </c>
      <c r="BK183" t="s">
        <v>201</v>
      </c>
      <c r="BL183" t="s">
        <v>190</v>
      </c>
    </row>
    <row r="184" spans="1:64" x14ac:dyDescent="0.3">
      <c r="A184">
        <v>223</v>
      </c>
      <c r="B184" t="s">
        <v>186</v>
      </c>
      <c r="C184">
        <v>3</v>
      </c>
      <c r="D184">
        <v>6246167</v>
      </c>
      <c r="E184" t="s">
        <v>202</v>
      </c>
      <c r="F184" t="s">
        <v>188</v>
      </c>
      <c r="G184">
        <v>10075076</v>
      </c>
      <c r="H184" s="35">
        <v>46080</v>
      </c>
      <c r="I184" s="35">
        <v>46080</v>
      </c>
      <c r="J184">
        <v>2026</v>
      </c>
      <c r="K184">
        <v>2</v>
      </c>
      <c r="L184" t="s">
        <v>242</v>
      </c>
      <c r="M184">
        <v>1</v>
      </c>
      <c r="N184" t="s">
        <v>203</v>
      </c>
      <c r="O184" t="s">
        <v>191</v>
      </c>
      <c r="P184" t="s">
        <v>199</v>
      </c>
      <c r="Q184" t="s">
        <v>199</v>
      </c>
      <c r="R184">
        <v>9</v>
      </c>
      <c r="S184">
        <v>27</v>
      </c>
      <c r="T184">
        <v>12191</v>
      </c>
      <c r="U184">
        <v>3</v>
      </c>
      <c r="V184" t="s">
        <v>204</v>
      </c>
      <c r="W184" t="s">
        <v>27</v>
      </c>
      <c r="X184" t="s">
        <v>28</v>
      </c>
      <c r="Y184" t="s">
        <v>20</v>
      </c>
      <c r="Z184" t="s">
        <v>20</v>
      </c>
      <c r="AA184">
        <v>91</v>
      </c>
      <c r="AB184">
        <v>800792</v>
      </c>
      <c r="AC184" t="s">
        <v>304</v>
      </c>
      <c r="AD184" t="s">
        <v>305</v>
      </c>
      <c r="AE184">
        <v>0.08</v>
      </c>
      <c r="AF184">
        <v>2</v>
      </c>
      <c r="AG184">
        <v>153.11000000000001</v>
      </c>
      <c r="AH184">
        <v>0</v>
      </c>
      <c r="AI184">
        <v>0</v>
      </c>
      <c r="AJ184">
        <v>0</v>
      </c>
      <c r="AK184">
        <v>55.12</v>
      </c>
      <c r="AL184">
        <v>306.22000000000003</v>
      </c>
      <c r="AM184">
        <v>361</v>
      </c>
      <c r="AN184">
        <v>91</v>
      </c>
      <c r="AO184" t="s">
        <v>22</v>
      </c>
      <c r="AP184" t="s">
        <v>26</v>
      </c>
      <c r="AQ184">
        <v>10</v>
      </c>
      <c r="AR184">
        <v>207</v>
      </c>
      <c r="AS184" t="s">
        <v>81</v>
      </c>
      <c r="AT184">
        <v>65103</v>
      </c>
      <c r="AU184" t="s">
        <v>266</v>
      </c>
      <c r="AV184" t="s">
        <v>82</v>
      </c>
      <c r="AW184" t="s">
        <v>23</v>
      </c>
      <c r="AX184" t="s">
        <v>24</v>
      </c>
      <c r="AY184" t="s">
        <v>25</v>
      </c>
      <c r="AZ184" t="s">
        <v>197</v>
      </c>
      <c r="BA184" t="s">
        <v>440</v>
      </c>
      <c r="BB184">
        <v>0</v>
      </c>
      <c r="BC184">
        <v>0</v>
      </c>
      <c r="BD184" t="s">
        <v>199</v>
      </c>
      <c r="BE184" t="s">
        <v>199</v>
      </c>
      <c r="BF184">
        <v>0</v>
      </c>
      <c r="BG184">
        <v>0</v>
      </c>
      <c r="BH184" t="s">
        <v>200</v>
      </c>
      <c r="BI184">
        <v>13</v>
      </c>
      <c r="BJ184">
        <v>6246167</v>
      </c>
      <c r="BK184" t="s">
        <v>201</v>
      </c>
      <c r="BL184" t="s">
        <v>190</v>
      </c>
    </row>
    <row r="185" spans="1:64" x14ac:dyDescent="0.3">
      <c r="A185">
        <v>223</v>
      </c>
      <c r="B185" t="s">
        <v>186</v>
      </c>
      <c r="C185">
        <v>3</v>
      </c>
      <c r="D185">
        <v>6248104</v>
      </c>
      <c r="E185" t="s">
        <v>202</v>
      </c>
      <c r="F185" t="s">
        <v>188</v>
      </c>
      <c r="G185">
        <v>10077013</v>
      </c>
      <c r="H185" s="35">
        <v>46081</v>
      </c>
      <c r="I185" s="35">
        <v>46081</v>
      </c>
      <c r="J185">
        <v>2026</v>
      </c>
      <c r="K185">
        <v>2</v>
      </c>
      <c r="L185" t="s">
        <v>242</v>
      </c>
      <c r="M185">
        <v>1</v>
      </c>
      <c r="N185" t="s">
        <v>203</v>
      </c>
      <c r="O185" t="s">
        <v>191</v>
      </c>
      <c r="P185" t="s">
        <v>199</v>
      </c>
      <c r="Q185" t="s">
        <v>199</v>
      </c>
      <c r="R185">
        <v>9</v>
      </c>
      <c r="S185">
        <v>28</v>
      </c>
      <c r="T185">
        <v>1019</v>
      </c>
      <c r="U185">
        <v>3</v>
      </c>
      <c r="V185" t="s">
        <v>270</v>
      </c>
      <c r="W185" t="s">
        <v>46</v>
      </c>
      <c r="X185" t="s">
        <v>19</v>
      </c>
      <c r="Y185" t="s">
        <v>41</v>
      </c>
      <c r="Z185" t="s">
        <v>41</v>
      </c>
      <c r="AA185">
        <v>60</v>
      </c>
      <c r="AB185">
        <v>930121</v>
      </c>
      <c r="AC185" t="s">
        <v>441</v>
      </c>
      <c r="AD185" t="s">
        <v>442</v>
      </c>
      <c r="AE185">
        <v>0.33333333333332998</v>
      </c>
      <c r="AF185">
        <v>10</v>
      </c>
      <c r="AG185">
        <v>58.16</v>
      </c>
      <c r="AH185">
        <v>0</v>
      </c>
      <c r="AI185">
        <v>0</v>
      </c>
      <c r="AJ185">
        <v>0</v>
      </c>
      <c r="AK185">
        <v>104.69</v>
      </c>
      <c r="AL185">
        <v>581.6</v>
      </c>
      <c r="AM185">
        <v>686</v>
      </c>
      <c r="AN185">
        <v>8</v>
      </c>
      <c r="AO185" t="s">
        <v>37</v>
      </c>
      <c r="AP185" t="s">
        <v>39</v>
      </c>
      <c r="AQ185">
        <v>10</v>
      </c>
      <c r="AR185">
        <v>209</v>
      </c>
      <c r="AS185" t="s">
        <v>88</v>
      </c>
      <c r="AT185">
        <v>0</v>
      </c>
      <c r="AU185" t="s">
        <v>199</v>
      </c>
      <c r="AV185" t="s">
        <v>82</v>
      </c>
      <c r="AW185" t="s">
        <v>23</v>
      </c>
      <c r="AX185" t="s">
        <v>24</v>
      </c>
      <c r="AY185" t="s">
        <v>38</v>
      </c>
      <c r="AZ185" t="s">
        <v>197</v>
      </c>
      <c r="BA185" t="s">
        <v>443</v>
      </c>
      <c r="BB185">
        <v>0</v>
      </c>
      <c r="BC185">
        <v>0</v>
      </c>
      <c r="BD185" t="s">
        <v>199</v>
      </c>
      <c r="BE185" t="s">
        <v>199</v>
      </c>
      <c r="BF185">
        <v>0</v>
      </c>
      <c r="BG185">
        <v>0</v>
      </c>
      <c r="BH185" t="s">
        <v>200</v>
      </c>
      <c r="BI185">
        <v>13</v>
      </c>
      <c r="BJ185">
        <v>6248104</v>
      </c>
      <c r="BK185" t="s">
        <v>201</v>
      </c>
      <c r="BL185" t="s">
        <v>190</v>
      </c>
    </row>
    <row r="186" spans="1:64" x14ac:dyDescent="0.3">
      <c r="A186">
        <v>223</v>
      </c>
      <c r="B186" t="s">
        <v>186</v>
      </c>
      <c r="C186">
        <v>3</v>
      </c>
      <c r="D186">
        <v>6248104</v>
      </c>
      <c r="E186" t="s">
        <v>202</v>
      </c>
      <c r="F186" t="s">
        <v>188</v>
      </c>
      <c r="G186">
        <v>10077013</v>
      </c>
      <c r="H186" s="35">
        <v>46081</v>
      </c>
      <c r="I186" s="35">
        <v>46081</v>
      </c>
      <c r="J186">
        <v>2026</v>
      </c>
      <c r="K186">
        <v>2</v>
      </c>
      <c r="L186" t="s">
        <v>242</v>
      </c>
      <c r="M186">
        <v>1</v>
      </c>
      <c r="N186" t="s">
        <v>203</v>
      </c>
      <c r="O186" t="s">
        <v>191</v>
      </c>
      <c r="P186" t="s">
        <v>199</v>
      </c>
      <c r="Q186" t="s">
        <v>199</v>
      </c>
      <c r="R186">
        <v>9</v>
      </c>
      <c r="S186">
        <v>28</v>
      </c>
      <c r="T186">
        <v>1019</v>
      </c>
      <c r="U186">
        <v>3</v>
      </c>
      <c r="V186" t="s">
        <v>270</v>
      </c>
      <c r="W186" t="s">
        <v>46</v>
      </c>
      <c r="X186" t="s">
        <v>19</v>
      </c>
      <c r="Y186" t="s">
        <v>41</v>
      </c>
      <c r="Z186" t="s">
        <v>41</v>
      </c>
      <c r="AA186">
        <v>60</v>
      </c>
      <c r="AB186">
        <v>930025</v>
      </c>
      <c r="AC186" t="s">
        <v>306</v>
      </c>
      <c r="AD186" t="s">
        <v>307</v>
      </c>
      <c r="AE186">
        <v>0.27777777777777002</v>
      </c>
      <c r="AF186">
        <v>10</v>
      </c>
      <c r="AG186">
        <v>58.16</v>
      </c>
      <c r="AH186">
        <v>0</v>
      </c>
      <c r="AI186">
        <v>0</v>
      </c>
      <c r="AJ186">
        <v>0</v>
      </c>
      <c r="AK186">
        <v>104.69</v>
      </c>
      <c r="AL186">
        <v>581.6</v>
      </c>
      <c r="AM186">
        <v>686</v>
      </c>
      <c r="AN186">
        <v>8</v>
      </c>
      <c r="AO186" t="s">
        <v>37</v>
      </c>
      <c r="AP186" t="s">
        <v>39</v>
      </c>
      <c r="AQ186">
        <v>10</v>
      </c>
      <c r="AR186">
        <v>209</v>
      </c>
      <c r="AS186" t="s">
        <v>88</v>
      </c>
      <c r="AT186">
        <v>0</v>
      </c>
      <c r="AU186" t="s">
        <v>199</v>
      </c>
      <c r="AV186" t="s">
        <v>82</v>
      </c>
      <c r="AW186" t="s">
        <v>23</v>
      </c>
      <c r="AX186" t="s">
        <v>24</v>
      </c>
      <c r="AY186" t="s">
        <v>38</v>
      </c>
      <c r="AZ186" t="s">
        <v>197</v>
      </c>
      <c r="BA186" t="s">
        <v>443</v>
      </c>
      <c r="BB186">
        <v>0</v>
      </c>
      <c r="BC186">
        <v>0</v>
      </c>
      <c r="BD186" t="s">
        <v>199</v>
      </c>
      <c r="BE186" t="s">
        <v>199</v>
      </c>
      <c r="BF186">
        <v>0</v>
      </c>
      <c r="BG186">
        <v>0</v>
      </c>
      <c r="BH186" t="s">
        <v>200</v>
      </c>
      <c r="BI186">
        <v>13</v>
      </c>
      <c r="BJ186">
        <v>6248104</v>
      </c>
      <c r="BK186" t="s">
        <v>201</v>
      </c>
      <c r="BL186" t="s">
        <v>190</v>
      </c>
    </row>
    <row r="187" spans="1:64" x14ac:dyDescent="0.3">
      <c r="A187">
        <v>223</v>
      </c>
      <c r="B187" t="s">
        <v>186</v>
      </c>
      <c r="C187">
        <v>3</v>
      </c>
      <c r="D187">
        <v>6248941</v>
      </c>
      <c r="E187" t="s">
        <v>202</v>
      </c>
      <c r="F187" t="s">
        <v>188</v>
      </c>
      <c r="G187">
        <v>10077850</v>
      </c>
      <c r="H187" s="35">
        <v>46081</v>
      </c>
      <c r="I187" s="35">
        <v>46081</v>
      </c>
      <c r="J187">
        <v>2026</v>
      </c>
      <c r="K187">
        <v>2</v>
      </c>
      <c r="L187" t="s">
        <v>242</v>
      </c>
      <c r="M187">
        <v>1</v>
      </c>
      <c r="N187" t="s">
        <v>190</v>
      </c>
      <c r="O187" t="s">
        <v>191</v>
      </c>
      <c r="P187" t="s">
        <v>199</v>
      </c>
      <c r="Q187" t="s">
        <v>199</v>
      </c>
      <c r="R187">
        <v>9</v>
      </c>
      <c r="S187">
        <v>28</v>
      </c>
      <c r="T187">
        <v>12191</v>
      </c>
      <c r="U187">
        <v>3</v>
      </c>
      <c r="V187" t="s">
        <v>204</v>
      </c>
      <c r="W187" t="s">
        <v>27</v>
      </c>
      <c r="X187" t="s">
        <v>28</v>
      </c>
      <c r="Y187" t="s">
        <v>20</v>
      </c>
      <c r="Z187" t="s">
        <v>20</v>
      </c>
      <c r="AA187">
        <v>91</v>
      </c>
      <c r="AB187">
        <v>201001</v>
      </c>
      <c r="AC187" t="s">
        <v>248</v>
      </c>
      <c r="AD187" t="s">
        <v>249</v>
      </c>
      <c r="AE187">
        <v>25</v>
      </c>
      <c r="AF187">
        <v>25</v>
      </c>
      <c r="AG187">
        <v>212.8</v>
      </c>
      <c r="AH187">
        <v>0</v>
      </c>
      <c r="AI187">
        <v>0</v>
      </c>
      <c r="AJ187">
        <v>0</v>
      </c>
      <c r="AK187">
        <v>957.6</v>
      </c>
      <c r="AL187">
        <v>5320</v>
      </c>
      <c r="AM187">
        <v>6278</v>
      </c>
      <c r="AN187">
        <v>91</v>
      </c>
      <c r="AO187" t="s">
        <v>22</v>
      </c>
      <c r="AP187" t="s">
        <v>26</v>
      </c>
      <c r="AQ187">
        <v>10</v>
      </c>
      <c r="AR187">
        <v>113</v>
      </c>
      <c r="AS187" t="s">
        <v>89</v>
      </c>
      <c r="AT187">
        <v>82101</v>
      </c>
      <c r="AU187" t="s">
        <v>252</v>
      </c>
      <c r="AV187" t="s">
        <v>80</v>
      </c>
      <c r="AW187" t="s">
        <v>23</v>
      </c>
      <c r="AX187" t="s">
        <v>24</v>
      </c>
      <c r="AY187" t="s">
        <v>25</v>
      </c>
      <c r="AZ187" t="s">
        <v>197</v>
      </c>
      <c r="BA187" t="s">
        <v>444</v>
      </c>
      <c r="BB187">
        <v>0</v>
      </c>
      <c r="BC187">
        <v>0</v>
      </c>
      <c r="BD187" t="s">
        <v>199</v>
      </c>
      <c r="BE187" t="s">
        <v>199</v>
      </c>
      <c r="BF187">
        <v>0</v>
      </c>
      <c r="BG187">
        <v>0</v>
      </c>
      <c r="BH187" t="s">
        <v>200</v>
      </c>
      <c r="BI187">
        <v>13</v>
      </c>
      <c r="BJ187">
        <v>6248941</v>
      </c>
      <c r="BK187" t="s">
        <v>201</v>
      </c>
      <c r="BL187" t="s">
        <v>190</v>
      </c>
    </row>
    <row r="188" spans="1:64" x14ac:dyDescent="0.3">
      <c r="A188">
        <v>242</v>
      </c>
      <c r="B188" t="s">
        <v>186</v>
      </c>
      <c r="C188">
        <v>3</v>
      </c>
      <c r="D188">
        <v>6252504</v>
      </c>
      <c r="E188" t="s">
        <v>275</v>
      </c>
      <c r="F188" t="s">
        <v>188</v>
      </c>
      <c r="G188">
        <v>10081413</v>
      </c>
      <c r="H188" s="35">
        <v>46084</v>
      </c>
      <c r="I188" s="35">
        <v>46084</v>
      </c>
      <c r="J188">
        <v>2026</v>
      </c>
      <c r="K188">
        <v>3</v>
      </c>
      <c r="L188" t="s">
        <v>242</v>
      </c>
      <c r="M188">
        <v>1</v>
      </c>
      <c r="N188" t="s">
        <v>190</v>
      </c>
      <c r="O188" t="s">
        <v>191</v>
      </c>
      <c r="P188" t="s">
        <v>199</v>
      </c>
      <c r="Q188" t="s">
        <v>199</v>
      </c>
      <c r="R188">
        <v>10</v>
      </c>
      <c r="S188">
        <v>3</v>
      </c>
      <c r="T188">
        <v>14167</v>
      </c>
      <c r="U188">
        <v>3</v>
      </c>
      <c r="V188" t="s">
        <v>208</v>
      </c>
      <c r="W188" t="s">
        <v>18</v>
      </c>
      <c r="X188" t="s">
        <v>19</v>
      </c>
      <c r="Y188" t="s">
        <v>20</v>
      </c>
      <c r="Z188" t="s">
        <v>20</v>
      </c>
      <c r="AA188">
        <v>91</v>
      </c>
      <c r="AB188">
        <v>800088</v>
      </c>
      <c r="AC188" t="s">
        <v>276</v>
      </c>
      <c r="AD188" t="s">
        <v>277</v>
      </c>
      <c r="AE188">
        <v>3</v>
      </c>
      <c r="AF188">
        <v>24</v>
      </c>
      <c r="AG188">
        <v>349.28</v>
      </c>
      <c r="AH188">
        <v>0</v>
      </c>
      <c r="AI188">
        <v>0</v>
      </c>
      <c r="AJ188">
        <v>0</v>
      </c>
      <c r="AK188">
        <v>1508.89</v>
      </c>
      <c r="AL188">
        <v>8382.7199999999993</v>
      </c>
      <c r="AM188">
        <v>9892</v>
      </c>
      <c r="AN188">
        <v>3</v>
      </c>
      <c r="AO188" t="s">
        <v>403</v>
      </c>
      <c r="AP188" t="s">
        <v>404</v>
      </c>
      <c r="AQ188">
        <v>10</v>
      </c>
      <c r="AR188">
        <v>105</v>
      </c>
      <c r="AS188" t="s">
        <v>85</v>
      </c>
      <c r="AT188">
        <v>677001</v>
      </c>
      <c r="AU188" t="s">
        <v>273</v>
      </c>
      <c r="AV188" t="s">
        <v>86</v>
      </c>
      <c r="AW188" t="s">
        <v>23</v>
      </c>
      <c r="AX188" t="s">
        <v>24</v>
      </c>
      <c r="AY188" t="s">
        <v>405</v>
      </c>
      <c r="AZ188" t="s">
        <v>197</v>
      </c>
      <c r="BA188" t="s">
        <v>445</v>
      </c>
      <c r="BB188">
        <v>0</v>
      </c>
      <c r="BC188">
        <v>0</v>
      </c>
      <c r="BD188" t="s">
        <v>199</v>
      </c>
      <c r="BE188" t="s">
        <v>199</v>
      </c>
      <c r="BF188">
        <v>0</v>
      </c>
      <c r="BG188">
        <v>0</v>
      </c>
      <c r="BH188" t="s">
        <v>200</v>
      </c>
      <c r="BI188">
        <v>13</v>
      </c>
      <c r="BJ188">
        <v>6252504</v>
      </c>
      <c r="BK188" t="s">
        <v>201</v>
      </c>
      <c r="BL188" t="s">
        <v>190</v>
      </c>
    </row>
    <row r="189" spans="1:64" x14ac:dyDescent="0.3">
      <c r="A189">
        <v>223</v>
      </c>
      <c r="B189" t="s">
        <v>186</v>
      </c>
      <c r="C189">
        <v>3</v>
      </c>
      <c r="D189">
        <v>6254377</v>
      </c>
      <c r="E189" t="s">
        <v>202</v>
      </c>
      <c r="F189" t="s">
        <v>188</v>
      </c>
      <c r="G189">
        <v>10083287</v>
      </c>
      <c r="H189" s="35">
        <v>46085</v>
      </c>
      <c r="I189" s="35">
        <v>46085</v>
      </c>
      <c r="J189">
        <v>2026</v>
      </c>
      <c r="K189">
        <v>3</v>
      </c>
      <c r="L189" t="s">
        <v>242</v>
      </c>
      <c r="M189">
        <v>1</v>
      </c>
      <c r="N189" t="s">
        <v>203</v>
      </c>
      <c r="O189" t="s">
        <v>191</v>
      </c>
      <c r="P189" t="s">
        <v>199</v>
      </c>
      <c r="Q189" t="s">
        <v>199</v>
      </c>
      <c r="R189">
        <v>10</v>
      </c>
      <c r="S189">
        <v>4</v>
      </c>
      <c r="T189">
        <v>12191</v>
      </c>
      <c r="U189">
        <v>3</v>
      </c>
      <c r="V189" t="s">
        <v>204</v>
      </c>
      <c r="W189" t="s">
        <v>27</v>
      </c>
      <c r="X189" t="s">
        <v>28</v>
      </c>
      <c r="Y189" t="s">
        <v>20</v>
      </c>
      <c r="Z189" t="s">
        <v>20</v>
      </c>
      <c r="AA189">
        <v>91</v>
      </c>
      <c r="AB189">
        <v>800791</v>
      </c>
      <c r="AC189" t="s">
        <v>262</v>
      </c>
      <c r="AD189" t="s">
        <v>263</v>
      </c>
      <c r="AE189">
        <v>1</v>
      </c>
      <c r="AF189">
        <v>25</v>
      </c>
      <c r="AG189">
        <v>153.11000000000001</v>
      </c>
      <c r="AH189">
        <v>0</v>
      </c>
      <c r="AI189">
        <v>0</v>
      </c>
      <c r="AJ189">
        <v>0</v>
      </c>
      <c r="AK189">
        <v>689</v>
      </c>
      <c r="AL189">
        <v>3827.75</v>
      </c>
      <c r="AM189">
        <v>4517</v>
      </c>
      <c r="AN189">
        <v>91</v>
      </c>
      <c r="AO189" t="s">
        <v>22</v>
      </c>
      <c r="AP189" t="s">
        <v>26</v>
      </c>
      <c r="AQ189">
        <v>10</v>
      </c>
      <c r="AR189">
        <v>207</v>
      </c>
      <c r="AS189" t="s">
        <v>81</v>
      </c>
      <c r="AT189">
        <v>65103</v>
      </c>
      <c r="AU189" t="s">
        <v>266</v>
      </c>
      <c r="AV189" t="s">
        <v>82</v>
      </c>
      <c r="AW189" t="s">
        <v>23</v>
      </c>
      <c r="AX189" t="s">
        <v>24</v>
      </c>
      <c r="AY189" t="s">
        <v>25</v>
      </c>
      <c r="AZ189" t="s">
        <v>197</v>
      </c>
      <c r="BA189" t="s">
        <v>446</v>
      </c>
      <c r="BB189">
        <v>0</v>
      </c>
      <c r="BC189">
        <v>0</v>
      </c>
      <c r="BD189" t="s">
        <v>199</v>
      </c>
      <c r="BE189" t="s">
        <v>199</v>
      </c>
      <c r="BF189">
        <v>0</v>
      </c>
      <c r="BG189">
        <v>0</v>
      </c>
      <c r="BH189" t="s">
        <v>200</v>
      </c>
      <c r="BI189">
        <v>13</v>
      </c>
      <c r="BJ189">
        <v>6254377</v>
      </c>
      <c r="BK189" t="s">
        <v>201</v>
      </c>
      <c r="BL189" t="s">
        <v>190</v>
      </c>
    </row>
    <row r="190" spans="1:64" x14ac:dyDescent="0.3">
      <c r="A190">
        <v>109</v>
      </c>
      <c r="B190" t="s">
        <v>186</v>
      </c>
      <c r="C190">
        <v>3</v>
      </c>
      <c r="D190">
        <v>6254525</v>
      </c>
      <c r="E190" t="s">
        <v>187</v>
      </c>
      <c r="F190" t="s">
        <v>188</v>
      </c>
      <c r="G190">
        <v>10083435</v>
      </c>
      <c r="H190" s="35">
        <v>46085</v>
      </c>
      <c r="I190" s="35">
        <v>46085</v>
      </c>
      <c r="J190">
        <v>2026</v>
      </c>
      <c r="K190">
        <v>3</v>
      </c>
      <c r="L190" t="s">
        <v>242</v>
      </c>
      <c r="M190">
        <v>1</v>
      </c>
      <c r="N190" t="s">
        <v>190</v>
      </c>
      <c r="O190" t="s">
        <v>191</v>
      </c>
      <c r="P190" t="s">
        <v>199</v>
      </c>
      <c r="Q190" t="s">
        <v>199</v>
      </c>
      <c r="R190">
        <v>10</v>
      </c>
      <c r="S190">
        <v>4</v>
      </c>
      <c r="T190">
        <v>14167</v>
      </c>
      <c r="U190">
        <v>3</v>
      </c>
      <c r="V190" t="s">
        <v>208</v>
      </c>
      <c r="W190" t="s">
        <v>18</v>
      </c>
      <c r="X190" t="s">
        <v>19</v>
      </c>
      <c r="Y190" t="s">
        <v>20</v>
      </c>
      <c r="Z190" t="s">
        <v>20</v>
      </c>
      <c r="AA190">
        <v>91</v>
      </c>
      <c r="AB190">
        <v>101038</v>
      </c>
      <c r="AC190" t="s">
        <v>271</v>
      </c>
      <c r="AD190" t="s">
        <v>272</v>
      </c>
      <c r="AE190">
        <v>1</v>
      </c>
      <c r="AF190">
        <v>10</v>
      </c>
      <c r="AG190">
        <v>357.83</v>
      </c>
      <c r="AH190">
        <v>0</v>
      </c>
      <c r="AI190">
        <v>0</v>
      </c>
      <c r="AJ190">
        <v>0</v>
      </c>
      <c r="AK190">
        <v>644.09</v>
      </c>
      <c r="AL190">
        <v>3578.3</v>
      </c>
      <c r="AM190">
        <v>4222</v>
      </c>
      <c r="AN190">
        <v>3</v>
      </c>
      <c r="AO190" t="s">
        <v>403</v>
      </c>
      <c r="AP190" t="s">
        <v>404</v>
      </c>
      <c r="AQ190">
        <v>10</v>
      </c>
      <c r="AR190">
        <v>105</v>
      </c>
      <c r="AS190" t="s">
        <v>85</v>
      </c>
      <c r="AT190">
        <v>677001</v>
      </c>
      <c r="AU190" t="s">
        <v>273</v>
      </c>
      <c r="AV190" t="s">
        <v>86</v>
      </c>
      <c r="AW190" t="s">
        <v>23</v>
      </c>
      <c r="AX190" t="s">
        <v>24</v>
      </c>
      <c r="AY190" t="s">
        <v>405</v>
      </c>
      <c r="AZ190" t="s">
        <v>197</v>
      </c>
      <c r="BA190" t="s">
        <v>447</v>
      </c>
      <c r="BB190">
        <v>0</v>
      </c>
      <c r="BC190">
        <v>0</v>
      </c>
      <c r="BD190" t="s">
        <v>199</v>
      </c>
      <c r="BE190" t="s">
        <v>199</v>
      </c>
      <c r="BF190">
        <v>0</v>
      </c>
      <c r="BG190">
        <v>0</v>
      </c>
      <c r="BH190" t="s">
        <v>200</v>
      </c>
      <c r="BI190">
        <v>13</v>
      </c>
      <c r="BJ190">
        <v>6254525</v>
      </c>
      <c r="BK190" t="s">
        <v>201</v>
      </c>
      <c r="BL190" t="s">
        <v>190</v>
      </c>
    </row>
    <row r="191" spans="1:64" x14ac:dyDescent="0.3">
      <c r="A191">
        <v>242</v>
      </c>
      <c r="B191" t="s">
        <v>186</v>
      </c>
      <c r="C191">
        <v>3</v>
      </c>
      <c r="D191">
        <v>6254542</v>
      </c>
      <c r="E191" t="s">
        <v>275</v>
      </c>
      <c r="F191" t="s">
        <v>188</v>
      </c>
      <c r="G191">
        <v>10083452</v>
      </c>
      <c r="H191" s="35">
        <v>46085</v>
      </c>
      <c r="I191" s="35">
        <v>46085</v>
      </c>
      <c r="J191">
        <v>2026</v>
      </c>
      <c r="K191">
        <v>3</v>
      </c>
      <c r="L191" t="s">
        <v>242</v>
      </c>
      <c r="M191">
        <v>1</v>
      </c>
      <c r="N191" t="s">
        <v>190</v>
      </c>
      <c r="O191" t="s">
        <v>191</v>
      </c>
      <c r="P191" t="s">
        <v>199</v>
      </c>
      <c r="Q191" t="s">
        <v>199</v>
      </c>
      <c r="R191">
        <v>10</v>
      </c>
      <c r="S191">
        <v>4</v>
      </c>
      <c r="T191">
        <v>2280</v>
      </c>
      <c r="U191">
        <v>3</v>
      </c>
      <c r="V191" t="s">
        <v>193</v>
      </c>
      <c r="W191" t="s">
        <v>29</v>
      </c>
      <c r="X191" t="s">
        <v>19</v>
      </c>
      <c r="Y191" t="s">
        <v>30</v>
      </c>
      <c r="Z191" t="s">
        <v>30</v>
      </c>
      <c r="AA191">
        <v>14</v>
      </c>
      <c r="AB191">
        <v>621045</v>
      </c>
      <c r="AC191" t="s">
        <v>209</v>
      </c>
      <c r="AD191" t="s">
        <v>210</v>
      </c>
      <c r="AE191">
        <v>1</v>
      </c>
      <c r="AF191">
        <v>12</v>
      </c>
      <c r="AG191">
        <v>161.94999999999999</v>
      </c>
      <c r="AH191">
        <v>0</v>
      </c>
      <c r="AI191">
        <v>0</v>
      </c>
      <c r="AJ191">
        <v>0</v>
      </c>
      <c r="AK191">
        <v>349.81</v>
      </c>
      <c r="AL191">
        <v>1943.4</v>
      </c>
      <c r="AM191">
        <v>2293</v>
      </c>
      <c r="AN191">
        <v>93</v>
      </c>
      <c r="AO191" t="s">
        <v>250</v>
      </c>
      <c r="AP191" t="s">
        <v>251</v>
      </c>
      <c r="AQ191">
        <v>10</v>
      </c>
      <c r="AR191">
        <v>138</v>
      </c>
      <c r="AS191" t="s">
        <v>90</v>
      </c>
      <c r="AT191">
        <v>73101</v>
      </c>
      <c r="AU191" t="s">
        <v>211</v>
      </c>
      <c r="AV191" t="s">
        <v>91</v>
      </c>
      <c r="AW191" t="s">
        <v>23</v>
      </c>
      <c r="AX191" t="s">
        <v>24</v>
      </c>
      <c r="AY191" t="s">
        <v>253</v>
      </c>
      <c r="AZ191" t="s">
        <v>197</v>
      </c>
      <c r="BA191" t="s">
        <v>448</v>
      </c>
      <c r="BB191">
        <v>0</v>
      </c>
      <c r="BC191">
        <v>0</v>
      </c>
      <c r="BD191" t="s">
        <v>199</v>
      </c>
      <c r="BE191" t="s">
        <v>199</v>
      </c>
      <c r="BF191">
        <v>0</v>
      </c>
      <c r="BG191">
        <v>0</v>
      </c>
      <c r="BH191" t="s">
        <v>200</v>
      </c>
      <c r="BI191">
        <v>13</v>
      </c>
      <c r="BJ191">
        <v>6254542</v>
      </c>
      <c r="BK191" t="s">
        <v>201</v>
      </c>
      <c r="BL191" t="s">
        <v>190</v>
      </c>
    </row>
    <row r="192" spans="1:64" x14ac:dyDescent="0.3">
      <c r="A192">
        <v>242</v>
      </c>
      <c r="B192" t="s">
        <v>186</v>
      </c>
      <c r="C192">
        <v>3</v>
      </c>
      <c r="D192">
        <v>6254542</v>
      </c>
      <c r="E192" t="s">
        <v>275</v>
      </c>
      <c r="F192" t="s">
        <v>188</v>
      </c>
      <c r="G192">
        <v>10083452</v>
      </c>
      <c r="H192" s="35">
        <v>46085</v>
      </c>
      <c r="I192" s="35">
        <v>46085</v>
      </c>
      <c r="J192">
        <v>2026</v>
      </c>
      <c r="K192">
        <v>3</v>
      </c>
      <c r="L192" t="s">
        <v>242</v>
      </c>
      <c r="M192">
        <v>1</v>
      </c>
      <c r="N192" t="s">
        <v>190</v>
      </c>
      <c r="O192" t="s">
        <v>191</v>
      </c>
      <c r="P192" t="s">
        <v>199</v>
      </c>
      <c r="Q192" t="s">
        <v>199</v>
      </c>
      <c r="R192">
        <v>10</v>
      </c>
      <c r="S192">
        <v>4</v>
      </c>
      <c r="T192">
        <v>2280</v>
      </c>
      <c r="U192">
        <v>3</v>
      </c>
      <c r="V192" t="s">
        <v>193</v>
      </c>
      <c r="W192" t="s">
        <v>29</v>
      </c>
      <c r="X192" t="s">
        <v>19</v>
      </c>
      <c r="Y192" t="s">
        <v>30</v>
      </c>
      <c r="Z192" t="s">
        <v>30</v>
      </c>
      <c r="AA192">
        <v>14</v>
      </c>
      <c r="AB192">
        <v>101028</v>
      </c>
      <c r="AC192" t="s">
        <v>325</v>
      </c>
      <c r="AD192" t="s">
        <v>326</v>
      </c>
      <c r="AE192">
        <v>1</v>
      </c>
      <c r="AF192">
        <v>18</v>
      </c>
      <c r="AG192">
        <v>98.4</v>
      </c>
      <c r="AH192">
        <v>0</v>
      </c>
      <c r="AI192">
        <v>0</v>
      </c>
      <c r="AJ192">
        <v>0</v>
      </c>
      <c r="AK192">
        <v>318.82</v>
      </c>
      <c r="AL192">
        <v>1771.2</v>
      </c>
      <c r="AM192">
        <v>2090</v>
      </c>
      <c r="AN192">
        <v>93</v>
      </c>
      <c r="AO192" t="s">
        <v>250</v>
      </c>
      <c r="AP192" t="s">
        <v>251</v>
      </c>
      <c r="AQ192">
        <v>10</v>
      </c>
      <c r="AR192">
        <v>105</v>
      </c>
      <c r="AS192" t="s">
        <v>85</v>
      </c>
      <c r="AT192">
        <v>677001</v>
      </c>
      <c r="AU192" t="s">
        <v>273</v>
      </c>
      <c r="AV192" t="s">
        <v>86</v>
      </c>
      <c r="AW192" t="s">
        <v>23</v>
      </c>
      <c r="AX192" t="s">
        <v>24</v>
      </c>
      <c r="AY192" t="s">
        <v>253</v>
      </c>
      <c r="AZ192" t="s">
        <v>197</v>
      </c>
      <c r="BA192" t="s">
        <v>448</v>
      </c>
      <c r="BB192">
        <v>0</v>
      </c>
      <c r="BC192">
        <v>0</v>
      </c>
      <c r="BD192" t="s">
        <v>199</v>
      </c>
      <c r="BE192" t="s">
        <v>199</v>
      </c>
      <c r="BF192">
        <v>0</v>
      </c>
      <c r="BG192">
        <v>0</v>
      </c>
      <c r="BH192" t="s">
        <v>200</v>
      </c>
      <c r="BI192">
        <v>13</v>
      </c>
      <c r="BJ192">
        <v>6254542</v>
      </c>
      <c r="BK192" t="s">
        <v>201</v>
      </c>
      <c r="BL192" t="s">
        <v>190</v>
      </c>
    </row>
    <row r="193" spans="1:64" x14ac:dyDescent="0.3">
      <c r="A193">
        <v>242</v>
      </c>
      <c r="B193" t="s">
        <v>186</v>
      </c>
      <c r="C193">
        <v>3</v>
      </c>
      <c r="D193">
        <v>6254567</v>
      </c>
      <c r="E193" t="s">
        <v>275</v>
      </c>
      <c r="F193" t="s">
        <v>188</v>
      </c>
      <c r="G193">
        <v>10083477</v>
      </c>
      <c r="H193" s="35">
        <v>46085</v>
      </c>
      <c r="I193" s="35">
        <v>46085</v>
      </c>
      <c r="J193">
        <v>2026</v>
      </c>
      <c r="K193">
        <v>3</v>
      </c>
      <c r="L193" t="s">
        <v>242</v>
      </c>
      <c r="M193">
        <v>1</v>
      </c>
      <c r="N193" t="s">
        <v>190</v>
      </c>
      <c r="O193" t="s">
        <v>191</v>
      </c>
      <c r="P193" t="s">
        <v>199</v>
      </c>
      <c r="Q193" t="s">
        <v>199</v>
      </c>
      <c r="R193">
        <v>10</v>
      </c>
      <c r="S193">
        <v>4</v>
      </c>
      <c r="T193">
        <v>2280</v>
      </c>
      <c r="U193">
        <v>3</v>
      </c>
      <c r="V193" t="s">
        <v>193</v>
      </c>
      <c r="W193" t="s">
        <v>29</v>
      </c>
      <c r="X193" t="s">
        <v>19</v>
      </c>
      <c r="Y193" t="s">
        <v>30</v>
      </c>
      <c r="Z193" t="s">
        <v>30</v>
      </c>
      <c r="AA193">
        <v>14</v>
      </c>
      <c r="AB193">
        <v>201001</v>
      </c>
      <c r="AC193" t="s">
        <v>248</v>
      </c>
      <c r="AD193" t="s">
        <v>249</v>
      </c>
      <c r="AE193">
        <v>5</v>
      </c>
      <c r="AF193">
        <v>5</v>
      </c>
      <c r="AG193">
        <v>221.67</v>
      </c>
      <c r="AH193">
        <v>0</v>
      </c>
      <c r="AI193">
        <v>0</v>
      </c>
      <c r="AJ193">
        <v>0</v>
      </c>
      <c r="AK193">
        <v>199.5</v>
      </c>
      <c r="AL193">
        <v>1108.3499999999999</v>
      </c>
      <c r="AM193">
        <v>1308</v>
      </c>
      <c r="AN193">
        <v>93</v>
      </c>
      <c r="AO193" t="s">
        <v>250</v>
      </c>
      <c r="AP193" t="s">
        <v>251</v>
      </c>
      <c r="AQ193">
        <v>10</v>
      </c>
      <c r="AR193">
        <v>113</v>
      </c>
      <c r="AS193" t="s">
        <v>89</v>
      </c>
      <c r="AT193">
        <v>82101</v>
      </c>
      <c r="AU193" t="s">
        <v>252</v>
      </c>
      <c r="AV193" t="s">
        <v>80</v>
      </c>
      <c r="AW193" t="s">
        <v>23</v>
      </c>
      <c r="AX193" t="s">
        <v>24</v>
      </c>
      <c r="AY193" t="s">
        <v>253</v>
      </c>
      <c r="AZ193" t="s">
        <v>197</v>
      </c>
      <c r="BA193" t="s">
        <v>449</v>
      </c>
      <c r="BB193">
        <v>0</v>
      </c>
      <c r="BC193">
        <v>0</v>
      </c>
      <c r="BD193" t="s">
        <v>199</v>
      </c>
      <c r="BE193" t="s">
        <v>199</v>
      </c>
      <c r="BF193">
        <v>0</v>
      </c>
      <c r="BG193">
        <v>0</v>
      </c>
      <c r="BH193" t="s">
        <v>200</v>
      </c>
      <c r="BI193">
        <v>13</v>
      </c>
      <c r="BJ193">
        <v>6254567</v>
      </c>
      <c r="BK193" t="s">
        <v>201</v>
      </c>
      <c r="BL193" t="s">
        <v>190</v>
      </c>
    </row>
    <row r="194" spans="1:64" x14ac:dyDescent="0.3">
      <c r="A194">
        <v>242</v>
      </c>
      <c r="B194" t="s">
        <v>186</v>
      </c>
      <c r="C194">
        <v>3</v>
      </c>
      <c r="D194">
        <v>6254567</v>
      </c>
      <c r="E194" t="s">
        <v>275</v>
      </c>
      <c r="F194" t="s">
        <v>188</v>
      </c>
      <c r="G194">
        <v>10083477</v>
      </c>
      <c r="H194" s="35">
        <v>46085</v>
      </c>
      <c r="I194" s="35">
        <v>46085</v>
      </c>
      <c r="J194">
        <v>2026</v>
      </c>
      <c r="K194">
        <v>3</v>
      </c>
      <c r="L194" t="s">
        <v>242</v>
      </c>
      <c r="M194">
        <v>1</v>
      </c>
      <c r="N194" t="s">
        <v>190</v>
      </c>
      <c r="O194" t="s">
        <v>191</v>
      </c>
      <c r="P194" t="s">
        <v>199</v>
      </c>
      <c r="Q194" t="s">
        <v>199</v>
      </c>
      <c r="R194">
        <v>10</v>
      </c>
      <c r="S194">
        <v>4</v>
      </c>
      <c r="T194">
        <v>2280</v>
      </c>
      <c r="U194">
        <v>3</v>
      </c>
      <c r="V194" t="s">
        <v>193</v>
      </c>
      <c r="W194" t="s">
        <v>29</v>
      </c>
      <c r="X194" t="s">
        <v>19</v>
      </c>
      <c r="Y194" t="s">
        <v>30</v>
      </c>
      <c r="Z194" t="s">
        <v>30</v>
      </c>
      <c r="AA194">
        <v>14</v>
      </c>
      <c r="AB194">
        <v>621045</v>
      </c>
      <c r="AC194" t="s">
        <v>209</v>
      </c>
      <c r="AD194" t="s">
        <v>210</v>
      </c>
      <c r="AE194">
        <v>1</v>
      </c>
      <c r="AF194">
        <v>12</v>
      </c>
      <c r="AG194">
        <v>161.94999999999999</v>
      </c>
      <c r="AH194">
        <v>0</v>
      </c>
      <c r="AI194">
        <v>0</v>
      </c>
      <c r="AJ194">
        <v>0</v>
      </c>
      <c r="AK194">
        <v>349.81</v>
      </c>
      <c r="AL194">
        <v>1943.4</v>
      </c>
      <c r="AM194">
        <v>2293</v>
      </c>
      <c r="AN194">
        <v>93</v>
      </c>
      <c r="AO194" t="s">
        <v>250</v>
      </c>
      <c r="AP194" t="s">
        <v>251</v>
      </c>
      <c r="AQ194">
        <v>10</v>
      </c>
      <c r="AR194">
        <v>138</v>
      </c>
      <c r="AS194" t="s">
        <v>90</v>
      </c>
      <c r="AT194">
        <v>73101</v>
      </c>
      <c r="AU194" t="s">
        <v>211</v>
      </c>
      <c r="AV194" t="s">
        <v>91</v>
      </c>
      <c r="AW194" t="s">
        <v>23</v>
      </c>
      <c r="AX194" t="s">
        <v>24</v>
      </c>
      <c r="AY194" t="s">
        <v>253</v>
      </c>
      <c r="AZ194" t="s">
        <v>197</v>
      </c>
      <c r="BA194" t="s">
        <v>449</v>
      </c>
      <c r="BB194">
        <v>0</v>
      </c>
      <c r="BC194">
        <v>0</v>
      </c>
      <c r="BD194" t="s">
        <v>199</v>
      </c>
      <c r="BE194" t="s">
        <v>199</v>
      </c>
      <c r="BF194">
        <v>0</v>
      </c>
      <c r="BG194">
        <v>0</v>
      </c>
      <c r="BH194" t="s">
        <v>200</v>
      </c>
      <c r="BI194">
        <v>13</v>
      </c>
      <c r="BJ194">
        <v>6254567</v>
      </c>
      <c r="BK194" t="s">
        <v>201</v>
      </c>
      <c r="BL194" t="s">
        <v>190</v>
      </c>
    </row>
    <row r="195" spans="1:64" x14ac:dyDescent="0.3">
      <c r="A195">
        <v>242</v>
      </c>
      <c r="B195" t="s">
        <v>186</v>
      </c>
      <c r="C195">
        <v>3</v>
      </c>
      <c r="D195">
        <v>6254621</v>
      </c>
      <c r="E195" t="s">
        <v>275</v>
      </c>
      <c r="F195" t="s">
        <v>188</v>
      </c>
      <c r="G195">
        <v>10083531</v>
      </c>
      <c r="H195" s="35">
        <v>46085</v>
      </c>
      <c r="I195" s="35">
        <v>46085</v>
      </c>
      <c r="J195">
        <v>2026</v>
      </c>
      <c r="K195">
        <v>3</v>
      </c>
      <c r="L195" t="s">
        <v>242</v>
      </c>
      <c r="M195">
        <v>1</v>
      </c>
      <c r="N195" t="s">
        <v>190</v>
      </c>
      <c r="O195" t="s">
        <v>191</v>
      </c>
      <c r="P195" t="s">
        <v>199</v>
      </c>
      <c r="Q195" t="s">
        <v>199</v>
      </c>
      <c r="R195">
        <v>10</v>
      </c>
      <c r="S195">
        <v>4</v>
      </c>
      <c r="T195">
        <v>19291</v>
      </c>
      <c r="U195">
        <v>3</v>
      </c>
      <c r="V195" t="s">
        <v>261</v>
      </c>
      <c r="W195" t="s">
        <v>35</v>
      </c>
      <c r="X195" t="s">
        <v>19</v>
      </c>
      <c r="Y195" t="s">
        <v>30</v>
      </c>
      <c r="Z195" t="s">
        <v>30</v>
      </c>
      <c r="AA195">
        <v>8</v>
      </c>
      <c r="AB195">
        <v>501000</v>
      </c>
      <c r="AC195" t="s">
        <v>316</v>
      </c>
      <c r="AD195" t="s">
        <v>317</v>
      </c>
      <c r="AE195">
        <v>10</v>
      </c>
      <c r="AF195">
        <v>40</v>
      </c>
      <c r="AG195">
        <v>113.26</v>
      </c>
      <c r="AH195">
        <v>0</v>
      </c>
      <c r="AI195">
        <v>0</v>
      </c>
      <c r="AJ195">
        <v>0</v>
      </c>
      <c r="AK195">
        <v>815.47</v>
      </c>
      <c r="AL195">
        <v>4530.3999999999996</v>
      </c>
      <c r="AM195">
        <v>5346</v>
      </c>
      <c r="AN195">
        <v>4</v>
      </c>
      <c r="AO195" t="s">
        <v>264</v>
      </c>
      <c r="AP195" t="s">
        <v>265</v>
      </c>
      <c r="AQ195">
        <v>10</v>
      </c>
      <c r="AR195">
        <v>114</v>
      </c>
      <c r="AS195" t="s">
        <v>79</v>
      </c>
      <c r="AT195">
        <v>66101</v>
      </c>
      <c r="AU195" t="s">
        <v>318</v>
      </c>
      <c r="AV195" t="s">
        <v>80</v>
      </c>
      <c r="AW195" t="s">
        <v>23</v>
      </c>
      <c r="AX195" t="s">
        <v>24</v>
      </c>
      <c r="AY195" t="s">
        <v>267</v>
      </c>
      <c r="AZ195" t="s">
        <v>197</v>
      </c>
      <c r="BA195" t="s">
        <v>450</v>
      </c>
      <c r="BB195">
        <v>0</v>
      </c>
      <c r="BC195">
        <v>0</v>
      </c>
      <c r="BD195" t="s">
        <v>199</v>
      </c>
      <c r="BE195" t="s">
        <v>199</v>
      </c>
      <c r="BF195">
        <v>0</v>
      </c>
      <c r="BG195">
        <v>0</v>
      </c>
      <c r="BH195" t="s">
        <v>200</v>
      </c>
      <c r="BI195">
        <v>13</v>
      </c>
      <c r="BJ195">
        <v>6254621</v>
      </c>
      <c r="BK195" t="s">
        <v>201</v>
      </c>
      <c r="BL195" t="s">
        <v>190</v>
      </c>
    </row>
    <row r="196" spans="1:64" x14ac:dyDescent="0.3">
      <c r="A196">
        <v>242</v>
      </c>
      <c r="B196" t="s">
        <v>186</v>
      </c>
      <c r="C196">
        <v>3</v>
      </c>
      <c r="D196">
        <v>6254621</v>
      </c>
      <c r="E196" t="s">
        <v>275</v>
      </c>
      <c r="F196" t="s">
        <v>188</v>
      </c>
      <c r="G196">
        <v>10083531</v>
      </c>
      <c r="H196" s="35">
        <v>46085</v>
      </c>
      <c r="I196" s="35">
        <v>46085</v>
      </c>
      <c r="J196">
        <v>2026</v>
      </c>
      <c r="K196">
        <v>3</v>
      </c>
      <c r="L196" t="s">
        <v>242</v>
      </c>
      <c r="M196">
        <v>1</v>
      </c>
      <c r="N196" t="s">
        <v>190</v>
      </c>
      <c r="O196" t="s">
        <v>191</v>
      </c>
      <c r="P196" t="s">
        <v>199</v>
      </c>
      <c r="Q196" t="s">
        <v>199</v>
      </c>
      <c r="R196">
        <v>10</v>
      </c>
      <c r="S196">
        <v>4</v>
      </c>
      <c r="T196">
        <v>19291</v>
      </c>
      <c r="U196">
        <v>3</v>
      </c>
      <c r="V196" t="s">
        <v>261</v>
      </c>
      <c r="W196" t="s">
        <v>35</v>
      </c>
      <c r="X196" t="s">
        <v>19</v>
      </c>
      <c r="Y196" t="s">
        <v>30</v>
      </c>
      <c r="Z196" t="s">
        <v>30</v>
      </c>
      <c r="AA196">
        <v>8</v>
      </c>
      <c r="AB196">
        <v>201001</v>
      </c>
      <c r="AC196" t="s">
        <v>248</v>
      </c>
      <c r="AD196" t="s">
        <v>249</v>
      </c>
      <c r="AE196">
        <v>26</v>
      </c>
      <c r="AF196">
        <v>26</v>
      </c>
      <c r="AG196">
        <v>210.59</v>
      </c>
      <c r="AH196">
        <v>0</v>
      </c>
      <c r="AI196">
        <v>0</v>
      </c>
      <c r="AJ196">
        <v>0</v>
      </c>
      <c r="AK196">
        <v>985.56</v>
      </c>
      <c r="AL196">
        <v>5475.34</v>
      </c>
      <c r="AM196">
        <v>6461</v>
      </c>
      <c r="AN196">
        <v>4</v>
      </c>
      <c r="AO196" t="s">
        <v>264</v>
      </c>
      <c r="AP196" t="s">
        <v>265</v>
      </c>
      <c r="AQ196">
        <v>10</v>
      </c>
      <c r="AR196">
        <v>113</v>
      </c>
      <c r="AS196" t="s">
        <v>89</v>
      </c>
      <c r="AT196">
        <v>82101</v>
      </c>
      <c r="AU196" t="s">
        <v>252</v>
      </c>
      <c r="AV196" t="s">
        <v>80</v>
      </c>
      <c r="AW196" t="s">
        <v>23</v>
      </c>
      <c r="AX196" t="s">
        <v>24</v>
      </c>
      <c r="AY196" t="s">
        <v>267</v>
      </c>
      <c r="AZ196" t="s">
        <v>197</v>
      </c>
      <c r="BA196" t="s">
        <v>450</v>
      </c>
      <c r="BB196">
        <v>0</v>
      </c>
      <c r="BC196">
        <v>0</v>
      </c>
      <c r="BD196" t="s">
        <v>199</v>
      </c>
      <c r="BE196" t="s">
        <v>199</v>
      </c>
      <c r="BF196">
        <v>0</v>
      </c>
      <c r="BG196">
        <v>0</v>
      </c>
      <c r="BH196" t="s">
        <v>200</v>
      </c>
      <c r="BI196">
        <v>13</v>
      </c>
      <c r="BJ196">
        <v>6254621</v>
      </c>
      <c r="BK196" t="s">
        <v>201</v>
      </c>
      <c r="BL196" t="s">
        <v>190</v>
      </c>
    </row>
    <row r="197" spans="1:64" x14ac:dyDescent="0.3">
      <c r="A197">
        <v>270</v>
      </c>
      <c r="B197" t="s">
        <v>186</v>
      </c>
      <c r="C197">
        <v>3</v>
      </c>
      <c r="D197">
        <v>6256763</v>
      </c>
      <c r="E197" t="s">
        <v>382</v>
      </c>
      <c r="F197" t="s">
        <v>188</v>
      </c>
      <c r="G197">
        <v>10085673</v>
      </c>
      <c r="H197" s="35">
        <v>46086</v>
      </c>
      <c r="I197" s="35">
        <v>46086</v>
      </c>
      <c r="J197">
        <v>2026</v>
      </c>
      <c r="K197">
        <v>3</v>
      </c>
      <c r="L197" t="s">
        <v>242</v>
      </c>
      <c r="M197">
        <v>1</v>
      </c>
      <c r="N197" t="s">
        <v>190</v>
      </c>
      <c r="O197" t="s">
        <v>191</v>
      </c>
      <c r="P197" t="s">
        <v>199</v>
      </c>
      <c r="Q197" t="s">
        <v>199</v>
      </c>
      <c r="R197">
        <v>10</v>
      </c>
      <c r="S197">
        <v>5</v>
      </c>
      <c r="T197">
        <v>37594</v>
      </c>
      <c r="U197">
        <v>3</v>
      </c>
      <c r="V197" t="s">
        <v>234</v>
      </c>
      <c r="W197" t="s">
        <v>47</v>
      </c>
      <c r="X197" t="s">
        <v>19</v>
      </c>
      <c r="Y197" t="s">
        <v>30</v>
      </c>
      <c r="Z197" t="s">
        <v>30</v>
      </c>
      <c r="AA197">
        <v>72</v>
      </c>
      <c r="AB197">
        <v>103001</v>
      </c>
      <c r="AC197" t="s">
        <v>286</v>
      </c>
      <c r="AD197" t="s">
        <v>287</v>
      </c>
      <c r="AE197">
        <v>0.5</v>
      </c>
      <c r="AF197">
        <v>24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95</v>
      </c>
      <c r="AO197" t="s">
        <v>237</v>
      </c>
      <c r="AP197" t="s">
        <v>238</v>
      </c>
      <c r="AQ197">
        <v>10</v>
      </c>
      <c r="AR197">
        <v>107</v>
      </c>
      <c r="AS197" t="s">
        <v>96</v>
      </c>
      <c r="AT197">
        <v>6770651</v>
      </c>
      <c r="AU197" t="s">
        <v>288</v>
      </c>
      <c r="AV197" t="s">
        <v>86</v>
      </c>
      <c r="AW197" t="s">
        <v>50</v>
      </c>
      <c r="AX197" t="s">
        <v>51</v>
      </c>
      <c r="AY197" t="s">
        <v>239</v>
      </c>
      <c r="AZ197" t="s">
        <v>240</v>
      </c>
      <c r="BA197" t="s">
        <v>451</v>
      </c>
      <c r="BB197">
        <v>0</v>
      </c>
      <c r="BC197">
        <v>1</v>
      </c>
      <c r="BD197">
        <v>3438</v>
      </c>
      <c r="BE197" t="s">
        <v>390</v>
      </c>
      <c r="BF197">
        <v>0</v>
      </c>
      <c r="BG197">
        <v>0</v>
      </c>
      <c r="BH197" t="s">
        <v>200</v>
      </c>
      <c r="BI197">
        <v>13</v>
      </c>
      <c r="BJ197">
        <v>6256763</v>
      </c>
      <c r="BK197" t="s">
        <v>201</v>
      </c>
      <c r="BL197" t="s">
        <v>190</v>
      </c>
    </row>
    <row r="198" spans="1:64" x14ac:dyDescent="0.3">
      <c r="A198">
        <v>270</v>
      </c>
      <c r="B198" t="s">
        <v>186</v>
      </c>
      <c r="C198">
        <v>3</v>
      </c>
      <c r="D198">
        <v>6256763</v>
      </c>
      <c r="E198" t="s">
        <v>382</v>
      </c>
      <c r="F198" t="s">
        <v>188</v>
      </c>
      <c r="G198">
        <v>10085673</v>
      </c>
      <c r="H198" s="35">
        <v>46086</v>
      </c>
      <c r="I198" s="35">
        <v>46086</v>
      </c>
      <c r="J198">
        <v>2026</v>
      </c>
      <c r="K198">
        <v>3</v>
      </c>
      <c r="L198" t="s">
        <v>242</v>
      </c>
      <c r="M198">
        <v>1</v>
      </c>
      <c r="N198" t="s">
        <v>190</v>
      </c>
      <c r="O198" t="s">
        <v>191</v>
      </c>
      <c r="P198" t="s">
        <v>199</v>
      </c>
      <c r="Q198" t="s">
        <v>199</v>
      </c>
      <c r="R198">
        <v>10</v>
      </c>
      <c r="S198">
        <v>5</v>
      </c>
      <c r="T198">
        <v>37594</v>
      </c>
      <c r="U198">
        <v>3</v>
      </c>
      <c r="V198" t="s">
        <v>234</v>
      </c>
      <c r="W198" t="s">
        <v>47</v>
      </c>
      <c r="X198" t="s">
        <v>19</v>
      </c>
      <c r="Y198" t="s">
        <v>30</v>
      </c>
      <c r="Z198" t="s">
        <v>30</v>
      </c>
      <c r="AA198">
        <v>72</v>
      </c>
      <c r="AB198">
        <v>103001</v>
      </c>
      <c r="AC198" t="s">
        <v>286</v>
      </c>
      <c r="AD198" t="s">
        <v>287</v>
      </c>
      <c r="AE198">
        <v>3</v>
      </c>
      <c r="AF198">
        <v>144</v>
      </c>
      <c r="AG198">
        <v>21.36</v>
      </c>
      <c r="AH198">
        <v>0</v>
      </c>
      <c r="AI198">
        <v>0</v>
      </c>
      <c r="AJ198">
        <v>0</v>
      </c>
      <c r="AK198">
        <v>553.65</v>
      </c>
      <c r="AL198">
        <v>3075.84</v>
      </c>
      <c r="AM198">
        <v>3629</v>
      </c>
      <c r="AN198">
        <v>95</v>
      </c>
      <c r="AO198" t="s">
        <v>237</v>
      </c>
      <c r="AP198" t="s">
        <v>238</v>
      </c>
      <c r="AQ198">
        <v>10</v>
      </c>
      <c r="AR198">
        <v>107</v>
      </c>
      <c r="AS198" t="s">
        <v>96</v>
      </c>
      <c r="AT198">
        <v>6770651</v>
      </c>
      <c r="AU198" t="s">
        <v>288</v>
      </c>
      <c r="AV198" t="s">
        <v>86</v>
      </c>
      <c r="AW198" t="s">
        <v>50</v>
      </c>
      <c r="AX198" t="s">
        <v>51</v>
      </c>
      <c r="AY198" t="s">
        <v>239</v>
      </c>
      <c r="AZ198" t="s">
        <v>240</v>
      </c>
      <c r="BA198" t="s">
        <v>451</v>
      </c>
      <c r="BB198">
        <v>0</v>
      </c>
      <c r="BC198">
        <v>0</v>
      </c>
      <c r="BD198" t="s">
        <v>199</v>
      </c>
      <c r="BE198" t="s">
        <v>199</v>
      </c>
      <c r="BF198">
        <v>0</v>
      </c>
      <c r="BG198">
        <v>0</v>
      </c>
      <c r="BH198" t="s">
        <v>200</v>
      </c>
      <c r="BI198">
        <v>13</v>
      </c>
      <c r="BJ198">
        <v>6256763</v>
      </c>
      <c r="BK198" t="s">
        <v>201</v>
      </c>
      <c r="BL198" t="s">
        <v>190</v>
      </c>
    </row>
    <row r="199" spans="1:64" x14ac:dyDescent="0.3">
      <c r="A199">
        <v>125</v>
      </c>
      <c r="B199" t="s">
        <v>186</v>
      </c>
      <c r="C199">
        <v>3</v>
      </c>
      <c r="D199">
        <v>6257700</v>
      </c>
      <c r="E199" t="s">
        <v>213</v>
      </c>
      <c r="F199" t="s">
        <v>188</v>
      </c>
      <c r="G199">
        <v>10086610</v>
      </c>
      <c r="H199" s="35">
        <v>46086</v>
      </c>
      <c r="I199" s="35">
        <v>46086</v>
      </c>
      <c r="J199">
        <v>2026</v>
      </c>
      <c r="K199">
        <v>3</v>
      </c>
      <c r="L199" t="s">
        <v>242</v>
      </c>
      <c r="M199">
        <v>1</v>
      </c>
      <c r="N199" t="s">
        <v>190</v>
      </c>
      <c r="O199" t="s">
        <v>191</v>
      </c>
      <c r="P199" t="s">
        <v>199</v>
      </c>
      <c r="Q199" t="s">
        <v>199</v>
      </c>
      <c r="R199">
        <v>10</v>
      </c>
      <c r="S199">
        <v>5</v>
      </c>
      <c r="T199">
        <v>36908</v>
      </c>
      <c r="U199">
        <v>3</v>
      </c>
      <c r="V199" t="s">
        <v>215</v>
      </c>
      <c r="W199" t="s">
        <v>67</v>
      </c>
      <c r="X199" t="s">
        <v>28</v>
      </c>
      <c r="Y199" t="s">
        <v>30</v>
      </c>
      <c r="Z199" t="s">
        <v>30</v>
      </c>
      <c r="AA199">
        <v>11</v>
      </c>
      <c r="AB199">
        <v>201001</v>
      </c>
      <c r="AC199" t="s">
        <v>248</v>
      </c>
      <c r="AD199" t="s">
        <v>249</v>
      </c>
      <c r="AE199">
        <v>125</v>
      </c>
      <c r="AF199">
        <v>125</v>
      </c>
      <c r="AG199">
        <v>208.37</v>
      </c>
      <c r="AH199">
        <v>0</v>
      </c>
      <c r="AI199">
        <v>0</v>
      </c>
      <c r="AJ199">
        <v>0</v>
      </c>
      <c r="AK199">
        <v>4688.33</v>
      </c>
      <c r="AL199">
        <v>26046.25</v>
      </c>
      <c r="AM199">
        <v>30735</v>
      </c>
      <c r="AN199">
        <v>199</v>
      </c>
      <c r="AO199" t="s">
        <v>218</v>
      </c>
      <c r="AP199" t="s">
        <v>219</v>
      </c>
      <c r="AQ199">
        <v>10</v>
      </c>
      <c r="AR199">
        <v>113</v>
      </c>
      <c r="AS199" t="s">
        <v>89</v>
      </c>
      <c r="AT199">
        <v>82101</v>
      </c>
      <c r="AU199" t="s">
        <v>252</v>
      </c>
      <c r="AV199" t="s">
        <v>80</v>
      </c>
      <c r="AW199" t="s">
        <v>70</v>
      </c>
      <c r="AX199" t="s">
        <v>71</v>
      </c>
      <c r="AY199" t="s">
        <v>220</v>
      </c>
      <c r="AZ199" t="s">
        <v>221</v>
      </c>
      <c r="BA199" t="s">
        <v>452</v>
      </c>
      <c r="BB199">
        <v>0</v>
      </c>
      <c r="BC199">
        <v>0</v>
      </c>
      <c r="BD199" t="s">
        <v>199</v>
      </c>
      <c r="BE199" t="s">
        <v>199</v>
      </c>
      <c r="BF199">
        <v>0</v>
      </c>
      <c r="BG199">
        <v>0</v>
      </c>
      <c r="BH199" t="s">
        <v>200</v>
      </c>
      <c r="BI199">
        <v>13</v>
      </c>
      <c r="BJ199">
        <v>6257700</v>
      </c>
      <c r="BK199" t="s">
        <v>201</v>
      </c>
      <c r="BL199" t="s">
        <v>190</v>
      </c>
    </row>
    <row r="200" spans="1:64" x14ac:dyDescent="0.3">
      <c r="A200">
        <v>109</v>
      </c>
      <c r="B200" t="s">
        <v>186</v>
      </c>
      <c r="C200">
        <v>3</v>
      </c>
      <c r="D200">
        <v>6259866</v>
      </c>
      <c r="E200" t="s">
        <v>187</v>
      </c>
      <c r="F200" t="s">
        <v>188</v>
      </c>
      <c r="G200">
        <v>10088776</v>
      </c>
      <c r="H200" s="35">
        <v>46087</v>
      </c>
      <c r="I200" s="35">
        <v>46087</v>
      </c>
      <c r="J200">
        <v>2026</v>
      </c>
      <c r="K200">
        <v>3</v>
      </c>
      <c r="L200" t="s">
        <v>242</v>
      </c>
      <c r="M200">
        <v>1</v>
      </c>
      <c r="N200" t="s">
        <v>190</v>
      </c>
      <c r="O200" t="s">
        <v>191</v>
      </c>
      <c r="P200" t="s">
        <v>199</v>
      </c>
      <c r="Q200" t="s">
        <v>199</v>
      </c>
      <c r="R200">
        <v>10</v>
      </c>
      <c r="S200">
        <v>6</v>
      </c>
      <c r="T200">
        <v>19291</v>
      </c>
      <c r="U200">
        <v>3</v>
      </c>
      <c r="V200" t="s">
        <v>261</v>
      </c>
      <c r="W200" t="s">
        <v>35</v>
      </c>
      <c r="X200" t="s">
        <v>19</v>
      </c>
      <c r="Y200" t="s">
        <v>30</v>
      </c>
      <c r="Z200" t="s">
        <v>30</v>
      </c>
      <c r="AA200">
        <v>8</v>
      </c>
      <c r="AB200">
        <v>101038</v>
      </c>
      <c r="AC200" t="s">
        <v>271</v>
      </c>
      <c r="AD200" t="s">
        <v>272</v>
      </c>
      <c r="AE200">
        <v>1</v>
      </c>
      <c r="AF200">
        <v>10</v>
      </c>
      <c r="AG200">
        <v>363.99</v>
      </c>
      <c r="AH200">
        <v>0</v>
      </c>
      <c r="AI200">
        <v>0</v>
      </c>
      <c r="AJ200">
        <v>0</v>
      </c>
      <c r="AK200">
        <v>655.17999999999995</v>
      </c>
      <c r="AL200">
        <v>3639.9</v>
      </c>
      <c r="AM200">
        <v>4295</v>
      </c>
      <c r="AN200">
        <v>4</v>
      </c>
      <c r="AO200" t="s">
        <v>264</v>
      </c>
      <c r="AP200" t="s">
        <v>265</v>
      </c>
      <c r="AQ200">
        <v>10</v>
      </c>
      <c r="AR200">
        <v>105</v>
      </c>
      <c r="AS200" t="s">
        <v>85</v>
      </c>
      <c r="AT200">
        <v>677001</v>
      </c>
      <c r="AU200" t="s">
        <v>273</v>
      </c>
      <c r="AV200" t="s">
        <v>86</v>
      </c>
      <c r="AW200" t="s">
        <v>23</v>
      </c>
      <c r="AX200" t="s">
        <v>24</v>
      </c>
      <c r="AY200" t="s">
        <v>267</v>
      </c>
      <c r="AZ200" t="s">
        <v>197</v>
      </c>
      <c r="BA200" t="s">
        <v>453</v>
      </c>
      <c r="BB200">
        <v>0</v>
      </c>
      <c r="BC200">
        <v>0</v>
      </c>
      <c r="BD200" t="s">
        <v>199</v>
      </c>
      <c r="BE200" t="s">
        <v>199</v>
      </c>
      <c r="BF200">
        <v>0</v>
      </c>
      <c r="BG200">
        <v>0</v>
      </c>
      <c r="BH200" t="s">
        <v>200</v>
      </c>
      <c r="BI200">
        <v>13</v>
      </c>
      <c r="BJ200">
        <v>6259866</v>
      </c>
      <c r="BK200" t="s">
        <v>201</v>
      </c>
      <c r="BL200" t="s">
        <v>190</v>
      </c>
    </row>
    <row r="201" spans="1:64" x14ac:dyDescent="0.3">
      <c r="A201">
        <v>223</v>
      </c>
      <c r="B201" t="s">
        <v>186</v>
      </c>
      <c r="C201">
        <v>3</v>
      </c>
      <c r="D201">
        <v>6262429</v>
      </c>
      <c r="E201" t="s">
        <v>202</v>
      </c>
      <c r="F201" t="s">
        <v>188</v>
      </c>
      <c r="G201">
        <v>10091339</v>
      </c>
      <c r="H201" s="35">
        <v>46088</v>
      </c>
      <c r="I201" s="35">
        <v>46088</v>
      </c>
      <c r="J201">
        <v>2026</v>
      </c>
      <c r="K201">
        <v>3</v>
      </c>
      <c r="L201" t="s">
        <v>242</v>
      </c>
      <c r="M201">
        <v>1</v>
      </c>
      <c r="N201" t="s">
        <v>190</v>
      </c>
      <c r="O201" t="s">
        <v>191</v>
      </c>
      <c r="P201" t="s">
        <v>199</v>
      </c>
      <c r="Q201" t="s">
        <v>199</v>
      </c>
      <c r="R201">
        <v>10</v>
      </c>
      <c r="S201">
        <v>7</v>
      </c>
      <c r="T201">
        <v>1019</v>
      </c>
      <c r="U201">
        <v>3</v>
      </c>
      <c r="V201" t="s">
        <v>270</v>
      </c>
      <c r="W201" t="s">
        <v>46</v>
      </c>
      <c r="X201" t="s">
        <v>19</v>
      </c>
      <c r="Y201" t="s">
        <v>41</v>
      </c>
      <c r="Z201" t="s">
        <v>41</v>
      </c>
      <c r="AA201">
        <v>60</v>
      </c>
      <c r="AB201">
        <v>101034</v>
      </c>
      <c r="AC201" t="s">
        <v>329</v>
      </c>
      <c r="AD201" t="s">
        <v>330</v>
      </c>
      <c r="AE201">
        <v>1</v>
      </c>
      <c r="AF201">
        <v>10</v>
      </c>
      <c r="AG201">
        <v>232</v>
      </c>
      <c r="AH201">
        <v>0</v>
      </c>
      <c r="AI201">
        <v>0</v>
      </c>
      <c r="AJ201">
        <v>0</v>
      </c>
      <c r="AK201">
        <v>417.6</v>
      </c>
      <c r="AL201">
        <v>2320</v>
      </c>
      <c r="AM201">
        <v>2738</v>
      </c>
      <c r="AN201">
        <v>8</v>
      </c>
      <c r="AO201" t="s">
        <v>37</v>
      </c>
      <c r="AP201" t="s">
        <v>39</v>
      </c>
      <c r="AQ201">
        <v>10</v>
      </c>
      <c r="AR201">
        <v>136</v>
      </c>
      <c r="AS201" t="s">
        <v>87</v>
      </c>
      <c r="AT201">
        <v>677001</v>
      </c>
      <c r="AU201" t="s">
        <v>273</v>
      </c>
      <c r="AV201" t="s">
        <v>86</v>
      </c>
      <c r="AW201" t="s">
        <v>23</v>
      </c>
      <c r="AX201" t="s">
        <v>24</v>
      </c>
      <c r="AY201" t="s">
        <v>38</v>
      </c>
      <c r="AZ201" t="s">
        <v>197</v>
      </c>
      <c r="BA201" t="s">
        <v>454</v>
      </c>
      <c r="BB201">
        <v>0</v>
      </c>
      <c r="BC201">
        <v>0</v>
      </c>
      <c r="BD201" t="s">
        <v>199</v>
      </c>
      <c r="BE201" t="s">
        <v>199</v>
      </c>
      <c r="BF201">
        <v>0</v>
      </c>
      <c r="BG201">
        <v>0</v>
      </c>
      <c r="BH201" t="s">
        <v>200</v>
      </c>
      <c r="BI201">
        <v>13</v>
      </c>
      <c r="BJ201">
        <v>6262429</v>
      </c>
      <c r="BK201" t="s">
        <v>201</v>
      </c>
      <c r="BL201" t="s">
        <v>190</v>
      </c>
    </row>
    <row r="202" spans="1:64" x14ac:dyDescent="0.3">
      <c r="A202">
        <v>223</v>
      </c>
      <c r="B202" t="s">
        <v>186</v>
      </c>
      <c r="C202">
        <v>3</v>
      </c>
      <c r="D202">
        <v>6262430</v>
      </c>
      <c r="E202" t="s">
        <v>202</v>
      </c>
      <c r="F202" t="s">
        <v>188</v>
      </c>
      <c r="G202">
        <v>10091340</v>
      </c>
      <c r="H202" s="35">
        <v>46088</v>
      </c>
      <c r="I202" s="35">
        <v>46088</v>
      </c>
      <c r="J202">
        <v>2026</v>
      </c>
      <c r="K202">
        <v>3</v>
      </c>
      <c r="L202" t="s">
        <v>242</v>
      </c>
      <c r="M202">
        <v>1</v>
      </c>
      <c r="N202" t="s">
        <v>190</v>
      </c>
      <c r="O202" t="s">
        <v>191</v>
      </c>
      <c r="P202" t="s">
        <v>199</v>
      </c>
      <c r="Q202" t="s">
        <v>199</v>
      </c>
      <c r="R202">
        <v>10</v>
      </c>
      <c r="S202">
        <v>7</v>
      </c>
      <c r="T202">
        <v>29579</v>
      </c>
      <c r="U202">
        <v>3</v>
      </c>
      <c r="V202" t="s">
        <v>224</v>
      </c>
      <c r="W202" t="s">
        <v>40</v>
      </c>
      <c r="X202" t="s">
        <v>19</v>
      </c>
      <c r="Y202" t="s">
        <v>41</v>
      </c>
      <c r="Z202" t="s">
        <v>41</v>
      </c>
      <c r="AA202">
        <v>60</v>
      </c>
      <c r="AB202">
        <v>101005</v>
      </c>
      <c r="AC202" t="s">
        <v>320</v>
      </c>
      <c r="AD202" t="s">
        <v>321</v>
      </c>
      <c r="AE202">
        <v>1</v>
      </c>
      <c r="AF202">
        <v>30</v>
      </c>
      <c r="AG202">
        <v>73.41</v>
      </c>
      <c r="AH202">
        <v>0</v>
      </c>
      <c r="AI202">
        <v>0</v>
      </c>
      <c r="AJ202">
        <v>0</v>
      </c>
      <c r="AK202">
        <v>396.41</v>
      </c>
      <c r="AL202">
        <v>2202.3000000000002</v>
      </c>
      <c r="AM202">
        <v>2599</v>
      </c>
      <c r="AN202">
        <v>8</v>
      </c>
      <c r="AO202" t="s">
        <v>37</v>
      </c>
      <c r="AP202" t="s">
        <v>39</v>
      </c>
      <c r="AQ202">
        <v>10</v>
      </c>
      <c r="AR202">
        <v>105</v>
      </c>
      <c r="AS202" t="s">
        <v>85</v>
      </c>
      <c r="AT202">
        <v>677001</v>
      </c>
      <c r="AU202" t="s">
        <v>273</v>
      </c>
      <c r="AV202" t="s">
        <v>86</v>
      </c>
      <c r="AW202" t="s">
        <v>23</v>
      </c>
      <c r="AX202" t="s">
        <v>24</v>
      </c>
      <c r="AY202" t="s">
        <v>38</v>
      </c>
      <c r="AZ202" t="s">
        <v>197</v>
      </c>
      <c r="BA202" t="s">
        <v>455</v>
      </c>
      <c r="BB202">
        <v>0</v>
      </c>
      <c r="BC202">
        <v>0</v>
      </c>
      <c r="BD202" t="s">
        <v>199</v>
      </c>
      <c r="BE202" t="s">
        <v>199</v>
      </c>
      <c r="BF202">
        <v>0</v>
      </c>
      <c r="BG202">
        <v>0</v>
      </c>
      <c r="BH202" t="s">
        <v>200</v>
      </c>
      <c r="BI202">
        <v>13</v>
      </c>
      <c r="BJ202">
        <v>6262430</v>
      </c>
      <c r="BK202" t="s">
        <v>201</v>
      </c>
      <c r="BL202" t="s">
        <v>190</v>
      </c>
    </row>
    <row r="203" spans="1:64" x14ac:dyDescent="0.3">
      <c r="A203">
        <v>223</v>
      </c>
      <c r="B203" t="s">
        <v>186</v>
      </c>
      <c r="C203">
        <v>3</v>
      </c>
      <c r="D203">
        <v>6262445</v>
      </c>
      <c r="E203" t="s">
        <v>202</v>
      </c>
      <c r="F203" t="s">
        <v>188</v>
      </c>
      <c r="G203">
        <v>10091355</v>
      </c>
      <c r="H203" s="35">
        <v>46088</v>
      </c>
      <c r="I203" s="35">
        <v>46088</v>
      </c>
      <c r="J203">
        <v>2026</v>
      </c>
      <c r="K203">
        <v>3</v>
      </c>
      <c r="L203" t="s">
        <v>242</v>
      </c>
      <c r="M203">
        <v>1</v>
      </c>
      <c r="N203" t="s">
        <v>190</v>
      </c>
      <c r="O203" t="s">
        <v>191</v>
      </c>
      <c r="P203" t="s">
        <v>199</v>
      </c>
      <c r="Q203" t="s">
        <v>199</v>
      </c>
      <c r="R203">
        <v>10</v>
      </c>
      <c r="S203">
        <v>7</v>
      </c>
      <c r="T203">
        <v>12191</v>
      </c>
      <c r="U203">
        <v>3</v>
      </c>
      <c r="V203" t="s">
        <v>204</v>
      </c>
      <c r="W203" t="s">
        <v>27</v>
      </c>
      <c r="X203" t="s">
        <v>28</v>
      </c>
      <c r="Y203" t="s">
        <v>20</v>
      </c>
      <c r="Z203" t="s">
        <v>20</v>
      </c>
      <c r="AA203">
        <v>91</v>
      </c>
      <c r="AB203">
        <v>611055</v>
      </c>
      <c r="AC203" t="s">
        <v>300</v>
      </c>
      <c r="AD203" t="s">
        <v>301</v>
      </c>
      <c r="AE203">
        <v>0.25</v>
      </c>
      <c r="AF203">
        <v>1</v>
      </c>
      <c r="AG203">
        <v>78.319999999999993</v>
      </c>
      <c r="AH203">
        <v>0</v>
      </c>
      <c r="AI203">
        <v>0</v>
      </c>
      <c r="AJ203">
        <v>0</v>
      </c>
      <c r="AK203">
        <v>14.1</v>
      </c>
      <c r="AL203">
        <v>78.319999999999993</v>
      </c>
      <c r="AM203">
        <v>92</v>
      </c>
      <c r="AN203">
        <v>91</v>
      </c>
      <c r="AO203" t="s">
        <v>22</v>
      </c>
      <c r="AP203" t="s">
        <v>26</v>
      </c>
      <c r="AQ203">
        <v>10</v>
      </c>
      <c r="AR203">
        <v>114</v>
      </c>
      <c r="AS203" t="s">
        <v>79</v>
      </c>
      <c r="AT203">
        <v>66102</v>
      </c>
      <c r="AU203" t="s">
        <v>227</v>
      </c>
      <c r="AV203" t="s">
        <v>80</v>
      </c>
      <c r="AW203" t="s">
        <v>23</v>
      </c>
      <c r="AX203" t="s">
        <v>24</v>
      </c>
      <c r="AY203" t="s">
        <v>25</v>
      </c>
      <c r="AZ203" t="s">
        <v>197</v>
      </c>
      <c r="BA203" t="s">
        <v>456</v>
      </c>
      <c r="BB203">
        <v>0</v>
      </c>
      <c r="BC203">
        <v>0</v>
      </c>
      <c r="BD203" t="s">
        <v>199</v>
      </c>
      <c r="BE203" t="s">
        <v>199</v>
      </c>
      <c r="BF203">
        <v>0</v>
      </c>
      <c r="BG203">
        <v>0</v>
      </c>
      <c r="BH203" t="s">
        <v>200</v>
      </c>
      <c r="BI203">
        <v>13</v>
      </c>
      <c r="BJ203">
        <v>6262445</v>
      </c>
      <c r="BK203" t="s">
        <v>201</v>
      </c>
      <c r="BL203" t="s">
        <v>190</v>
      </c>
    </row>
    <row r="204" spans="1:64" x14ac:dyDescent="0.3">
      <c r="A204">
        <v>223</v>
      </c>
      <c r="B204" t="s">
        <v>186</v>
      </c>
      <c r="C204">
        <v>3</v>
      </c>
      <c r="D204">
        <v>6262445</v>
      </c>
      <c r="E204" t="s">
        <v>202</v>
      </c>
      <c r="F204" t="s">
        <v>188</v>
      </c>
      <c r="G204">
        <v>10091355</v>
      </c>
      <c r="H204" s="35">
        <v>46088</v>
      </c>
      <c r="I204" s="35">
        <v>46088</v>
      </c>
      <c r="J204">
        <v>2026</v>
      </c>
      <c r="K204">
        <v>3</v>
      </c>
      <c r="L204" t="s">
        <v>242</v>
      </c>
      <c r="M204">
        <v>1</v>
      </c>
      <c r="N204" t="s">
        <v>190</v>
      </c>
      <c r="O204" t="s">
        <v>191</v>
      </c>
      <c r="P204" t="s">
        <v>199</v>
      </c>
      <c r="Q204" t="s">
        <v>199</v>
      </c>
      <c r="R204">
        <v>10</v>
      </c>
      <c r="S204">
        <v>7</v>
      </c>
      <c r="T204">
        <v>12191</v>
      </c>
      <c r="U204">
        <v>3</v>
      </c>
      <c r="V204" t="s">
        <v>204</v>
      </c>
      <c r="W204" t="s">
        <v>27</v>
      </c>
      <c r="X204" t="s">
        <v>28</v>
      </c>
      <c r="Y204" t="s">
        <v>20</v>
      </c>
      <c r="Z204" t="s">
        <v>20</v>
      </c>
      <c r="AA204">
        <v>91</v>
      </c>
      <c r="AB204">
        <v>621008</v>
      </c>
      <c r="AC204" t="s">
        <v>194</v>
      </c>
      <c r="AD204" t="s">
        <v>195</v>
      </c>
      <c r="AE204">
        <v>8.3333333333329998E-2</v>
      </c>
      <c r="AF204">
        <v>1</v>
      </c>
      <c r="AG204">
        <v>186.87</v>
      </c>
      <c r="AH204">
        <v>0</v>
      </c>
      <c r="AI204">
        <v>0</v>
      </c>
      <c r="AJ204">
        <v>0</v>
      </c>
      <c r="AK204">
        <v>33.64</v>
      </c>
      <c r="AL204">
        <v>186.87</v>
      </c>
      <c r="AM204">
        <v>221</v>
      </c>
      <c r="AN204">
        <v>91</v>
      </c>
      <c r="AO204" t="s">
        <v>22</v>
      </c>
      <c r="AP204" t="s">
        <v>26</v>
      </c>
      <c r="AQ204">
        <v>10</v>
      </c>
      <c r="AR204">
        <v>138</v>
      </c>
      <c r="AS204" t="s">
        <v>90</v>
      </c>
      <c r="AT204">
        <v>73102</v>
      </c>
      <c r="AU204" t="s">
        <v>196</v>
      </c>
      <c r="AV204" t="s">
        <v>91</v>
      </c>
      <c r="AW204" t="s">
        <v>23</v>
      </c>
      <c r="AX204" t="s">
        <v>24</v>
      </c>
      <c r="AY204" t="s">
        <v>25</v>
      </c>
      <c r="AZ204" t="s">
        <v>197</v>
      </c>
      <c r="BA204" t="s">
        <v>456</v>
      </c>
      <c r="BB204">
        <v>0</v>
      </c>
      <c r="BC204">
        <v>0</v>
      </c>
      <c r="BD204" t="s">
        <v>199</v>
      </c>
      <c r="BE204" t="s">
        <v>199</v>
      </c>
      <c r="BF204">
        <v>0</v>
      </c>
      <c r="BG204">
        <v>0</v>
      </c>
      <c r="BH204" t="s">
        <v>200</v>
      </c>
      <c r="BI204">
        <v>13</v>
      </c>
      <c r="BJ204">
        <v>6262445</v>
      </c>
      <c r="BK204" t="s">
        <v>201</v>
      </c>
      <c r="BL204" t="s">
        <v>190</v>
      </c>
    </row>
    <row r="205" spans="1:64" x14ac:dyDescent="0.3">
      <c r="A205">
        <v>223</v>
      </c>
      <c r="B205" t="s">
        <v>186</v>
      </c>
      <c r="C205">
        <v>3</v>
      </c>
      <c r="D205">
        <v>6262445</v>
      </c>
      <c r="E205" t="s">
        <v>202</v>
      </c>
      <c r="F205" t="s">
        <v>188</v>
      </c>
      <c r="G205">
        <v>10091355</v>
      </c>
      <c r="H205" s="35">
        <v>46088</v>
      </c>
      <c r="I205" s="35">
        <v>46088</v>
      </c>
      <c r="J205">
        <v>2026</v>
      </c>
      <c r="K205">
        <v>3</v>
      </c>
      <c r="L205" t="s">
        <v>242</v>
      </c>
      <c r="M205">
        <v>1</v>
      </c>
      <c r="N205" t="s">
        <v>190</v>
      </c>
      <c r="O205" t="s">
        <v>191</v>
      </c>
      <c r="P205" t="s">
        <v>199</v>
      </c>
      <c r="Q205" t="s">
        <v>199</v>
      </c>
      <c r="R205">
        <v>10</v>
      </c>
      <c r="S205">
        <v>7</v>
      </c>
      <c r="T205">
        <v>12191</v>
      </c>
      <c r="U205">
        <v>3</v>
      </c>
      <c r="V205" t="s">
        <v>204</v>
      </c>
      <c r="W205" t="s">
        <v>27</v>
      </c>
      <c r="X205" t="s">
        <v>28</v>
      </c>
      <c r="Y205" t="s">
        <v>20</v>
      </c>
      <c r="Z205" t="s">
        <v>20</v>
      </c>
      <c r="AA205">
        <v>91</v>
      </c>
      <c r="AB205">
        <v>621050</v>
      </c>
      <c r="AC205" t="s">
        <v>339</v>
      </c>
      <c r="AD205" t="s">
        <v>340</v>
      </c>
      <c r="AE205">
        <v>0.16666666666666</v>
      </c>
      <c r="AF205">
        <v>1</v>
      </c>
      <c r="AG205">
        <v>148.9</v>
      </c>
      <c r="AH205">
        <v>0</v>
      </c>
      <c r="AI205">
        <v>0</v>
      </c>
      <c r="AJ205">
        <v>0</v>
      </c>
      <c r="AK205">
        <v>26.8</v>
      </c>
      <c r="AL205">
        <v>148.9</v>
      </c>
      <c r="AM205">
        <v>176</v>
      </c>
      <c r="AN205">
        <v>91</v>
      </c>
      <c r="AO205" t="s">
        <v>22</v>
      </c>
      <c r="AP205" t="s">
        <v>26</v>
      </c>
      <c r="AQ205">
        <v>10</v>
      </c>
      <c r="AR205">
        <v>278</v>
      </c>
      <c r="AS205" t="s">
        <v>102</v>
      </c>
      <c r="AT205">
        <v>73103</v>
      </c>
      <c r="AU205" t="s">
        <v>337</v>
      </c>
      <c r="AV205" t="s">
        <v>91</v>
      </c>
      <c r="AW205" t="s">
        <v>23</v>
      </c>
      <c r="AX205" t="s">
        <v>24</v>
      </c>
      <c r="AY205" t="s">
        <v>25</v>
      </c>
      <c r="AZ205" t="s">
        <v>197</v>
      </c>
      <c r="BA205" t="s">
        <v>456</v>
      </c>
      <c r="BB205">
        <v>0</v>
      </c>
      <c r="BC205">
        <v>0</v>
      </c>
      <c r="BD205" t="s">
        <v>199</v>
      </c>
      <c r="BE205" t="s">
        <v>199</v>
      </c>
      <c r="BF205">
        <v>0</v>
      </c>
      <c r="BG205">
        <v>0</v>
      </c>
      <c r="BH205" t="s">
        <v>200</v>
      </c>
      <c r="BI205">
        <v>13</v>
      </c>
      <c r="BJ205">
        <v>6262445</v>
      </c>
      <c r="BK205" t="s">
        <v>201</v>
      </c>
      <c r="BL205" t="s">
        <v>190</v>
      </c>
    </row>
    <row r="206" spans="1:64" x14ac:dyDescent="0.3">
      <c r="A206">
        <v>223</v>
      </c>
      <c r="B206" t="s">
        <v>186</v>
      </c>
      <c r="C206">
        <v>3</v>
      </c>
      <c r="D206">
        <v>6262445</v>
      </c>
      <c r="E206" t="s">
        <v>202</v>
      </c>
      <c r="F206" t="s">
        <v>188</v>
      </c>
      <c r="G206">
        <v>10091355</v>
      </c>
      <c r="H206" s="35">
        <v>46088</v>
      </c>
      <c r="I206" s="35">
        <v>46088</v>
      </c>
      <c r="J206">
        <v>2026</v>
      </c>
      <c r="K206">
        <v>3</v>
      </c>
      <c r="L206" t="s">
        <v>242</v>
      </c>
      <c r="M206">
        <v>1</v>
      </c>
      <c r="N206" t="s">
        <v>190</v>
      </c>
      <c r="O206" t="s">
        <v>191</v>
      </c>
      <c r="P206" t="s">
        <v>199</v>
      </c>
      <c r="Q206" t="s">
        <v>199</v>
      </c>
      <c r="R206">
        <v>10</v>
      </c>
      <c r="S206">
        <v>7</v>
      </c>
      <c r="T206">
        <v>12191</v>
      </c>
      <c r="U206">
        <v>3</v>
      </c>
      <c r="V206" t="s">
        <v>204</v>
      </c>
      <c r="W206" t="s">
        <v>27</v>
      </c>
      <c r="X206" t="s">
        <v>28</v>
      </c>
      <c r="Y206" t="s">
        <v>20</v>
      </c>
      <c r="Z206" t="s">
        <v>20</v>
      </c>
      <c r="AA206">
        <v>91</v>
      </c>
      <c r="AB206">
        <v>621052</v>
      </c>
      <c r="AC206" t="s">
        <v>347</v>
      </c>
      <c r="AD206" t="s">
        <v>348</v>
      </c>
      <c r="AE206">
        <v>0.16666666666666</v>
      </c>
      <c r="AF206">
        <v>1</v>
      </c>
      <c r="AG206">
        <v>148.9</v>
      </c>
      <c r="AH206">
        <v>0</v>
      </c>
      <c r="AI206">
        <v>0</v>
      </c>
      <c r="AJ206">
        <v>0</v>
      </c>
      <c r="AK206">
        <v>26.8</v>
      </c>
      <c r="AL206">
        <v>148.9</v>
      </c>
      <c r="AM206">
        <v>176</v>
      </c>
      <c r="AN206">
        <v>91</v>
      </c>
      <c r="AO206" t="s">
        <v>22</v>
      </c>
      <c r="AP206" t="s">
        <v>26</v>
      </c>
      <c r="AQ206">
        <v>10</v>
      </c>
      <c r="AR206">
        <v>278</v>
      </c>
      <c r="AS206" t="s">
        <v>102</v>
      </c>
      <c r="AT206">
        <v>73103</v>
      </c>
      <c r="AU206" t="s">
        <v>337</v>
      </c>
      <c r="AV206" t="s">
        <v>91</v>
      </c>
      <c r="AW206" t="s">
        <v>23</v>
      </c>
      <c r="AX206" t="s">
        <v>24</v>
      </c>
      <c r="AY206" t="s">
        <v>25</v>
      </c>
      <c r="AZ206" t="s">
        <v>197</v>
      </c>
      <c r="BA206" t="s">
        <v>456</v>
      </c>
      <c r="BB206">
        <v>0</v>
      </c>
      <c r="BC206">
        <v>0</v>
      </c>
      <c r="BD206" t="s">
        <v>199</v>
      </c>
      <c r="BE206" t="s">
        <v>199</v>
      </c>
      <c r="BF206">
        <v>0</v>
      </c>
      <c r="BG206">
        <v>0</v>
      </c>
      <c r="BH206" t="s">
        <v>200</v>
      </c>
      <c r="BI206">
        <v>13</v>
      </c>
      <c r="BJ206">
        <v>6262445</v>
      </c>
      <c r="BK206" t="s">
        <v>201</v>
      </c>
      <c r="BL206" t="s">
        <v>190</v>
      </c>
    </row>
    <row r="207" spans="1:64" x14ac:dyDescent="0.3">
      <c r="A207">
        <v>223</v>
      </c>
      <c r="B207" t="s">
        <v>186</v>
      </c>
      <c r="C207">
        <v>3</v>
      </c>
      <c r="D207">
        <v>6262445</v>
      </c>
      <c r="E207" t="s">
        <v>202</v>
      </c>
      <c r="F207" t="s">
        <v>188</v>
      </c>
      <c r="G207">
        <v>10091355</v>
      </c>
      <c r="H207" s="35">
        <v>46088</v>
      </c>
      <c r="I207" s="35">
        <v>46088</v>
      </c>
      <c r="J207">
        <v>2026</v>
      </c>
      <c r="K207">
        <v>3</v>
      </c>
      <c r="L207" t="s">
        <v>242</v>
      </c>
      <c r="M207">
        <v>1</v>
      </c>
      <c r="N207" t="s">
        <v>190</v>
      </c>
      <c r="O207" t="s">
        <v>191</v>
      </c>
      <c r="P207" t="s">
        <v>199</v>
      </c>
      <c r="Q207" t="s">
        <v>199</v>
      </c>
      <c r="R207">
        <v>10</v>
      </c>
      <c r="S207">
        <v>7</v>
      </c>
      <c r="T207">
        <v>12191</v>
      </c>
      <c r="U207">
        <v>3</v>
      </c>
      <c r="V207" t="s">
        <v>204</v>
      </c>
      <c r="W207" t="s">
        <v>27</v>
      </c>
      <c r="X207" t="s">
        <v>28</v>
      </c>
      <c r="Y207" t="s">
        <v>20</v>
      </c>
      <c r="Z207" t="s">
        <v>20</v>
      </c>
      <c r="AA207">
        <v>91</v>
      </c>
      <c r="AB207">
        <v>101124</v>
      </c>
      <c r="AC207" t="s">
        <v>292</v>
      </c>
      <c r="AD207" t="s">
        <v>293</v>
      </c>
      <c r="AE207">
        <v>4.1666666666660003E-2</v>
      </c>
      <c r="AF207">
        <v>1</v>
      </c>
      <c r="AG207">
        <v>73.7</v>
      </c>
      <c r="AH207">
        <v>0</v>
      </c>
      <c r="AI207">
        <v>0</v>
      </c>
      <c r="AJ207">
        <v>0</v>
      </c>
      <c r="AK207">
        <v>13.27</v>
      </c>
      <c r="AL207">
        <v>73.7</v>
      </c>
      <c r="AM207">
        <v>87</v>
      </c>
      <c r="AN207">
        <v>91</v>
      </c>
      <c r="AO207" t="s">
        <v>22</v>
      </c>
      <c r="AP207" t="s">
        <v>26</v>
      </c>
      <c r="AQ207">
        <v>10</v>
      </c>
      <c r="AR207">
        <v>135</v>
      </c>
      <c r="AS207" t="s">
        <v>105</v>
      </c>
      <c r="AT207">
        <v>6770651</v>
      </c>
      <c r="AU207" t="s">
        <v>288</v>
      </c>
      <c r="AV207" t="s">
        <v>86</v>
      </c>
      <c r="AW207" t="s">
        <v>23</v>
      </c>
      <c r="AX207" t="s">
        <v>24</v>
      </c>
      <c r="AY207" t="s">
        <v>25</v>
      </c>
      <c r="AZ207" t="s">
        <v>197</v>
      </c>
      <c r="BA207" t="s">
        <v>456</v>
      </c>
      <c r="BB207">
        <v>0</v>
      </c>
      <c r="BC207">
        <v>0</v>
      </c>
      <c r="BD207" t="s">
        <v>199</v>
      </c>
      <c r="BE207" t="s">
        <v>199</v>
      </c>
      <c r="BF207">
        <v>0</v>
      </c>
      <c r="BG207">
        <v>0</v>
      </c>
      <c r="BH207" t="s">
        <v>200</v>
      </c>
      <c r="BI207">
        <v>13</v>
      </c>
      <c r="BJ207">
        <v>6262445</v>
      </c>
      <c r="BK207" t="s">
        <v>201</v>
      </c>
      <c r="BL207" t="s">
        <v>190</v>
      </c>
    </row>
    <row r="208" spans="1:64" x14ac:dyDescent="0.3">
      <c r="A208">
        <v>223</v>
      </c>
      <c r="B208" t="s">
        <v>186</v>
      </c>
      <c r="C208">
        <v>3</v>
      </c>
      <c r="D208">
        <v>6262445</v>
      </c>
      <c r="E208" t="s">
        <v>202</v>
      </c>
      <c r="F208" t="s">
        <v>188</v>
      </c>
      <c r="G208">
        <v>10091355</v>
      </c>
      <c r="H208" s="35">
        <v>46088</v>
      </c>
      <c r="I208" s="35">
        <v>46088</v>
      </c>
      <c r="J208">
        <v>2026</v>
      </c>
      <c r="K208">
        <v>3</v>
      </c>
      <c r="L208" t="s">
        <v>242</v>
      </c>
      <c r="M208">
        <v>1</v>
      </c>
      <c r="N208" t="s">
        <v>203</v>
      </c>
      <c r="O208" t="s">
        <v>191</v>
      </c>
      <c r="P208" t="s">
        <v>199</v>
      </c>
      <c r="Q208" t="s">
        <v>199</v>
      </c>
      <c r="R208">
        <v>10</v>
      </c>
      <c r="S208">
        <v>7</v>
      </c>
      <c r="T208">
        <v>12191</v>
      </c>
      <c r="U208">
        <v>3</v>
      </c>
      <c r="V208" t="s">
        <v>204</v>
      </c>
      <c r="W208" t="s">
        <v>27</v>
      </c>
      <c r="X208" t="s">
        <v>28</v>
      </c>
      <c r="Y208" t="s">
        <v>20</v>
      </c>
      <c r="Z208" t="s">
        <v>20</v>
      </c>
      <c r="AA208">
        <v>91</v>
      </c>
      <c r="AB208">
        <v>930145</v>
      </c>
      <c r="AC208" t="s">
        <v>457</v>
      </c>
      <c r="AD208" t="s">
        <v>458</v>
      </c>
      <c r="AE208">
        <v>0.13888888888888001</v>
      </c>
      <c r="AF208">
        <v>5</v>
      </c>
      <c r="AG208">
        <v>26.92</v>
      </c>
      <c r="AH208">
        <v>0</v>
      </c>
      <c r="AI208">
        <v>0</v>
      </c>
      <c r="AJ208">
        <v>0</v>
      </c>
      <c r="AK208">
        <v>24.23</v>
      </c>
      <c r="AL208">
        <v>134.6</v>
      </c>
      <c r="AM208">
        <v>159</v>
      </c>
      <c r="AN208">
        <v>91</v>
      </c>
      <c r="AO208" t="s">
        <v>22</v>
      </c>
      <c r="AP208" t="s">
        <v>26</v>
      </c>
      <c r="AQ208">
        <v>10</v>
      </c>
      <c r="AR208">
        <v>210</v>
      </c>
      <c r="AS208" t="s">
        <v>104</v>
      </c>
      <c r="AT208">
        <v>0</v>
      </c>
      <c r="AU208" t="s">
        <v>199</v>
      </c>
      <c r="AV208" t="s">
        <v>82</v>
      </c>
      <c r="AW208" t="s">
        <v>23</v>
      </c>
      <c r="AX208" t="s">
        <v>24</v>
      </c>
      <c r="AY208" t="s">
        <v>25</v>
      </c>
      <c r="AZ208" t="s">
        <v>197</v>
      </c>
      <c r="BA208" t="s">
        <v>456</v>
      </c>
      <c r="BB208">
        <v>0</v>
      </c>
      <c r="BC208">
        <v>0</v>
      </c>
      <c r="BD208" t="s">
        <v>199</v>
      </c>
      <c r="BE208" t="s">
        <v>199</v>
      </c>
      <c r="BF208">
        <v>0</v>
      </c>
      <c r="BG208">
        <v>0</v>
      </c>
      <c r="BH208" t="s">
        <v>200</v>
      </c>
      <c r="BI208">
        <v>13</v>
      </c>
      <c r="BJ208">
        <v>6262445</v>
      </c>
      <c r="BK208" t="s">
        <v>201</v>
      </c>
      <c r="BL208" t="s">
        <v>190</v>
      </c>
    </row>
    <row r="209" spans="1:64" x14ac:dyDescent="0.3">
      <c r="A209">
        <v>223</v>
      </c>
      <c r="B209" t="s">
        <v>186</v>
      </c>
      <c r="C209">
        <v>3</v>
      </c>
      <c r="D209">
        <v>6262445</v>
      </c>
      <c r="E209" t="s">
        <v>202</v>
      </c>
      <c r="F209" t="s">
        <v>188</v>
      </c>
      <c r="G209">
        <v>10091355</v>
      </c>
      <c r="H209" s="35">
        <v>46088</v>
      </c>
      <c r="I209" s="35">
        <v>46088</v>
      </c>
      <c r="J209">
        <v>2026</v>
      </c>
      <c r="K209">
        <v>3</v>
      </c>
      <c r="L209" t="s">
        <v>242</v>
      </c>
      <c r="M209">
        <v>1</v>
      </c>
      <c r="N209" t="s">
        <v>203</v>
      </c>
      <c r="O209" t="s">
        <v>191</v>
      </c>
      <c r="P209" t="s">
        <v>199</v>
      </c>
      <c r="Q209" t="s">
        <v>199</v>
      </c>
      <c r="R209">
        <v>10</v>
      </c>
      <c r="S209">
        <v>7</v>
      </c>
      <c r="T209">
        <v>12191</v>
      </c>
      <c r="U209">
        <v>3</v>
      </c>
      <c r="V209" t="s">
        <v>204</v>
      </c>
      <c r="W209" t="s">
        <v>27</v>
      </c>
      <c r="X209" t="s">
        <v>28</v>
      </c>
      <c r="Y209" t="s">
        <v>20</v>
      </c>
      <c r="Z209" t="s">
        <v>20</v>
      </c>
      <c r="AA209">
        <v>91</v>
      </c>
      <c r="AB209">
        <v>930016</v>
      </c>
      <c r="AC209" t="s">
        <v>459</v>
      </c>
      <c r="AD209" t="s">
        <v>460</v>
      </c>
      <c r="AE209">
        <v>6.25E-2</v>
      </c>
      <c r="AF209">
        <v>1</v>
      </c>
      <c r="AG209">
        <v>108.02</v>
      </c>
      <c r="AH209">
        <v>0</v>
      </c>
      <c r="AI209">
        <v>0</v>
      </c>
      <c r="AJ209">
        <v>0</v>
      </c>
      <c r="AK209">
        <v>19.440000000000001</v>
      </c>
      <c r="AL209">
        <v>108.02</v>
      </c>
      <c r="AM209">
        <v>127</v>
      </c>
      <c r="AN209">
        <v>91</v>
      </c>
      <c r="AO209" t="s">
        <v>22</v>
      </c>
      <c r="AP209" t="s">
        <v>26</v>
      </c>
      <c r="AQ209">
        <v>10</v>
      </c>
      <c r="AR209">
        <v>208</v>
      </c>
      <c r="AS209" t="s">
        <v>92</v>
      </c>
      <c r="AT209">
        <v>0</v>
      </c>
      <c r="AU209" t="s">
        <v>199</v>
      </c>
      <c r="AV209" t="s">
        <v>82</v>
      </c>
      <c r="AW209" t="s">
        <v>23</v>
      </c>
      <c r="AX209" t="s">
        <v>24</v>
      </c>
      <c r="AY209" t="s">
        <v>25</v>
      </c>
      <c r="AZ209" t="s">
        <v>197</v>
      </c>
      <c r="BA209" t="s">
        <v>456</v>
      </c>
      <c r="BB209">
        <v>0</v>
      </c>
      <c r="BC209">
        <v>0</v>
      </c>
      <c r="BD209" t="s">
        <v>199</v>
      </c>
      <c r="BE209" t="s">
        <v>199</v>
      </c>
      <c r="BF209">
        <v>0</v>
      </c>
      <c r="BG209">
        <v>0</v>
      </c>
      <c r="BH209" t="s">
        <v>200</v>
      </c>
      <c r="BI209">
        <v>13</v>
      </c>
      <c r="BJ209">
        <v>6262445</v>
      </c>
      <c r="BK209" t="s">
        <v>201</v>
      </c>
      <c r="BL209" t="s">
        <v>190</v>
      </c>
    </row>
    <row r="210" spans="1:64" x14ac:dyDescent="0.3">
      <c r="A210">
        <v>289</v>
      </c>
      <c r="B210" t="s">
        <v>186</v>
      </c>
      <c r="C210">
        <v>3</v>
      </c>
      <c r="D210">
        <v>6263882</v>
      </c>
      <c r="E210" t="s">
        <v>379</v>
      </c>
      <c r="F210" t="s">
        <v>188</v>
      </c>
      <c r="G210">
        <v>10092792</v>
      </c>
      <c r="H210" s="35">
        <v>46090</v>
      </c>
      <c r="I210" s="35">
        <v>46090</v>
      </c>
      <c r="J210">
        <v>2026</v>
      </c>
      <c r="K210">
        <v>3</v>
      </c>
      <c r="L210" t="s">
        <v>242</v>
      </c>
      <c r="M210">
        <v>1</v>
      </c>
      <c r="N210" t="s">
        <v>190</v>
      </c>
      <c r="O210" t="s">
        <v>191</v>
      </c>
      <c r="P210" t="s">
        <v>199</v>
      </c>
      <c r="Q210" t="s">
        <v>199</v>
      </c>
      <c r="R210">
        <v>11</v>
      </c>
      <c r="S210">
        <v>9</v>
      </c>
      <c r="T210">
        <v>1161</v>
      </c>
      <c r="U210">
        <v>3</v>
      </c>
      <c r="V210" t="s">
        <v>380</v>
      </c>
      <c r="W210" t="s">
        <v>61</v>
      </c>
      <c r="X210" t="s">
        <v>19</v>
      </c>
      <c r="Y210" t="s">
        <v>56</v>
      </c>
      <c r="Z210" t="s">
        <v>62</v>
      </c>
      <c r="AA210">
        <v>94</v>
      </c>
      <c r="AB210">
        <v>101026</v>
      </c>
      <c r="AC210" t="s">
        <v>372</v>
      </c>
      <c r="AD210" t="s">
        <v>373</v>
      </c>
      <c r="AE210">
        <v>2</v>
      </c>
      <c r="AF210">
        <v>72</v>
      </c>
      <c r="AG210">
        <v>33.06</v>
      </c>
      <c r="AH210">
        <v>0</v>
      </c>
      <c r="AI210">
        <v>0</v>
      </c>
      <c r="AJ210">
        <v>0</v>
      </c>
      <c r="AK210">
        <v>428.46</v>
      </c>
      <c r="AL210">
        <v>2380.3200000000002</v>
      </c>
      <c r="AM210">
        <v>2809</v>
      </c>
      <c r="AN210">
        <v>94</v>
      </c>
      <c r="AO210" t="s">
        <v>64</v>
      </c>
      <c r="AP210" t="s">
        <v>66</v>
      </c>
      <c r="AQ210">
        <v>10</v>
      </c>
      <c r="AR210">
        <v>136</v>
      </c>
      <c r="AS210" t="s">
        <v>87</v>
      </c>
      <c r="AT210">
        <v>677001</v>
      </c>
      <c r="AU210" t="s">
        <v>273</v>
      </c>
      <c r="AV210" t="s">
        <v>86</v>
      </c>
      <c r="AW210" t="s">
        <v>50</v>
      </c>
      <c r="AX210" t="s">
        <v>51</v>
      </c>
      <c r="AY210" t="s">
        <v>65</v>
      </c>
      <c r="AZ210" t="s">
        <v>240</v>
      </c>
      <c r="BA210" t="s">
        <v>461</v>
      </c>
      <c r="BB210">
        <v>0</v>
      </c>
      <c r="BC210">
        <v>0</v>
      </c>
      <c r="BD210" t="s">
        <v>199</v>
      </c>
      <c r="BE210" t="s">
        <v>199</v>
      </c>
      <c r="BF210">
        <v>0</v>
      </c>
      <c r="BG210">
        <v>0</v>
      </c>
      <c r="BH210" t="s">
        <v>200</v>
      </c>
      <c r="BI210">
        <v>13</v>
      </c>
      <c r="BJ210">
        <v>6263882</v>
      </c>
      <c r="BK210" t="s">
        <v>201</v>
      </c>
      <c r="BL210" t="s">
        <v>190</v>
      </c>
    </row>
    <row r="211" spans="1:64" x14ac:dyDescent="0.3">
      <c r="A211">
        <v>289</v>
      </c>
      <c r="B211" t="s">
        <v>186</v>
      </c>
      <c r="C211">
        <v>3</v>
      </c>
      <c r="D211">
        <v>6263882</v>
      </c>
      <c r="E211" t="s">
        <v>379</v>
      </c>
      <c r="F211" t="s">
        <v>188</v>
      </c>
      <c r="G211">
        <v>10092792</v>
      </c>
      <c r="H211" s="35">
        <v>46090</v>
      </c>
      <c r="I211" s="35">
        <v>46090</v>
      </c>
      <c r="J211">
        <v>2026</v>
      </c>
      <c r="K211">
        <v>3</v>
      </c>
      <c r="L211" t="s">
        <v>242</v>
      </c>
      <c r="M211">
        <v>1</v>
      </c>
      <c r="N211" t="s">
        <v>190</v>
      </c>
      <c r="O211" t="s">
        <v>191</v>
      </c>
      <c r="P211" t="s">
        <v>199</v>
      </c>
      <c r="Q211" t="s">
        <v>199</v>
      </c>
      <c r="R211">
        <v>11</v>
      </c>
      <c r="S211">
        <v>9</v>
      </c>
      <c r="T211">
        <v>1161</v>
      </c>
      <c r="U211">
        <v>3</v>
      </c>
      <c r="V211" t="s">
        <v>380</v>
      </c>
      <c r="W211" t="s">
        <v>61</v>
      </c>
      <c r="X211" t="s">
        <v>19</v>
      </c>
      <c r="Y211" t="s">
        <v>56</v>
      </c>
      <c r="Z211" t="s">
        <v>62</v>
      </c>
      <c r="AA211">
        <v>94</v>
      </c>
      <c r="AB211">
        <v>101028</v>
      </c>
      <c r="AC211" t="s">
        <v>325</v>
      </c>
      <c r="AD211" t="s">
        <v>326</v>
      </c>
      <c r="AE211">
        <v>2</v>
      </c>
      <c r="AF211">
        <v>36</v>
      </c>
      <c r="AG211">
        <v>98.4</v>
      </c>
      <c r="AH211">
        <v>0</v>
      </c>
      <c r="AI211">
        <v>0</v>
      </c>
      <c r="AJ211">
        <v>0</v>
      </c>
      <c r="AK211">
        <v>637.63</v>
      </c>
      <c r="AL211">
        <v>3542.4</v>
      </c>
      <c r="AM211">
        <v>4180</v>
      </c>
      <c r="AN211">
        <v>94</v>
      </c>
      <c r="AO211" t="s">
        <v>64</v>
      </c>
      <c r="AP211" t="s">
        <v>66</v>
      </c>
      <c r="AQ211">
        <v>10</v>
      </c>
      <c r="AR211">
        <v>105</v>
      </c>
      <c r="AS211" t="s">
        <v>85</v>
      </c>
      <c r="AT211">
        <v>677001</v>
      </c>
      <c r="AU211" t="s">
        <v>273</v>
      </c>
      <c r="AV211" t="s">
        <v>86</v>
      </c>
      <c r="AW211" t="s">
        <v>50</v>
      </c>
      <c r="AX211" t="s">
        <v>51</v>
      </c>
      <c r="AY211" t="s">
        <v>65</v>
      </c>
      <c r="AZ211" t="s">
        <v>240</v>
      </c>
      <c r="BA211" t="s">
        <v>461</v>
      </c>
      <c r="BB211">
        <v>0</v>
      </c>
      <c r="BC211">
        <v>0</v>
      </c>
      <c r="BD211" t="s">
        <v>199</v>
      </c>
      <c r="BE211" t="s">
        <v>199</v>
      </c>
      <c r="BF211">
        <v>0</v>
      </c>
      <c r="BG211">
        <v>0</v>
      </c>
      <c r="BH211" t="s">
        <v>200</v>
      </c>
      <c r="BI211">
        <v>13</v>
      </c>
      <c r="BJ211">
        <v>6263882</v>
      </c>
      <c r="BK211" t="s">
        <v>201</v>
      </c>
      <c r="BL211" t="s">
        <v>190</v>
      </c>
    </row>
    <row r="212" spans="1:64" x14ac:dyDescent="0.3">
      <c r="A212">
        <v>242</v>
      </c>
      <c r="B212" t="s">
        <v>186</v>
      </c>
      <c r="C212">
        <v>3</v>
      </c>
      <c r="D212">
        <v>6266446</v>
      </c>
      <c r="E212" t="s">
        <v>275</v>
      </c>
      <c r="F212" t="s">
        <v>188</v>
      </c>
      <c r="G212">
        <v>10095356</v>
      </c>
      <c r="H212" s="35">
        <v>46091</v>
      </c>
      <c r="I212" s="35">
        <v>46091</v>
      </c>
      <c r="J212">
        <v>2026</v>
      </c>
      <c r="K212">
        <v>3</v>
      </c>
      <c r="L212" t="s">
        <v>242</v>
      </c>
      <c r="M212">
        <v>1</v>
      </c>
      <c r="N212" t="s">
        <v>190</v>
      </c>
      <c r="O212" t="s">
        <v>191</v>
      </c>
      <c r="P212" t="s">
        <v>199</v>
      </c>
      <c r="Q212" t="s">
        <v>199</v>
      </c>
      <c r="R212">
        <v>11</v>
      </c>
      <c r="S212">
        <v>10</v>
      </c>
      <c r="T212">
        <v>14167</v>
      </c>
      <c r="U212">
        <v>3</v>
      </c>
      <c r="V212" t="s">
        <v>208</v>
      </c>
      <c r="W212" t="s">
        <v>18</v>
      </c>
      <c r="X212" t="s">
        <v>19</v>
      </c>
      <c r="Y212" t="s">
        <v>20</v>
      </c>
      <c r="Z212" t="s">
        <v>20</v>
      </c>
      <c r="AA212">
        <v>91</v>
      </c>
      <c r="AB212">
        <v>101038</v>
      </c>
      <c r="AC212" t="s">
        <v>271</v>
      </c>
      <c r="AD212" t="s">
        <v>272</v>
      </c>
      <c r="AE212">
        <v>1</v>
      </c>
      <c r="AF212">
        <v>10</v>
      </c>
      <c r="AG212">
        <v>363.99</v>
      </c>
      <c r="AH212">
        <v>0</v>
      </c>
      <c r="AI212">
        <v>0</v>
      </c>
      <c r="AJ212">
        <v>0</v>
      </c>
      <c r="AK212">
        <v>655.17999999999995</v>
      </c>
      <c r="AL212">
        <v>3639.9</v>
      </c>
      <c r="AM212">
        <v>4295</v>
      </c>
      <c r="AN212">
        <v>3</v>
      </c>
      <c r="AO212" t="s">
        <v>403</v>
      </c>
      <c r="AP212" t="s">
        <v>404</v>
      </c>
      <c r="AQ212">
        <v>10</v>
      </c>
      <c r="AR212">
        <v>105</v>
      </c>
      <c r="AS212" t="s">
        <v>85</v>
      </c>
      <c r="AT212">
        <v>677001</v>
      </c>
      <c r="AU212" t="s">
        <v>273</v>
      </c>
      <c r="AV212" t="s">
        <v>86</v>
      </c>
      <c r="AW212" t="s">
        <v>23</v>
      </c>
      <c r="AX212" t="s">
        <v>24</v>
      </c>
      <c r="AY212" t="s">
        <v>405</v>
      </c>
      <c r="AZ212" t="s">
        <v>197</v>
      </c>
      <c r="BA212" t="s">
        <v>462</v>
      </c>
      <c r="BB212">
        <v>0</v>
      </c>
      <c r="BC212">
        <v>0</v>
      </c>
      <c r="BD212" t="s">
        <v>199</v>
      </c>
      <c r="BE212" t="s">
        <v>199</v>
      </c>
      <c r="BF212">
        <v>0</v>
      </c>
      <c r="BG212">
        <v>0</v>
      </c>
      <c r="BH212" t="s">
        <v>200</v>
      </c>
      <c r="BI212">
        <v>13</v>
      </c>
      <c r="BJ212">
        <v>6266446</v>
      </c>
      <c r="BK212" t="s">
        <v>201</v>
      </c>
      <c r="BL212" t="s">
        <v>190</v>
      </c>
    </row>
    <row r="213" spans="1:64" x14ac:dyDescent="0.3">
      <c r="A213">
        <v>242</v>
      </c>
      <c r="B213" t="s">
        <v>186</v>
      </c>
      <c r="C213">
        <v>3</v>
      </c>
      <c r="D213">
        <v>6268091</v>
      </c>
      <c r="E213" t="s">
        <v>275</v>
      </c>
      <c r="F213" t="s">
        <v>188</v>
      </c>
      <c r="G213">
        <v>10097002</v>
      </c>
      <c r="H213" s="35">
        <v>46092</v>
      </c>
      <c r="I213" s="35">
        <v>46092</v>
      </c>
      <c r="J213">
        <v>2026</v>
      </c>
      <c r="K213">
        <v>3</v>
      </c>
      <c r="L213" t="s">
        <v>242</v>
      </c>
      <c r="M213">
        <v>1</v>
      </c>
      <c r="N213" t="s">
        <v>190</v>
      </c>
      <c r="O213" t="s">
        <v>191</v>
      </c>
      <c r="P213" t="s">
        <v>199</v>
      </c>
      <c r="Q213" t="s">
        <v>199</v>
      </c>
      <c r="R213">
        <v>11</v>
      </c>
      <c r="S213">
        <v>11</v>
      </c>
      <c r="T213">
        <v>19291</v>
      </c>
      <c r="U213">
        <v>3</v>
      </c>
      <c r="V213" t="s">
        <v>261</v>
      </c>
      <c r="W213" t="s">
        <v>35</v>
      </c>
      <c r="X213" t="s">
        <v>19</v>
      </c>
      <c r="Y213" t="s">
        <v>30</v>
      </c>
      <c r="Z213" t="s">
        <v>30</v>
      </c>
      <c r="AA213">
        <v>8</v>
      </c>
      <c r="AB213">
        <v>611055</v>
      </c>
      <c r="AC213" t="s">
        <v>300</v>
      </c>
      <c r="AD213" t="s">
        <v>301</v>
      </c>
      <c r="AE213">
        <v>1</v>
      </c>
      <c r="AF213">
        <v>4</v>
      </c>
      <c r="AG213">
        <v>78.319999999999993</v>
      </c>
      <c r="AH213">
        <v>0</v>
      </c>
      <c r="AI213">
        <v>0</v>
      </c>
      <c r="AJ213">
        <v>0</v>
      </c>
      <c r="AK213">
        <v>56.39</v>
      </c>
      <c r="AL213">
        <v>313.27999999999997</v>
      </c>
      <c r="AM213">
        <v>370</v>
      </c>
      <c r="AN213">
        <v>4</v>
      </c>
      <c r="AO213" t="s">
        <v>264</v>
      </c>
      <c r="AP213" t="s">
        <v>265</v>
      </c>
      <c r="AQ213">
        <v>10</v>
      </c>
      <c r="AR213">
        <v>114</v>
      </c>
      <c r="AS213" t="s">
        <v>79</v>
      </c>
      <c r="AT213">
        <v>66102</v>
      </c>
      <c r="AU213" t="s">
        <v>227</v>
      </c>
      <c r="AV213" t="s">
        <v>80</v>
      </c>
      <c r="AW213" t="s">
        <v>23</v>
      </c>
      <c r="AX213" t="s">
        <v>24</v>
      </c>
      <c r="AY213" t="s">
        <v>267</v>
      </c>
      <c r="AZ213" t="s">
        <v>197</v>
      </c>
      <c r="BA213" t="s">
        <v>463</v>
      </c>
      <c r="BB213">
        <v>0</v>
      </c>
      <c r="BC213">
        <v>0</v>
      </c>
      <c r="BD213" t="s">
        <v>199</v>
      </c>
      <c r="BE213" t="s">
        <v>199</v>
      </c>
      <c r="BF213">
        <v>0</v>
      </c>
      <c r="BG213">
        <v>0</v>
      </c>
      <c r="BH213" t="s">
        <v>200</v>
      </c>
      <c r="BI213">
        <v>13</v>
      </c>
      <c r="BJ213">
        <v>6268091</v>
      </c>
      <c r="BK213" t="s">
        <v>201</v>
      </c>
      <c r="BL213" t="s">
        <v>190</v>
      </c>
    </row>
    <row r="214" spans="1:64" x14ac:dyDescent="0.3">
      <c r="A214">
        <v>242</v>
      </c>
      <c r="B214" t="s">
        <v>186</v>
      </c>
      <c r="C214">
        <v>3</v>
      </c>
      <c r="D214">
        <v>6268091</v>
      </c>
      <c r="E214" t="s">
        <v>275</v>
      </c>
      <c r="F214" t="s">
        <v>188</v>
      </c>
      <c r="G214">
        <v>10097002</v>
      </c>
      <c r="H214" s="35">
        <v>46092</v>
      </c>
      <c r="I214" s="35">
        <v>46092</v>
      </c>
      <c r="J214">
        <v>2026</v>
      </c>
      <c r="K214">
        <v>3</v>
      </c>
      <c r="L214" t="s">
        <v>242</v>
      </c>
      <c r="M214">
        <v>1</v>
      </c>
      <c r="N214" t="s">
        <v>190</v>
      </c>
      <c r="O214" t="s">
        <v>191</v>
      </c>
      <c r="P214" t="s">
        <v>199</v>
      </c>
      <c r="Q214" t="s">
        <v>199</v>
      </c>
      <c r="R214">
        <v>11</v>
      </c>
      <c r="S214">
        <v>11</v>
      </c>
      <c r="T214">
        <v>19291</v>
      </c>
      <c r="U214">
        <v>3</v>
      </c>
      <c r="V214" t="s">
        <v>261</v>
      </c>
      <c r="W214" t="s">
        <v>35</v>
      </c>
      <c r="X214" t="s">
        <v>19</v>
      </c>
      <c r="Y214" t="s">
        <v>30</v>
      </c>
      <c r="Z214" t="s">
        <v>30</v>
      </c>
      <c r="AA214">
        <v>8</v>
      </c>
      <c r="AB214">
        <v>501000</v>
      </c>
      <c r="AC214" t="s">
        <v>316</v>
      </c>
      <c r="AD214" t="s">
        <v>317</v>
      </c>
      <c r="AE214">
        <v>10</v>
      </c>
      <c r="AF214">
        <v>40</v>
      </c>
      <c r="AG214">
        <v>114.4</v>
      </c>
      <c r="AH214">
        <v>0</v>
      </c>
      <c r="AI214">
        <v>0</v>
      </c>
      <c r="AJ214">
        <v>0</v>
      </c>
      <c r="AK214">
        <v>823.68</v>
      </c>
      <c r="AL214">
        <v>4576</v>
      </c>
      <c r="AM214">
        <v>5400</v>
      </c>
      <c r="AN214">
        <v>4</v>
      </c>
      <c r="AO214" t="s">
        <v>264</v>
      </c>
      <c r="AP214" t="s">
        <v>265</v>
      </c>
      <c r="AQ214">
        <v>10</v>
      </c>
      <c r="AR214">
        <v>114</v>
      </c>
      <c r="AS214" t="s">
        <v>79</v>
      </c>
      <c r="AT214">
        <v>66101</v>
      </c>
      <c r="AU214" t="s">
        <v>318</v>
      </c>
      <c r="AV214" t="s">
        <v>80</v>
      </c>
      <c r="AW214" t="s">
        <v>23</v>
      </c>
      <c r="AX214" t="s">
        <v>24</v>
      </c>
      <c r="AY214" t="s">
        <v>267</v>
      </c>
      <c r="AZ214" t="s">
        <v>197</v>
      </c>
      <c r="BA214" t="s">
        <v>463</v>
      </c>
      <c r="BB214">
        <v>0</v>
      </c>
      <c r="BC214">
        <v>0</v>
      </c>
      <c r="BD214" t="s">
        <v>199</v>
      </c>
      <c r="BE214" t="s">
        <v>199</v>
      </c>
      <c r="BF214">
        <v>0</v>
      </c>
      <c r="BG214">
        <v>0</v>
      </c>
      <c r="BH214" t="s">
        <v>200</v>
      </c>
      <c r="BI214">
        <v>13</v>
      </c>
      <c r="BJ214">
        <v>6268091</v>
      </c>
      <c r="BK214" t="s">
        <v>201</v>
      </c>
      <c r="BL214" t="s">
        <v>190</v>
      </c>
    </row>
    <row r="215" spans="1:64" x14ac:dyDescent="0.3">
      <c r="A215">
        <v>223</v>
      </c>
      <c r="B215" t="s">
        <v>186</v>
      </c>
      <c r="C215">
        <v>3</v>
      </c>
      <c r="D215">
        <v>6268248</v>
      </c>
      <c r="E215" t="s">
        <v>202</v>
      </c>
      <c r="F215" t="s">
        <v>188</v>
      </c>
      <c r="G215">
        <v>10097159</v>
      </c>
      <c r="H215" s="35">
        <v>46092</v>
      </c>
      <c r="I215" s="35">
        <v>46092</v>
      </c>
      <c r="J215">
        <v>2026</v>
      </c>
      <c r="K215">
        <v>3</v>
      </c>
      <c r="L215" t="s">
        <v>242</v>
      </c>
      <c r="M215">
        <v>1</v>
      </c>
      <c r="N215" t="s">
        <v>190</v>
      </c>
      <c r="O215" t="s">
        <v>191</v>
      </c>
      <c r="P215" t="s">
        <v>199</v>
      </c>
      <c r="Q215" t="s">
        <v>199</v>
      </c>
      <c r="R215">
        <v>11</v>
      </c>
      <c r="S215">
        <v>11</v>
      </c>
      <c r="T215">
        <v>12191</v>
      </c>
      <c r="U215">
        <v>3</v>
      </c>
      <c r="V215" t="s">
        <v>204</v>
      </c>
      <c r="W215" t="s">
        <v>27</v>
      </c>
      <c r="X215" t="s">
        <v>28</v>
      </c>
      <c r="Y215" t="s">
        <v>20</v>
      </c>
      <c r="Z215" t="s">
        <v>20</v>
      </c>
      <c r="AA215">
        <v>91</v>
      </c>
      <c r="AB215">
        <v>101072</v>
      </c>
      <c r="AC215" t="s">
        <v>411</v>
      </c>
      <c r="AD215" t="s">
        <v>412</v>
      </c>
      <c r="AE215">
        <v>1</v>
      </c>
      <c r="AF215">
        <v>24</v>
      </c>
      <c r="AG215">
        <v>43.55</v>
      </c>
      <c r="AH215">
        <v>0</v>
      </c>
      <c r="AI215">
        <v>0</v>
      </c>
      <c r="AJ215">
        <v>0</v>
      </c>
      <c r="AK215">
        <v>188.14</v>
      </c>
      <c r="AL215">
        <v>1045.2</v>
      </c>
      <c r="AM215">
        <v>1233</v>
      </c>
      <c r="AN215">
        <v>91</v>
      </c>
      <c r="AO215" t="s">
        <v>22</v>
      </c>
      <c r="AP215" t="s">
        <v>26</v>
      </c>
      <c r="AQ215">
        <v>10</v>
      </c>
      <c r="AR215">
        <v>135</v>
      </c>
      <c r="AS215" t="s">
        <v>105</v>
      </c>
      <c r="AT215">
        <v>6766661</v>
      </c>
      <c r="AU215" t="s">
        <v>105</v>
      </c>
      <c r="AV215" t="s">
        <v>86</v>
      </c>
      <c r="AW215" t="s">
        <v>23</v>
      </c>
      <c r="AX215" t="s">
        <v>24</v>
      </c>
      <c r="AY215" t="s">
        <v>25</v>
      </c>
      <c r="AZ215" t="s">
        <v>197</v>
      </c>
      <c r="BA215" t="s">
        <v>464</v>
      </c>
      <c r="BB215">
        <v>0</v>
      </c>
      <c r="BC215">
        <v>0</v>
      </c>
      <c r="BD215" t="s">
        <v>199</v>
      </c>
      <c r="BE215" t="s">
        <v>199</v>
      </c>
      <c r="BF215">
        <v>0</v>
      </c>
      <c r="BG215">
        <v>0</v>
      </c>
      <c r="BH215" t="s">
        <v>200</v>
      </c>
      <c r="BI215">
        <v>13</v>
      </c>
      <c r="BJ215">
        <v>6268248</v>
      </c>
      <c r="BK215" t="s">
        <v>201</v>
      </c>
      <c r="BL215" t="s">
        <v>190</v>
      </c>
    </row>
    <row r="216" spans="1:64" x14ac:dyDescent="0.3">
      <c r="A216">
        <v>223</v>
      </c>
      <c r="B216" t="s">
        <v>186</v>
      </c>
      <c r="C216">
        <v>3</v>
      </c>
      <c r="D216">
        <v>6268248</v>
      </c>
      <c r="E216" t="s">
        <v>202</v>
      </c>
      <c r="F216" t="s">
        <v>188</v>
      </c>
      <c r="G216">
        <v>10097159</v>
      </c>
      <c r="H216" s="35">
        <v>46092</v>
      </c>
      <c r="I216" s="35">
        <v>46092</v>
      </c>
      <c r="J216">
        <v>2026</v>
      </c>
      <c r="K216">
        <v>3</v>
      </c>
      <c r="L216" t="s">
        <v>242</v>
      </c>
      <c r="M216">
        <v>1</v>
      </c>
      <c r="N216" t="s">
        <v>190</v>
      </c>
      <c r="O216" t="s">
        <v>191</v>
      </c>
      <c r="P216" t="s">
        <v>199</v>
      </c>
      <c r="Q216" t="s">
        <v>199</v>
      </c>
      <c r="R216">
        <v>11</v>
      </c>
      <c r="S216">
        <v>11</v>
      </c>
      <c r="T216">
        <v>12191</v>
      </c>
      <c r="U216">
        <v>3</v>
      </c>
      <c r="V216" t="s">
        <v>204</v>
      </c>
      <c r="W216" t="s">
        <v>27</v>
      </c>
      <c r="X216" t="s">
        <v>28</v>
      </c>
      <c r="Y216" t="s">
        <v>20</v>
      </c>
      <c r="Z216" t="s">
        <v>20</v>
      </c>
      <c r="AA216">
        <v>91</v>
      </c>
      <c r="AB216">
        <v>201001</v>
      </c>
      <c r="AC216" t="s">
        <v>248</v>
      </c>
      <c r="AD216" t="s">
        <v>249</v>
      </c>
      <c r="AE216">
        <v>5</v>
      </c>
      <c r="AF216">
        <v>5</v>
      </c>
      <c r="AG216">
        <v>221.67</v>
      </c>
      <c r="AH216">
        <v>0</v>
      </c>
      <c r="AI216">
        <v>0</v>
      </c>
      <c r="AJ216">
        <v>0</v>
      </c>
      <c r="AK216">
        <v>199.5</v>
      </c>
      <c r="AL216">
        <v>1108.3499999999999</v>
      </c>
      <c r="AM216">
        <v>1308</v>
      </c>
      <c r="AN216">
        <v>91</v>
      </c>
      <c r="AO216" t="s">
        <v>22</v>
      </c>
      <c r="AP216" t="s">
        <v>26</v>
      </c>
      <c r="AQ216">
        <v>10</v>
      </c>
      <c r="AR216">
        <v>113</v>
      </c>
      <c r="AS216" t="s">
        <v>89</v>
      </c>
      <c r="AT216">
        <v>82101</v>
      </c>
      <c r="AU216" t="s">
        <v>252</v>
      </c>
      <c r="AV216" t="s">
        <v>80</v>
      </c>
      <c r="AW216" t="s">
        <v>23</v>
      </c>
      <c r="AX216" t="s">
        <v>24</v>
      </c>
      <c r="AY216" t="s">
        <v>25</v>
      </c>
      <c r="AZ216" t="s">
        <v>197</v>
      </c>
      <c r="BA216" t="s">
        <v>464</v>
      </c>
      <c r="BB216">
        <v>0</v>
      </c>
      <c r="BC216">
        <v>0</v>
      </c>
      <c r="BD216" t="s">
        <v>199</v>
      </c>
      <c r="BE216" t="s">
        <v>199</v>
      </c>
      <c r="BF216">
        <v>0</v>
      </c>
      <c r="BG216">
        <v>0</v>
      </c>
      <c r="BH216" t="s">
        <v>200</v>
      </c>
      <c r="BI216">
        <v>13</v>
      </c>
      <c r="BJ216">
        <v>6268248</v>
      </c>
      <c r="BK216" t="s">
        <v>201</v>
      </c>
      <c r="BL216" t="s">
        <v>190</v>
      </c>
    </row>
    <row r="217" spans="1:64" x14ac:dyDescent="0.3">
      <c r="A217">
        <v>223</v>
      </c>
      <c r="B217" t="s">
        <v>186</v>
      </c>
      <c r="C217">
        <v>3</v>
      </c>
      <c r="D217">
        <v>6268248</v>
      </c>
      <c r="E217" t="s">
        <v>202</v>
      </c>
      <c r="F217" t="s">
        <v>188</v>
      </c>
      <c r="G217">
        <v>10097159</v>
      </c>
      <c r="H217" s="35">
        <v>46092</v>
      </c>
      <c r="I217" s="35">
        <v>46092</v>
      </c>
      <c r="J217">
        <v>2026</v>
      </c>
      <c r="K217">
        <v>3</v>
      </c>
      <c r="L217" t="s">
        <v>242</v>
      </c>
      <c r="M217">
        <v>1</v>
      </c>
      <c r="N217" t="s">
        <v>190</v>
      </c>
      <c r="O217" t="s">
        <v>191</v>
      </c>
      <c r="P217" t="s">
        <v>199</v>
      </c>
      <c r="Q217" t="s">
        <v>199</v>
      </c>
      <c r="R217">
        <v>11</v>
      </c>
      <c r="S217">
        <v>11</v>
      </c>
      <c r="T217">
        <v>12191</v>
      </c>
      <c r="U217">
        <v>3</v>
      </c>
      <c r="V217" t="s">
        <v>204</v>
      </c>
      <c r="W217" t="s">
        <v>27</v>
      </c>
      <c r="X217" t="s">
        <v>28</v>
      </c>
      <c r="Y217" t="s">
        <v>20</v>
      </c>
      <c r="Z217" t="s">
        <v>20</v>
      </c>
      <c r="AA217">
        <v>91</v>
      </c>
      <c r="AB217">
        <v>101034</v>
      </c>
      <c r="AC217" t="s">
        <v>329</v>
      </c>
      <c r="AD217" t="s">
        <v>330</v>
      </c>
      <c r="AE217">
        <v>0.2</v>
      </c>
      <c r="AF217">
        <v>2</v>
      </c>
      <c r="AG217">
        <v>232</v>
      </c>
      <c r="AH217">
        <v>0</v>
      </c>
      <c r="AI217">
        <v>0</v>
      </c>
      <c r="AJ217">
        <v>0</v>
      </c>
      <c r="AK217">
        <v>83.52</v>
      </c>
      <c r="AL217">
        <v>464</v>
      </c>
      <c r="AM217">
        <v>548</v>
      </c>
      <c r="AN217">
        <v>91</v>
      </c>
      <c r="AO217" t="s">
        <v>22</v>
      </c>
      <c r="AP217" t="s">
        <v>26</v>
      </c>
      <c r="AQ217">
        <v>10</v>
      </c>
      <c r="AR217">
        <v>136</v>
      </c>
      <c r="AS217" t="s">
        <v>87</v>
      </c>
      <c r="AT217">
        <v>677001</v>
      </c>
      <c r="AU217" t="s">
        <v>273</v>
      </c>
      <c r="AV217" t="s">
        <v>86</v>
      </c>
      <c r="AW217" t="s">
        <v>23</v>
      </c>
      <c r="AX217" t="s">
        <v>24</v>
      </c>
      <c r="AY217" t="s">
        <v>25</v>
      </c>
      <c r="AZ217" t="s">
        <v>197</v>
      </c>
      <c r="BA217" t="s">
        <v>464</v>
      </c>
      <c r="BB217">
        <v>0</v>
      </c>
      <c r="BC217">
        <v>0</v>
      </c>
      <c r="BD217" t="s">
        <v>199</v>
      </c>
      <c r="BE217" t="s">
        <v>199</v>
      </c>
      <c r="BF217">
        <v>0</v>
      </c>
      <c r="BG217">
        <v>0</v>
      </c>
      <c r="BH217" t="s">
        <v>200</v>
      </c>
      <c r="BI217">
        <v>13</v>
      </c>
      <c r="BJ217">
        <v>6268248</v>
      </c>
      <c r="BK217" t="s">
        <v>201</v>
      </c>
      <c r="BL217" t="s">
        <v>190</v>
      </c>
    </row>
    <row r="218" spans="1:64" x14ac:dyDescent="0.3">
      <c r="A218">
        <v>125</v>
      </c>
      <c r="B218" t="s">
        <v>186</v>
      </c>
      <c r="C218">
        <v>3</v>
      </c>
      <c r="D218">
        <v>6271051</v>
      </c>
      <c r="E218" t="s">
        <v>213</v>
      </c>
      <c r="F218" t="s">
        <v>188</v>
      </c>
      <c r="G218">
        <v>10099962</v>
      </c>
      <c r="H218" s="35">
        <v>46093</v>
      </c>
      <c r="I218" s="35">
        <v>46093</v>
      </c>
      <c r="J218">
        <v>2026</v>
      </c>
      <c r="K218">
        <v>3</v>
      </c>
      <c r="L218" t="s">
        <v>242</v>
      </c>
      <c r="M218">
        <v>1</v>
      </c>
      <c r="N218" t="s">
        <v>190</v>
      </c>
      <c r="O218" t="s">
        <v>191</v>
      </c>
      <c r="P218" t="s">
        <v>199</v>
      </c>
      <c r="Q218" t="s">
        <v>199</v>
      </c>
      <c r="R218">
        <v>11</v>
      </c>
      <c r="S218">
        <v>12</v>
      </c>
      <c r="T218">
        <v>36908</v>
      </c>
      <c r="U218">
        <v>3</v>
      </c>
      <c r="V218" t="s">
        <v>215</v>
      </c>
      <c r="W218" t="s">
        <v>67</v>
      </c>
      <c r="X218" t="s">
        <v>28</v>
      </c>
      <c r="Y218" t="s">
        <v>30</v>
      </c>
      <c r="Z218" t="s">
        <v>30</v>
      </c>
      <c r="AA218">
        <v>11</v>
      </c>
      <c r="AB218">
        <v>201001</v>
      </c>
      <c r="AC218" t="s">
        <v>248</v>
      </c>
      <c r="AD218" t="s">
        <v>249</v>
      </c>
      <c r="AE218">
        <v>10</v>
      </c>
      <c r="AF218">
        <v>10</v>
      </c>
      <c r="AG218">
        <v>221.67</v>
      </c>
      <c r="AH218">
        <v>0</v>
      </c>
      <c r="AI218">
        <v>0</v>
      </c>
      <c r="AJ218">
        <v>0</v>
      </c>
      <c r="AK218">
        <v>399.01</v>
      </c>
      <c r="AL218">
        <v>2216.6999999999998</v>
      </c>
      <c r="AM218">
        <v>2616</v>
      </c>
      <c r="AN218">
        <v>199</v>
      </c>
      <c r="AO218" t="s">
        <v>218</v>
      </c>
      <c r="AP218" t="s">
        <v>219</v>
      </c>
      <c r="AQ218">
        <v>10</v>
      </c>
      <c r="AR218">
        <v>113</v>
      </c>
      <c r="AS218" t="s">
        <v>89</v>
      </c>
      <c r="AT218">
        <v>82101</v>
      </c>
      <c r="AU218" t="s">
        <v>252</v>
      </c>
      <c r="AV218" t="s">
        <v>80</v>
      </c>
      <c r="AW218" t="s">
        <v>70</v>
      </c>
      <c r="AX218" t="s">
        <v>71</v>
      </c>
      <c r="AY218" t="s">
        <v>220</v>
      </c>
      <c r="AZ218" t="s">
        <v>221</v>
      </c>
      <c r="BA218" t="s">
        <v>465</v>
      </c>
      <c r="BB218">
        <v>0</v>
      </c>
      <c r="BC218">
        <v>0</v>
      </c>
      <c r="BD218" t="s">
        <v>199</v>
      </c>
      <c r="BE218" t="s">
        <v>199</v>
      </c>
      <c r="BF218">
        <v>0</v>
      </c>
      <c r="BG218">
        <v>0</v>
      </c>
      <c r="BH218" t="s">
        <v>200</v>
      </c>
      <c r="BI218">
        <v>13</v>
      </c>
      <c r="BJ218">
        <v>6271051</v>
      </c>
      <c r="BK218" t="s">
        <v>201</v>
      </c>
      <c r="BL218" t="s">
        <v>190</v>
      </c>
    </row>
    <row r="219" spans="1:64" x14ac:dyDescent="0.3">
      <c r="A219">
        <v>283</v>
      </c>
      <c r="B219" t="s">
        <v>186</v>
      </c>
      <c r="C219">
        <v>3</v>
      </c>
      <c r="D219">
        <v>6271394</v>
      </c>
      <c r="E219" t="s">
        <v>434</v>
      </c>
      <c r="F219" t="s">
        <v>188</v>
      </c>
      <c r="G219">
        <v>10100305</v>
      </c>
      <c r="H219" s="35">
        <v>46093</v>
      </c>
      <c r="I219" s="35">
        <v>46093</v>
      </c>
      <c r="J219">
        <v>2026</v>
      </c>
      <c r="K219">
        <v>3</v>
      </c>
      <c r="L219" t="s">
        <v>242</v>
      </c>
      <c r="M219">
        <v>1</v>
      </c>
      <c r="N219" t="s">
        <v>190</v>
      </c>
      <c r="O219" t="s">
        <v>191</v>
      </c>
      <c r="P219" t="s">
        <v>199</v>
      </c>
      <c r="Q219" t="s">
        <v>199</v>
      </c>
      <c r="R219">
        <v>11</v>
      </c>
      <c r="S219">
        <v>12</v>
      </c>
      <c r="T219">
        <v>37594</v>
      </c>
      <c r="U219">
        <v>3</v>
      </c>
      <c r="V219" t="s">
        <v>234</v>
      </c>
      <c r="W219" t="s">
        <v>47</v>
      </c>
      <c r="X219" t="s">
        <v>19</v>
      </c>
      <c r="Y219" t="s">
        <v>30</v>
      </c>
      <c r="Z219" t="s">
        <v>30</v>
      </c>
      <c r="AA219">
        <v>72</v>
      </c>
      <c r="AB219">
        <v>101005</v>
      </c>
      <c r="AC219" t="s">
        <v>320</v>
      </c>
      <c r="AD219" t="s">
        <v>321</v>
      </c>
      <c r="AE219">
        <v>0.4</v>
      </c>
      <c r="AF219">
        <v>12</v>
      </c>
      <c r="AG219">
        <v>73.41</v>
      </c>
      <c r="AH219">
        <v>0</v>
      </c>
      <c r="AI219">
        <v>0</v>
      </c>
      <c r="AJ219">
        <v>0</v>
      </c>
      <c r="AK219">
        <v>158.57</v>
      </c>
      <c r="AL219">
        <v>880.92</v>
      </c>
      <c r="AM219">
        <v>1039</v>
      </c>
      <c r="AN219">
        <v>95</v>
      </c>
      <c r="AO219" t="s">
        <v>237</v>
      </c>
      <c r="AP219" t="s">
        <v>238</v>
      </c>
      <c r="AQ219">
        <v>10</v>
      </c>
      <c r="AR219">
        <v>105</v>
      </c>
      <c r="AS219" t="s">
        <v>85</v>
      </c>
      <c r="AT219">
        <v>677001</v>
      </c>
      <c r="AU219" t="s">
        <v>273</v>
      </c>
      <c r="AV219" t="s">
        <v>86</v>
      </c>
      <c r="AW219" t="s">
        <v>50</v>
      </c>
      <c r="AX219" t="s">
        <v>51</v>
      </c>
      <c r="AY219" t="s">
        <v>239</v>
      </c>
      <c r="AZ219" t="s">
        <v>240</v>
      </c>
      <c r="BA219" t="s">
        <v>466</v>
      </c>
      <c r="BB219">
        <v>0</v>
      </c>
      <c r="BC219">
        <v>0</v>
      </c>
      <c r="BD219" t="s">
        <v>199</v>
      </c>
      <c r="BE219" t="s">
        <v>199</v>
      </c>
      <c r="BF219">
        <v>0</v>
      </c>
      <c r="BG219">
        <v>0</v>
      </c>
      <c r="BH219" t="s">
        <v>200</v>
      </c>
      <c r="BI219">
        <v>13</v>
      </c>
      <c r="BJ219">
        <v>6271394</v>
      </c>
      <c r="BK219" t="s">
        <v>201</v>
      </c>
      <c r="BL219" t="s">
        <v>190</v>
      </c>
    </row>
    <row r="220" spans="1:64" x14ac:dyDescent="0.3">
      <c r="A220">
        <v>283</v>
      </c>
      <c r="B220" t="s">
        <v>186</v>
      </c>
      <c r="C220">
        <v>3</v>
      </c>
      <c r="D220">
        <v>6271394</v>
      </c>
      <c r="E220" t="s">
        <v>434</v>
      </c>
      <c r="F220" t="s">
        <v>188</v>
      </c>
      <c r="G220">
        <v>10100305</v>
      </c>
      <c r="H220" s="35">
        <v>46093</v>
      </c>
      <c r="I220" s="35">
        <v>46093</v>
      </c>
      <c r="J220">
        <v>2026</v>
      </c>
      <c r="K220">
        <v>3</v>
      </c>
      <c r="L220" t="s">
        <v>242</v>
      </c>
      <c r="M220">
        <v>1</v>
      </c>
      <c r="N220" t="s">
        <v>190</v>
      </c>
      <c r="O220" t="s">
        <v>191</v>
      </c>
      <c r="P220" t="s">
        <v>199</v>
      </c>
      <c r="Q220" t="s">
        <v>199</v>
      </c>
      <c r="R220">
        <v>11</v>
      </c>
      <c r="S220">
        <v>12</v>
      </c>
      <c r="T220">
        <v>37594</v>
      </c>
      <c r="U220">
        <v>3</v>
      </c>
      <c r="V220" t="s">
        <v>234</v>
      </c>
      <c r="W220" t="s">
        <v>47</v>
      </c>
      <c r="X220" t="s">
        <v>19</v>
      </c>
      <c r="Y220" t="s">
        <v>30</v>
      </c>
      <c r="Z220" t="s">
        <v>30</v>
      </c>
      <c r="AA220">
        <v>72</v>
      </c>
      <c r="AB220">
        <v>101028</v>
      </c>
      <c r="AC220" t="s">
        <v>325</v>
      </c>
      <c r="AD220" t="s">
        <v>326</v>
      </c>
      <c r="AE220">
        <v>0.66666666666665997</v>
      </c>
      <c r="AF220">
        <v>12</v>
      </c>
      <c r="AG220">
        <v>98.4</v>
      </c>
      <c r="AH220">
        <v>0</v>
      </c>
      <c r="AI220">
        <v>0</v>
      </c>
      <c r="AJ220">
        <v>0</v>
      </c>
      <c r="AK220">
        <v>212.54</v>
      </c>
      <c r="AL220">
        <v>1180.8</v>
      </c>
      <c r="AM220">
        <v>1393</v>
      </c>
      <c r="AN220">
        <v>95</v>
      </c>
      <c r="AO220" t="s">
        <v>237</v>
      </c>
      <c r="AP220" t="s">
        <v>238</v>
      </c>
      <c r="AQ220">
        <v>10</v>
      </c>
      <c r="AR220">
        <v>105</v>
      </c>
      <c r="AS220" t="s">
        <v>85</v>
      </c>
      <c r="AT220">
        <v>677001</v>
      </c>
      <c r="AU220" t="s">
        <v>273</v>
      </c>
      <c r="AV220" t="s">
        <v>86</v>
      </c>
      <c r="AW220" t="s">
        <v>50</v>
      </c>
      <c r="AX220" t="s">
        <v>51</v>
      </c>
      <c r="AY220" t="s">
        <v>239</v>
      </c>
      <c r="AZ220" t="s">
        <v>240</v>
      </c>
      <c r="BA220" t="s">
        <v>466</v>
      </c>
      <c r="BB220">
        <v>0</v>
      </c>
      <c r="BC220">
        <v>0</v>
      </c>
      <c r="BD220" t="s">
        <v>199</v>
      </c>
      <c r="BE220" t="s">
        <v>199</v>
      </c>
      <c r="BF220">
        <v>0</v>
      </c>
      <c r="BG220">
        <v>0</v>
      </c>
      <c r="BH220" t="s">
        <v>200</v>
      </c>
      <c r="BI220">
        <v>13</v>
      </c>
      <c r="BJ220">
        <v>6271394</v>
      </c>
      <c r="BK220" t="s">
        <v>201</v>
      </c>
      <c r="BL220" t="s">
        <v>190</v>
      </c>
    </row>
    <row r="221" spans="1:64" x14ac:dyDescent="0.3">
      <c r="A221">
        <v>254</v>
      </c>
      <c r="B221" t="s">
        <v>186</v>
      </c>
      <c r="C221">
        <v>3</v>
      </c>
      <c r="D221">
        <v>6273020</v>
      </c>
      <c r="E221" t="s">
        <v>297</v>
      </c>
      <c r="F221" t="s">
        <v>188</v>
      </c>
      <c r="G221">
        <v>10101931</v>
      </c>
      <c r="H221" s="35">
        <v>46094</v>
      </c>
      <c r="I221" s="35">
        <v>46094</v>
      </c>
      <c r="J221">
        <v>2026</v>
      </c>
      <c r="K221">
        <v>3</v>
      </c>
      <c r="L221" t="s">
        <v>242</v>
      </c>
      <c r="M221">
        <v>1</v>
      </c>
      <c r="N221" t="s">
        <v>190</v>
      </c>
      <c r="O221" t="s">
        <v>191</v>
      </c>
      <c r="P221" t="s">
        <v>199</v>
      </c>
      <c r="Q221" t="s">
        <v>199</v>
      </c>
      <c r="R221">
        <v>11</v>
      </c>
      <c r="S221">
        <v>13</v>
      </c>
      <c r="T221">
        <v>5474</v>
      </c>
      <c r="U221">
        <v>3</v>
      </c>
      <c r="V221" t="s">
        <v>298</v>
      </c>
      <c r="W221" t="s">
        <v>54</v>
      </c>
      <c r="X221" t="s">
        <v>19</v>
      </c>
      <c r="Y221" t="s">
        <v>55</v>
      </c>
      <c r="Z221" t="s">
        <v>56</v>
      </c>
      <c r="AA221">
        <v>70</v>
      </c>
      <c r="AB221">
        <v>511005</v>
      </c>
      <c r="AC221" t="s">
        <v>231</v>
      </c>
      <c r="AD221" t="s">
        <v>232</v>
      </c>
      <c r="AE221">
        <v>1</v>
      </c>
      <c r="AF221">
        <v>12</v>
      </c>
      <c r="AG221">
        <v>64.44</v>
      </c>
      <c r="AH221">
        <v>0</v>
      </c>
      <c r="AI221">
        <v>0</v>
      </c>
      <c r="AJ221">
        <v>0</v>
      </c>
      <c r="AK221">
        <v>139.19</v>
      </c>
      <c r="AL221">
        <v>773.28</v>
      </c>
      <c r="AM221">
        <v>912</v>
      </c>
      <c r="AN221">
        <v>94</v>
      </c>
      <c r="AO221" t="s">
        <v>64</v>
      </c>
      <c r="AP221" t="s">
        <v>66</v>
      </c>
      <c r="AQ221">
        <v>10</v>
      </c>
      <c r="AR221">
        <v>114</v>
      </c>
      <c r="AS221" t="s">
        <v>79</v>
      </c>
      <c r="AT221">
        <v>66102</v>
      </c>
      <c r="AU221" t="s">
        <v>227</v>
      </c>
      <c r="AV221" t="s">
        <v>80</v>
      </c>
      <c r="AW221" t="s">
        <v>50</v>
      </c>
      <c r="AX221" t="s">
        <v>51</v>
      </c>
      <c r="AY221" t="s">
        <v>65</v>
      </c>
      <c r="AZ221" t="s">
        <v>240</v>
      </c>
      <c r="BA221" t="s">
        <v>467</v>
      </c>
      <c r="BB221">
        <v>0</v>
      </c>
      <c r="BC221">
        <v>0</v>
      </c>
      <c r="BD221" t="s">
        <v>199</v>
      </c>
      <c r="BE221" t="s">
        <v>199</v>
      </c>
      <c r="BF221">
        <v>0</v>
      </c>
      <c r="BG221">
        <v>0</v>
      </c>
      <c r="BH221" t="s">
        <v>200</v>
      </c>
      <c r="BI221">
        <v>13</v>
      </c>
      <c r="BJ221">
        <v>6273020</v>
      </c>
      <c r="BK221" t="s">
        <v>201</v>
      </c>
      <c r="BL221" t="s">
        <v>190</v>
      </c>
    </row>
    <row r="222" spans="1:64" x14ac:dyDescent="0.3">
      <c r="A222">
        <v>254</v>
      </c>
      <c r="B222" t="s">
        <v>186</v>
      </c>
      <c r="C222">
        <v>3</v>
      </c>
      <c r="D222">
        <v>6273020</v>
      </c>
      <c r="E222" t="s">
        <v>297</v>
      </c>
      <c r="F222" t="s">
        <v>188</v>
      </c>
      <c r="G222">
        <v>10101931</v>
      </c>
      <c r="H222" s="35">
        <v>46094</v>
      </c>
      <c r="I222" s="35">
        <v>46094</v>
      </c>
      <c r="J222">
        <v>2026</v>
      </c>
      <c r="K222">
        <v>3</v>
      </c>
      <c r="L222" t="s">
        <v>242</v>
      </c>
      <c r="M222">
        <v>1</v>
      </c>
      <c r="N222" t="s">
        <v>203</v>
      </c>
      <c r="O222" t="s">
        <v>191</v>
      </c>
      <c r="P222" t="s">
        <v>199</v>
      </c>
      <c r="Q222" t="s">
        <v>199</v>
      </c>
      <c r="R222">
        <v>11</v>
      </c>
      <c r="S222">
        <v>13</v>
      </c>
      <c r="T222">
        <v>5474</v>
      </c>
      <c r="U222">
        <v>3</v>
      </c>
      <c r="V222" t="s">
        <v>298</v>
      </c>
      <c r="W222" t="s">
        <v>54</v>
      </c>
      <c r="X222" t="s">
        <v>19</v>
      </c>
      <c r="Y222" t="s">
        <v>55</v>
      </c>
      <c r="Z222" t="s">
        <v>56</v>
      </c>
      <c r="AA222">
        <v>70</v>
      </c>
      <c r="AB222">
        <v>930023</v>
      </c>
      <c r="AC222" t="s">
        <v>332</v>
      </c>
      <c r="AD222" t="s">
        <v>333</v>
      </c>
      <c r="AE222">
        <v>0.3</v>
      </c>
      <c r="AF222">
        <v>6</v>
      </c>
      <c r="AG222">
        <v>140.75</v>
      </c>
      <c r="AH222">
        <v>0</v>
      </c>
      <c r="AI222">
        <v>0</v>
      </c>
      <c r="AJ222">
        <v>0</v>
      </c>
      <c r="AK222">
        <v>152.01</v>
      </c>
      <c r="AL222">
        <v>844.5</v>
      </c>
      <c r="AM222">
        <v>997</v>
      </c>
      <c r="AN222">
        <v>94</v>
      </c>
      <c r="AO222" t="s">
        <v>64</v>
      </c>
      <c r="AP222" t="s">
        <v>66</v>
      </c>
      <c r="AQ222">
        <v>10</v>
      </c>
      <c r="AR222">
        <v>208</v>
      </c>
      <c r="AS222" t="s">
        <v>92</v>
      </c>
      <c r="AT222">
        <v>0</v>
      </c>
      <c r="AU222" t="s">
        <v>199</v>
      </c>
      <c r="AV222" t="s">
        <v>82</v>
      </c>
      <c r="AW222" t="s">
        <v>50</v>
      </c>
      <c r="AX222" t="s">
        <v>51</v>
      </c>
      <c r="AY222" t="s">
        <v>65</v>
      </c>
      <c r="AZ222" t="s">
        <v>240</v>
      </c>
      <c r="BA222" t="s">
        <v>467</v>
      </c>
      <c r="BB222">
        <v>0</v>
      </c>
      <c r="BC222">
        <v>0</v>
      </c>
      <c r="BD222" t="s">
        <v>199</v>
      </c>
      <c r="BE222" t="s">
        <v>199</v>
      </c>
      <c r="BF222">
        <v>0</v>
      </c>
      <c r="BG222">
        <v>0</v>
      </c>
      <c r="BH222" t="s">
        <v>200</v>
      </c>
      <c r="BI222">
        <v>13</v>
      </c>
      <c r="BJ222">
        <v>6273020</v>
      </c>
      <c r="BK222" t="s">
        <v>201</v>
      </c>
      <c r="BL222" t="s">
        <v>190</v>
      </c>
    </row>
    <row r="223" spans="1:64" x14ac:dyDescent="0.3">
      <c r="A223">
        <v>254</v>
      </c>
      <c r="B223" t="s">
        <v>186</v>
      </c>
      <c r="C223">
        <v>3</v>
      </c>
      <c r="D223">
        <v>6273020</v>
      </c>
      <c r="E223" t="s">
        <v>297</v>
      </c>
      <c r="F223" t="s">
        <v>188</v>
      </c>
      <c r="G223">
        <v>10101931</v>
      </c>
      <c r="H223" s="35">
        <v>46094</v>
      </c>
      <c r="I223" s="35">
        <v>46094</v>
      </c>
      <c r="J223">
        <v>2026</v>
      </c>
      <c r="K223">
        <v>3</v>
      </c>
      <c r="L223" t="s">
        <v>242</v>
      </c>
      <c r="M223">
        <v>1</v>
      </c>
      <c r="N223" t="s">
        <v>190</v>
      </c>
      <c r="O223" t="s">
        <v>191</v>
      </c>
      <c r="P223" t="s">
        <v>199</v>
      </c>
      <c r="Q223" t="s">
        <v>199</v>
      </c>
      <c r="R223">
        <v>11</v>
      </c>
      <c r="S223">
        <v>13</v>
      </c>
      <c r="T223">
        <v>5474</v>
      </c>
      <c r="U223">
        <v>3</v>
      </c>
      <c r="V223" t="s">
        <v>298</v>
      </c>
      <c r="W223" t="s">
        <v>54</v>
      </c>
      <c r="X223" t="s">
        <v>19</v>
      </c>
      <c r="Y223" t="s">
        <v>55</v>
      </c>
      <c r="Z223" t="s">
        <v>56</v>
      </c>
      <c r="AA223">
        <v>70</v>
      </c>
      <c r="AB223">
        <v>611055</v>
      </c>
      <c r="AC223" t="s">
        <v>300</v>
      </c>
      <c r="AD223" t="s">
        <v>301</v>
      </c>
      <c r="AE223">
        <v>6</v>
      </c>
      <c r="AF223">
        <v>24</v>
      </c>
      <c r="AG223">
        <v>78.319999999999993</v>
      </c>
      <c r="AH223">
        <v>0</v>
      </c>
      <c r="AI223">
        <v>0</v>
      </c>
      <c r="AJ223">
        <v>0</v>
      </c>
      <c r="AK223">
        <v>338.34</v>
      </c>
      <c r="AL223">
        <v>1879.68</v>
      </c>
      <c r="AM223">
        <v>2218</v>
      </c>
      <c r="AN223">
        <v>94</v>
      </c>
      <c r="AO223" t="s">
        <v>64</v>
      </c>
      <c r="AP223" t="s">
        <v>66</v>
      </c>
      <c r="AQ223">
        <v>10</v>
      </c>
      <c r="AR223">
        <v>114</v>
      </c>
      <c r="AS223" t="s">
        <v>79</v>
      </c>
      <c r="AT223">
        <v>66102</v>
      </c>
      <c r="AU223" t="s">
        <v>227</v>
      </c>
      <c r="AV223" t="s">
        <v>80</v>
      </c>
      <c r="AW223" t="s">
        <v>50</v>
      </c>
      <c r="AX223" t="s">
        <v>51</v>
      </c>
      <c r="AY223" t="s">
        <v>65</v>
      </c>
      <c r="AZ223" t="s">
        <v>240</v>
      </c>
      <c r="BA223" t="s">
        <v>467</v>
      </c>
      <c r="BB223">
        <v>0</v>
      </c>
      <c r="BC223">
        <v>0</v>
      </c>
      <c r="BD223" t="s">
        <v>199</v>
      </c>
      <c r="BE223" t="s">
        <v>199</v>
      </c>
      <c r="BF223">
        <v>0</v>
      </c>
      <c r="BG223">
        <v>0</v>
      </c>
      <c r="BH223" t="s">
        <v>200</v>
      </c>
      <c r="BI223">
        <v>13</v>
      </c>
      <c r="BJ223">
        <v>6273020</v>
      </c>
      <c r="BK223" t="s">
        <v>201</v>
      </c>
      <c r="BL223" t="s">
        <v>190</v>
      </c>
    </row>
    <row r="224" spans="1:64" x14ac:dyDescent="0.3">
      <c r="A224">
        <v>223</v>
      </c>
      <c r="B224" t="s">
        <v>186</v>
      </c>
      <c r="C224">
        <v>3</v>
      </c>
      <c r="D224">
        <v>6273098</v>
      </c>
      <c r="E224" t="s">
        <v>202</v>
      </c>
      <c r="F224" t="s">
        <v>188</v>
      </c>
      <c r="G224">
        <v>10102009</v>
      </c>
      <c r="H224" s="35">
        <v>46094</v>
      </c>
      <c r="I224" s="35">
        <v>46094</v>
      </c>
      <c r="J224">
        <v>2026</v>
      </c>
      <c r="K224">
        <v>3</v>
      </c>
      <c r="L224" t="s">
        <v>242</v>
      </c>
      <c r="M224">
        <v>1</v>
      </c>
      <c r="N224" t="s">
        <v>190</v>
      </c>
      <c r="O224" t="s">
        <v>191</v>
      </c>
      <c r="P224" t="s">
        <v>199</v>
      </c>
      <c r="Q224" t="s">
        <v>199</v>
      </c>
      <c r="R224">
        <v>11</v>
      </c>
      <c r="S224">
        <v>13</v>
      </c>
      <c r="T224">
        <v>12191</v>
      </c>
      <c r="U224">
        <v>3</v>
      </c>
      <c r="V224" t="s">
        <v>204</v>
      </c>
      <c r="W224" t="s">
        <v>27</v>
      </c>
      <c r="X224" t="s">
        <v>28</v>
      </c>
      <c r="Y224" t="s">
        <v>20</v>
      </c>
      <c r="Z224" t="s">
        <v>20</v>
      </c>
      <c r="AA224">
        <v>91</v>
      </c>
      <c r="AB224">
        <v>101028</v>
      </c>
      <c r="AC224" t="s">
        <v>325</v>
      </c>
      <c r="AD224" t="s">
        <v>326</v>
      </c>
      <c r="AE224">
        <v>1</v>
      </c>
      <c r="AF224">
        <v>18</v>
      </c>
      <c r="AG224">
        <v>98.4</v>
      </c>
      <c r="AH224">
        <v>0</v>
      </c>
      <c r="AI224">
        <v>0</v>
      </c>
      <c r="AJ224">
        <v>0</v>
      </c>
      <c r="AK224">
        <v>318.82</v>
      </c>
      <c r="AL224">
        <v>1771.2</v>
      </c>
      <c r="AM224">
        <v>2090</v>
      </c>
      <c r="AN224">
        <v>91</v>
      </c>
      <c r="AO224" t="s">
        <v>22</v>
      </c>
      <c r="AP224" t="s">
        <v>26</v>
      </c>
      <c r="AQ224">
        <v>10</v>
      </c>
      <c r="AR224">
        <v>105</v>
      </c>
      <c r="AS224" t="s">
        <v>85</v>
      </c>
      <c r="AT224">
        <v>677001</v>
      </c>
      <c r="AU224" t="s">
        <v>273</v>
      </c>
      <c r="AV224" t="s">
        <v>86</v>
      </c>
      <c r="AW224" t="s">
        <v>23</v>
      </c>
      <c r="AX224" t="s">
        <v>24</v>
      </c>
      <c r="AY224" t="s">
        <v>25</v>
      </c>
      <c r="AZ224" t="s">
        <v>197</v>
      </c>
      <c r="BA224" t="s">
        <v>468</v>
      </c>
      <c r="BB224">
        <v>0</v>
      </c>
      <c r="BC224">
        <v>0</v>
      </c>
      <c r="BD224" t="s">
        <v>199</v>
      </c>
      <c r="BE224" t="s">
        <v>199</v>
      </c>
      <c r="BF224">
        <v>0</v>
      </c>
      <c r="BG224">
        <v>0</v>
      </c>
      <c r="BH224" t="s">
        <v>200</v>
      </c>
      <c r="BI224">
        <v>13</v>
      </c>
      <c r="BJ224">
        <v>6273098</v>
      </c>
      <c r="BK224" t="s">
        <v>201</v>
      </c>
      <c r="BL224" t="s">
        <v>190</v>
      </c>
    </row>
    <row r="225" spans="1:64" x14ac:dyDescent="0.3">
      <c r="A225">
        <v>109</v>
      </c>
      <c r="B225" t="s">
        <v>186</v>
      </c>
      <c r="C225">
        <v>3</v>
      </c>
      <c r="D225">
        <v>6275021</v>
      </c>
      <c r="E225" t="s">
        <v>187</v>
      </c>
      <c r="F225" t="s">
        <v>188</v>
      </c>
      <c r="G225">
        <v>10103934</v>
      </c>
      <c r="H225" s="35">
        <v>46095</v>
      </c>
      <c r="I225" s="35">
        <v>46095</v>
      </c>
      <c r="J225">
        <v>2026</v>
      </c>
      <c r="K225">
        <v>3</v>
      </c>
      <c r="L225" t="s">
        <v>242</v>
      </c>
      <c r="M225">
        <v>1</v>
      </c>
      <c r="N225" t="s">
        <v>190</v>
      </c>
      <c r="O225" t="s">
        <v>191</v>
      </c>
      <c r="P225" t="s">
        <v>199</v>
      </c>
      <c r="Q225" t="s">
        <v>199</v>
      </c>
      <c r="R225">
        <v>11</v>
      </c>
      <c r="S225">
        <v>14</v>
      </c>
      <c r="T225">
        <v>14167</v>
      </c>
      <c r="U225">
        <v>3</v>
      </c>
      <c r="V225" t="s">
        <v>208</v>
      </c>
      <c r="W225" t="s">
        <v>18</v>
      </c>
      <c r="X225" t="s">
        <v>19</v>
      </c>
      <c r="Y225" t="s">
        <v>20</v>
      </c>
      <c r="Z225" t="s">
        <v>20</v>
      </c>
      <c r="AA225">
        <v>91</v>
      </c>
      <c r="AB225">
        <v>201001</v>
      </c>
      <c r="AC225" t="s">
        <v>248</v>
      </c>
      <c r="AD225" t="s">
        <v>249</v>
      </c>
      <c r="AE225">
        <v>25</v>
      </c>
      <c r="AF225">
        <v>25</v>
      </c>
      <c r="AG225">
        <v>212.8</v>
      </c>
      <c r="AH225">
        <v>0</v>
      </c>
      <c r="AI225">
        <v>0</v>
      </c>
      <c r="AJ225">
        <v>0</v>
      </c>
      <c r="AK225">
        <v>957.6</v>
      </c>
      <c r="AL225">
        <v>5320</v>
      </c>
      <c r="AM225">
        <v>6278</v>
      </c>
      <c r="AN225">
        <v>3</v>
      </c>
      <c r="AO225" t="s">
        <v>403</v>
      </c>
      <c r="AP225" t="s">
        <v>404</v>
      </c>
      <c r="AQ225">
        <v>10</v>
      </c>
      <c r="AR225">
        <v>113</v>
      </c>
      <c r="AS225" t="s">
        <v>89</v>
      </c>
      <c r="AT225">
        <v>82101</v>
      </c>
      <c r="AU225" t="s">
        <v>252</v>
      </c>
      <c r="AV225" t="s">
        <v>80</v>
      </c>
      <c r="AW225" t="s">
        <v>23</v>
      </c>
      <c r="AX225" t="s">
        <v>24</v>
      </c>
      <c r="AY225" t="s">
        <v>405</v>
      </c>
      <c r="AZ225" t="s">
        <v>197</v>
      </c>
      <c r="BA225" t="s">
        <v>469</v>
      </c>
      <c r="BB225">
        <v>0</v>
      </c>
      <c r="BC225">
        <v>0</v>
      </c>
      <c r="BD225" t="s">
        <v>199</v>
      </c>
      <c r="BE225" t="s">
        <v>199</v>
      </c>
      <c r="BF225">
        <v>0</v>
      </c>
      <c r="BG225">
        <v>0</v>
      </c>
      <c r="BH225" t="s">
        <v>200</v>
      </c>
      <c r="BI225">
        <v>13</v>
      </c>
      <c r="BJ225">
        <v>6275021</v>
      </c>
      <c r="BK225" t="s">
        <v>201</v>
      </c>
      <c r="BL225" t="s">
        <v>190</v>
      </c>
    </row>
    <row r="226" spans="1:64" x14ac:dyDescent="0.3">
      <c r="A226">
        <v>109</v>
      </c>
      <c r="B226" t="s">
        <v>186</v>
      </c>
      <c r="C226">
        <v>3</v>
      </c>
      <c r="D226">
        <v>6275021</v>
      </c>
      <c r="E226" t="s">
        <v>187</v>
      </c>
      <c r="F226" t="s">
        <v>188</v>
      </c>
      <c r="G226">
        <v>10103934</v>
      </c>
      <c r="H226" s="35">
        <v>46095</v>
      </c>
      <c r="I226" s="35">
        <v>46095</v>
      </c>
      <c r="J226">
        <v>2026</v>
      </c>
      <c r="K226">
        <v>3</v>
      </c>
      <c r="L226" t="s">
        <v>242</v>
      </c>
      <c r="M226">
        <v>1</v>
      </c>
      <c r="N226" t="s">
        <v>190</v>
      </c>
      <c r="O226" t="s">
        <v>191</v>
      </c>
      <c r="P226" t="s">
        <v>199</v>
      </c>
      <c r="Q226" t="s">
        <v>199</v>
      </c>
      <c r="R226">
        <v>11</v>
      </c>
      <c r="S226">
        <v>14</v>
      </c>
      <c r="T226">
        <v>14167</v>
      </c>
      <c r="U226">
        <v>3</v>
      </c>
      <c r="V226" t="s">
        <v>208</v>
      </c>
      <c r="W226" t="s">
        <v>18</v>
      </c>
      <c r="X226" t="s">
        <v>19</v>
      </c>
      <c r="Y226" t="s">
        <v>20</v>
      </c>
      <c r="Z226" t="s">
        <v>20</v>
      </c>
      <c r="AA226">
        <v>91</v>
      </c>
      <c r="AB226">
        <v>103001</v>
      </c>
      <c r="AC226" t="s">
        <v>286</v>
      </c>
      <c r="AD226" t="s">
        <v>287</v>
      </c>
      <c r="AE226">
        <v>3</v>
      </c>
      <c r="AF226">
        <v>144</v>
      </c>
      <c r="AG226">
        <v>21.36</v>
      </c>
      <c r="AH226">
        <v>0</v>
      </c>
      <c r="AI226">
        <v>0</v>
      </c>
      <c r="AJ226">
        <v>0</v>
      </c>
      <c r="AK226">
        <v>553.65</v>
      </c>
      <c r="AL226">
        <v>3075.84</v>
      </c>
      <c r="AM226">
        <v>3629</v>
      </c>
      <c r="AN226">
        <v>3</v>
      </c>
      <c r="AO226" t="s">
        <v>403</v>
      </c>
      <c r="AP226" t="s">
        <v>404</v>
      </c>
      <c r="AQ226">
        <v>10</v>
      </c>
      <c r="AR226">
        <v>107</v>
      </c>
      <c r="AS226" t="s">
        <v>96</v>
      </c>
      <c r="AT226">
        <v>6770651</v>
      </c>
      <c r="AU226" t="s">
        <v>288</v>
      </c>
      <c r="AV226" t="s">
        <v>86</v>
      </c>
      <c r="AW226" t="s">
        <v>23</v>
      </c>
      <c r="AX226" t="s">
        <v>24</v>
      </c>
      <c r="AY226" t="s">
        <v>405</v>
      </c>
      <c r="AZ226" t="s">
        <v>197</v>
      </c>
      <c r="BA226" t="s">
        <v>469</v>
      </c>
      <c r="BB226">
        <v>0</v>
      </c>
      <c r="BC226">
        <v>0</v>
      </c>
      <c r="BD226" t="s">
        <v>199</v>
      </c>
      <c r="BE226" t="s">
        <v>199</v>
      </c>
      <c r="BF226">
        <v>0</v>
      </c>
      <c r="BG226">
        <v>0</v>
      </c>
      <c r="BH226" t="s">
        <v>200</v>
      </c>
      <c r="BI226">
        <v>13</v>
      </c>
      <c r="BJ226">
        <v>6275021</v>
      </c>
      <c r="BK226" t="s">
        <v>201</v>
      </c>
      <c r="BL226" t="s">
        <v>190</v>
      </c>
    </row>
    <row r="227" spans="1:64" x14ac:dyDescent="0.3">
      <c r="A227">
        <v>109</v>
      </c>
      <c r="B227" t="s">
        <v>186</v>
      </c>
      <c r="C227">
        <v>3</v>
      </c>
      <c r="D227">
        <v>6275021</v>
      </c>
      <c r="E227" t="s">
        <v>187</v>
      </c>
      <c r="F227" t="s">
        <v>188</v>
      </c>
      <c r="G227">
        <v>10103934</v>
      </c>
      <c r="H227" s="35">
        <v>46095</v>
      </c>
      <c r="I227" s="35">
        <v>46095</v>
      </c>
      <c r="J227">
        <v>2026</v>
      </c>
      <c r="K227">
        <v>3</v>
      </c>
      <c r="L227" t="s">
        <v>242</v>
      </c>
      <c r="M227">
        <v>1</v>
      </c>
      <c r="N227" t="s">
        <v>190</v>
      </c>
      <c r="O227" t="s">
        <v>191</v>
      </c>
      <c r="P227" t="s">
        <v>199</v>
      </c>
      <c r="Q227" t="s">
        <v>199</v>
      </c>
      <c r="R227">
        <v>11</v>
      </c>
      <c r="S227">
        <v>14</v>
      </c>
      <c r="T227">
        <v>14167</v>
      </c>
      <c r="U227">
        <v>3</v>
      </c>
      <c r="V227" t="s">
        <v>208</v>
      </c>
      <c r="W227" t="s">
        <v>18</v>
      </c>
      <c r="X227" t="s">
        <v>19</v>
      </c>
      <c r="Y227" t="s">
        <v>20</v>
      </c>
      <c r="Z227" t="s">
        <v>20</v>
      </c>
      <c r="AA227">
        <v>91</v>
      </c>
      <c r="AB227">
        <v>103001</v>
      </c>
      <c r="AC227" t="s">
        <v>286</v>
      </c>
      <c r="AD227" t="s">
        <v>287</v>
      </c>
      <c r="AE227">
        <v>0.5</v>
      </c>
      <c r="AF227">
        <v>24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3</v>
      </c>
      <c r="AO227" t="s">
        <v>403</v>
      </c>
      <c r="AP227" t="s">
        <v>404</v>
      </c>
      <c r="AQ227">
        <v>10</v>
      </c>
      <c r="AR227">
        <v>107</v>
      </c>
      <c r="AS227" t="s">
        <v>96</v>
      </c>
      <c r="AT227">
        <v>6770651</v>
      </c>
      <c r="AU227" t="s">
        <v>288</v>
      </c>
      <c r="AV227" t="s">
        <v>86</v>
      </c>
      <c r="AW227" t="s">
        <v>23</v>
      </c>
      <c r="AX227" t="s">
        <v>24</v>
      </c>
      <c r="AY227" t="s">
        <v>405</v>
      </c>
      <c r="AZ227" t="s">
        <v>197</v>
      </c>
      <c r="BA227" t="s">
        <v>469</v>
      </c>
      <c r="BB227">
        <v>0</v>
      </c>
      <c r="BC227">
        <v>1</v>
      </c>
      <c r="BD227">
        <v>3438</v>
      </c>
      <c r="BE227" t="s">
        <v>390</v>
      </c>
      <c r="BF227">
        <v>0</v>
      </c>
      <c r="BG227">
        <v>0</v>
      </c>
      <c r="BH227" t="s">
        <v>200</v>
      </c>
      <c r="BI227">
        <v>13</v>
      </c>
      <c r="BJ227">
        <v>6275021</v>
      </c>
      <c r="BK227" t="s">
        <v>201</v>
      </c>
      <c r="BL227" t="s">
        <v>190</v>
      </c>
    </row>
    <row r="228" spans="1:64" x14ac:dyDescent="0.3">
      <c r="A228">
        <v>223</v>
      </c>
      <c r="B228" t="s">
        <v>186</v>
      </c>
      <c r="C228">
        <v>3</v>
      </c>
      <c r="D228">
        <v>6281574</v>
      </c>
      <c r="E228" t="s">
        <v>202</v>
      </c>
      <c r="F228" t="s">
        <v>188</v>
      </c>
      <c r="G228">
        <v>10110491</v>
      </c>
      <c r="H228" s="35">
        <v>46099</v>
      </c>
      <c r="I228" s="35">
        <v>46099</v>
      </c>
      <c r="J228">
        <v>2026</v>
      </c>
      <c r="K228">
        <v>3</v>
      </c>
      <c r="L228" t="s">
        <v>242</v>
      </c>
      <c r="M228">
        <v>1</v>
      </c>
      <c r="N228" t="s">
        <v>203</v>
      </c>
      <c r="O228" t="s">
        <v>191</v>
      </c>
      <c r="P228" t="s">
        <v>199</v>
      </c>
      <c r="Q228" t="s">
        <v>199</v>
      </c>
      <c r="R228">
        <v>12</v>
      </c>
      <c r="S228">
        <v>18</v>
      </c>
      <c r="T228">
        <v>12191</v>
      </c>
      <c r="U228">
        <v>3</v>
      </c>
      <c r="V228" t="s">
        <v>204</v>
      </c>
      <c r="W228" t="s">
        <v>27</v>
      </c>
      <c r="X228" t="s">
        <v>28</v>
      </c>
      <c r="Y228" t="s">
        <v>20</v>
      </c>
      <c r="Z228" t="s">
        <v>20</v>
      </c>
      <c r="AA228">
        <v>91</v>
      </c>
      <c r="AB228">
        <v>800791</v>
      </c>
      <c r="AC228" t="s">
        <v>262</v>
      </c>
      <c r="AD228" t="s">
        <v>263</v>
      </c>
      <c r="AE228">
        <v>0.24</v>
      </c>
      <c r="AF228">
        <v>6</v>
      </c>
      <c r="AG228">
        <v>153.11000000000001</v>
      </c>
      <c r="AH228">
        <v>0</v>
      </c>
      <c r="AI228">
        <v>0</v>
      </c>
      <c r="AJ228">
        <v>0</v>
      </c>
      <c r="AK228">
        <v>165.36</v>
      </c>
      <c r="AL228">
        <v>918.66</v>
      </c>
      <c r="AM228">
        <v>1084</v>
      </c>
      <c r="AN228">
        <v>91</v>
      </c>
      <c r="AO228" t="s">
        <v>22</v>
      </c>
      <c r="AP228" t="s">
        <v>26</v>
      </c>
      <c r="AQ228">
        <v>10</v>
      </c>
      <c r="AR228">
        <v>207</v>
      </c>
      <c r="AS228" t="s">
        <v>81</v>
      </c>
      <c r="AT228">
        <v>65103</v>
      </c>
      <c r="AU228" t="s">
        <v>266</v>
      </c>
      <c r="AV228" t="s">
        <v>82</v>
      </c>
      <c r="AW228" t="s">
        <v>23</v>
      </c>
      <c r="AX228" t="s">
        <v>24</v>
      </c>
      <c r="AY228" t="s">
        <v>25</v>
      </c>
      <c r="AZ228" t="s">
        <v>197</v>
      </c>
      <c r="BA228" t="s">
        <v>470</v>
      </c>
      <c r="BB228">
        <v>0</v>
      </c>
      <c r="BC228">
        <v>0</v>
      </c>
      <c r="BD228" t="s">
        <v>199</v>
      </c>
      <c r="BE228" t="s">
        <v>199</v>
      </c>
      <c r="BF228">
        <v>0</v>
      </c>
      <c r="BG228">
        <v>0</v>
      </c>
      <c r="BH228" t="s">
        <v>200</v>
      </c>
      <c r="BI228">
        <v>13</v>
      </c>
      <c r="BJ228">
        <v>6281574</v>
      </c>
      <c r="BK228" t="s">
        <v>201</v>
      </c>
      <c r="BL228" t="s">
        <v>190</v>
      </c>
    </row>
    <row r="229" spans="1:64" x14ac:dyDescent="0.3">
      <c r="A229">
        <v>264</v>
      </c>
      <c r="B229" t="s">
        <v>186</v>
      </c>
      <c r="C229">
        <v>3</v>
      </c>
      <c r="D229">
        <v>6283426</v>
      </c>
      <c r="E229" t="s">
        <v>233</v>
      </c>
      <c r="F229" t="s">
        <v>188</v>
      </c>
      <c r="G229">
        <v>10112343</v>
      </c>
      <c r="H229" s="35">
        <v>46100</v>
      </c>
      <c r="I229" s="35">
        <v>46100</v>
      </c>
      <c r="J229">
        <v>2026</v>
      </c>
      <c r="K229">
        <v>3</v>
      </c>
      <c r="L229" t="s">
        <v>242</v>
      </c>
      <c r="M229">
        <v>1</v>
      </c>
      <c r="N229" t="s">
        <v>190</v>
      </c>
      <c r="O229" t="s">
        <v>191</v>
      </c>
      <c r="P229" t="s">
        <v>199</v>
      </c>
      <c r="Q229" t="s">
        <v>199</v>
      </c>
      <c r="R229">
        <v>12</v>
      </c>
      <c r="S229">
        <v>19</v>
      </c>
      <c r="T229">
        <v>37594</v>
      </c>
      <c r="U229">
        <v>3</v>
      </c>
      <c r="V229" t="s">
        <v>234</v>
      </c>
      <c r="W229" t="s">
        <v>47</v>
      </c>
      <c r="X229" t="s">
        <v>19</v>
      </c>
      <c r="Y229" t="s">
        <v>30</v>
      </c>
      <c r="Z229" t="s">
        <v>30</v>
      </c>
      <c r="AA229">
        <v>72</v>
      </c>
      <c r="AB229">
        <v>621045</v>
      </c>
      <c r="AC229" t="s">
        <v>209</v>
      </c>
      <c r="AD229" t="s">
        <v>210</v>
      </c>
      <c r="AE229">
        <v>1</v>
      </c>
      <c r="AF229">
        <v>12</v>
      </c>
      <c r="AG229">
        <v>161.94999999999999</v>
      </c>
      <c r="AH229">
        <v>0</v>
      </c>
      <c r="AI229">
        <v>0</v>
      </c>
      <c r="AJ229">
        <v>0</v>
      </c>
      <c r="AK229">
        <v>349.81</v>
      </c>
      <c r="AL229">
        <v>1943.4</v>
      </c>
      <c r="AM229">
        <v>2293</v>
      </c>
      <c r="AN229">
        <v>95</v>
      </c>
      <c r="AO229" t="s">
        <v>237</v>
      </c>
      <c r="AP229" t="s">
        <v>238</v>
      </c>
      <c r="AQ229">
        <v>10</v>
      </c>
      <c r="AR229">
        <v>138</v>
      </c>
      <c r="AS229" t="s">
        <v>90</v>
      </c>
      <c r="AT229">
        <v>73101</v>
      </c>
      <c r="AU229" t="s">
        <v>211</v>
      </c>
      <c r="AV229" t="s">
        <v>91</v>
      </c>
      <c r="AW229" t="s">
        <v>50</v>
      </c>
      <c r="AX229" t="s">
        <v>51</v>
      </c>
      <c r="AY229" t="s">
        <v>239</v>
      </c>
      <c r="AZ229" t="s">
        <v>240</v>
      </c>
      <c r="BA229" t="s">
        <v>471</v>
      </c>
      <c r="BB229">
        <v>0</v>
      </c>
      <c r="BC229">
        <v>0</v>
      </c>
      <c r="BD229" t="s">
        <v>199</v>
      </c>
      <c r="BE229" t="s">
        <v>199</v>
      </c>
      <c r="BF229">
        <v>0</v>
      </c>
      <c r="BG229">
        <v>0</v>
      </c>
      <c r="BH229" t="s">
        <v>200</v>
      </c>
      <c r="BI229">
        <v>13</v>
      </c>
      <c r="BJ229">
        <v>6283426</v>
      </c>
      <c r="BK229" t="s">
        <v>201</v>
      </c>
      <c r="BL229" t="s">
        <v>190</v>
      </c>
    </row>
    <row r="230" spans="1:64" x14ac:dyDescent="0.3">
      <c r="A230">
        <v>264</v>
      </c>
      <c r="B230" t="s">
        <v>186</v>
      </c>
      <c r="C230">
        <v>3</v>
      </c>
      <c r="D230">
        <v>6283426</v>
      </c>
      <c r="E230" t="s">
        <v>233</v>
      </c>
      <c r="F230" t="s">
        <v>188</v>
      </c>
      <c r="G230">
        <v>10112343</v>
      </c>
      <c r="H230" s="35">
        <v>46100</v>
      </c>
      <c r="I230" s="35">
        <v>46100</v>
      </c>
      <c r="J230">
        <v>2026</v>
      </c>
      <c r="K230">
        <v>3</v>
      </c>
      <c r="L230" t="s">
        <v>242</v>
      </c>
      <c r="M230">
        <v>1</v>
      </c>
      <c r="N230" t="s">
        <v>190</v>
      </c>
      <c r="O230" t="s">
        <v>191</v>
      </c>
      <c r="P230" t="s">
        <v>199</v>
      </c>
      <c r="Q230" t="s">
        <v>199</v>
      </c>
      <c r="R230">
        <v>12</v>
      </c>
      <c r="S230">
        <v>19</v>
      </c>
      <c r="T230">
        <v>37594</v>
      </c>
      <c r="U230">
        <v>3</v>
      </c>
      <c r="V230" t="s">
        <v>234</v>
      </c>
      <c r="W230" t="s">
        <v>47</v>
      </c>
      <c r="X230" t="s">
        <v>19</v>
      </c>
      <c r="Y230" t="s">
        <v>30</v>
      </c>
      <c r="Z230" t="s">
        <v>30</v>
      </c>
      <c r="AA230">
        <v>72</v>
      </c>
      <c r="AB230">
        <v>101027</v>
      </c>
      <c r="AC230" t="s">
        <v>323</v>
      </c>
      <c r="AD230" t="s">
        <v>324</v>
      </c>
      <c r="AE230">
        <v>1</v>
      </c>
      <c r="AF230">
        <v>24</v>
      </c>
      <c r="AG230">
        <v>73.41</v>
      </c>
      <c r="AH230">
        <v>0</v>
      </c>
      <c r="AI230">
        <v>0</v>
      </c>
      <c r="AJ230">
        <v>0</v>
      </c>
      <c r="AK230">
        <v>317.13</v>
      </c>
      <c r="AL230">
        <v>1761.84</v>
      </c>
      <c r="AM230">
        <v>2079</v>
      </c>
      <c r="AN230">
        <v>95</v>
      </c>
      <c r="AO230" t="s">
        <v>237</v>
      </c>
      <c r="AP230" t="s">
        <v>238</v>
      </c>
      <c r="AQ230">
        <v>10</v>
      </c>
      <c r="AR230">
        <v>105</v>
      </c>
      <c r="AS230" t="s">
        <v>85</v>
      </c>
      <c r="AT230">
        <v>677001</v>
      </c>
      <c r="AU230" t="s">
        <v>273</v>
      </c>
      <c r="AV230" t="s">
        <v>86</v>
      </c>
      <c r="AW230" t="s">
        <v>50</v>
      </c>
      <c r="AX230" t="s">
        <v>51</v>
      </c>
      <c r="AY230" t="s">
        <v>239</v>
      </c>
      <c r="AZ230" t="s">
        <v>240</v>
      </c>
      <c r="BA230" t="s">
        <v>471</v>
      </c>
      <c r="BB230">
        <v>0</v>
      </c>
      <c r="BC230">
        <v>0</v>
      </c>
      <c r="BD230" t="s">
        <v>199</v>
      </c>
      <c r="BE230" t="s">
        <v>199</v>
      </c>
      <c r="BF230">
        <v>0</v>
      </c>
      <c r="BG230">
        <v>0</v>
      </c>
      <c r="BH230" t="s">
        <v>200</v>
      </c>
      <c r="BI230">
        <v>13</v>
      </c>
      <c r="BJ230">
        <v>6283426</v>
      </c>
      <c r="BK230" t="s">
        <v>201</v>
      </c>
      <c r="BL230" t="s">
        <v>190</v>
      </c>
    </row>
    <row r="231" spans="1:64" x14ac:dyDescent="0.3">
      <c r="A231">
        <v>125</v>
      </c>
      <c r="B231" t="s">
        <v>186</v>
      </c>
      <c r="C231">
        <v>3</v>
      </c>
      <c r="D231">
        <v>6283974</v>
      </c>
      <c r="E231" t="s">
        <v>213</v>
      </c>
      <c r="F231" t="s">
        <v>188</v>
      </c>
      <c r="G231">
        <v>10112891</v>
      </c>
      <c r="H231" s="35">
        <v>46100</v>
      </c>
      <c r="I231" s="35">
        <v>46100</v>
      </c>
      <c r="J231">
        <v>2026</v>
      </c>
      <c r="K231">
        <v>3</v>
      </c>
      <c r="L231" t="s">
        <v>242</v>
      </c>
      <c r="M231">
        <v>1</v>
      </c>
      <c r="N231" t="s">
        <v>190</v>
      </c>
      <c r="O231" t="s">
        <v>191</v>
      </c>
      <c r="P231" t="s">
        <v>199</v>
      </c>
      <c r="Q231" t="s">
        <v>199</v>
      </c>
      <c r="R231">
        <v>12</v>
      </c>
      <c r="S231">
        <v>19</v>
      </c>
      <c r="T231">
        <v>36908</v>
      </c>
      <c r="U231">
        <v>3</v>
      </c>
      <c r="V231" t="s">
        <v>215</v>
      </c>
      <c r="W231" t="s">
        <v>67</v>
      </c>
      <c r="X231" t="s">
        <v>28</v>
      </c>
      <c r="Y231" t="s">
        <v>30</v>
      </c>
      <c r="Z231" t="s">
        <v>30</v>
      </c>
      <c r="AA231">
        <v>11</v>
      </c>
      <c r="AB231">
        <v>201001</v>
      </c>
      <c r="AC231" t="s">
        <v>248</v>
      </c>
      <c r="AD231" t="s">
        <v>249</v>
      </c>
      <c r="AE231">
        <v>25</v>
      </c>
      <c r="AF231">
        <v>25</v>
      </c>
      <c r="AG231">
        <v>212.8</v>
      </c>
      <c r="AH231">
        <v>0</v>
      </c>
      <c r="AI231">
        <v>0</v>
      </c>
      <c r="AJ231">
        <v>0</v>
      </c>
      <c r="AK231">
        <v>957.6</v>
      </c>
      <c r="AL231">
        <v>5320</v>
      </c>
      <c r="AM231">
        <v>6278</v>
      </c>
      <c r="AN231">
        <v>199</v>
      </c>
      <c r="AO231" t="s">
        <v>218</v>
      </c>
      <c r="AP231" t="s">
        <v>219</v>
      </c>
      <c r="AQ231">
        <v>10</v>
      </c>
      <c r="AR231">
        <v>113</v>
      </c>
      <c r="AS231" t="s">
        <v>89</v>
      </c>
      <c r="AT231">
        <v>82101</v>
      </c>
      <c r="AU231" t="s">
        <v>252</v>
      </c>
      <c r="AV231" t="s">
        <v>80</v>
      </c>
      <c r="AW231" t="s">
        <v>70</v>
      </c>
      <c r="AX231" t="s">
        <v>71</v>
      </c>
      <c r="AY231" t="s">
        <v>220</v>
      </c>
      <c r="AZ231" t="s">
        <v>221</v>
      </c>
      <c r="BA231" t="s">
        <v>472</v>
      </c>
      <c r="BB231">
        <v>0</v>
      </c>
      <c r="BC231">
        <v>0</v>
      </c>
      <c r="BD231" t="s">
        <v>199</v>
      </c>
      <c r="BE231" t="s">
        <v>199</v>
      </c>
      <c r="BF231">
        <v>0</v>
      </c>
      <c r="BG231">
        <v>0</v>
      </c>
      <c r="BH231" t="s">
        <v>200</v>
      </c>
      <c r="BI231">
        <v>13</v>
      </c>
      <c r="BJ231">
        <v>6283974</v>
      </c>
      <c r="BK231" t="s">
        <v>201</v>
      </c>
      <c r="BL231" t="s">
        <v>190</v>
      </c>
    </row>
    <row r="232" spans="1:64" x14ac:dyDescent="0.3">
      <c r="A232">
        <v>125</v>
      </c>
      <c r="B232" t="s">
        <v>186</v>
      </c>
      <c r="C232">
        <v>3</v>
      </c>
      <c r="D232">
        <v>6283974</v>
      </c>
      <c r="E232" t="s">
        <v>213</v>
      </c>
      <c r="F232" t="s">
        <v>188</v>
      </c>
      <c r="G232">
        <v>10112891</v>
      </c>
      <c r="H232" s="35">
        <v>46100</v>
      </c>
      <c r="I232" s="35">
        <v>46100</v>
      </c>
      <c r="J232">
        <v>2026</v>
      </c>
      <c r="K232">
        <v>3</v>
      </c>
      <c r="L232" t="s">
        <v>242</v>
      </c>
      <c r="M232">
        <v>1</v>
      </c>
      <c r="N232" t="s">
        <v>190</v>
      </c>
      <c r="O232" t="s">
        <v>191</v>
      </c>
      <c r="P232" t="s">
        <v>199</v>
      </c>
      <c r="Q232" t="s">
        <v>199</v>
      </c>
      <c r="R232">
        <v>12</v>
      </c>
      <c r="S232">
        <v>19</v>
      </c>
      <c r="T232">
        <v>36908</v>
      </c>
      <c r="U232">
        <v>3</v>
      </c>
      <c r="V232" t="s">
        <v>215</v>
      </c>
      <c r="W232" t="s">
        <v>67</v>
      </c>
      <c r="X232" t="s">
        <v>28</v>
      </c>
      <c r="Y232" t="s">
        <v>30</v>
      </c>
      <c r="Z232" t="s">
        <v>30</v>
      </c>
      <c r="AA232">
        <v>11</v>
      </c>
      <c r="AB232">
        <v>101038</v>
      </c>
      <c r="AC232" t="s">
        <v>271</v>
      </c>
      <c r="AD232" t="s">
        <v>272</v>
      </c>
      <c r="AE232">
        <v>1</v>
      </c>
      <c r="AF232">
        <v>10</v>
      </c>
      <c r="AG232">
        <v>363.99</v>
      </c>
      <c r="AH232">
        <v>0</v>
      </c>
      <c r="AI232">
        <v>0</v>
      </c>
      <c r="AJ232">
        <v>0</v>
      </c>
      <c r="AK232">
        <v>655.17999999999995</v>
      </c>
      <c r="AL232">
        <v>3639.9</v>
      </c>
      <c r="AM232">
        <v>4295</v>
      </c>
      <c r="AN232">
        <v>199</v>
      </c>
      <c r="AO232" t="s">
        <v>218</v>
      </c>
      <c r="AP232" t="s">
        <v>219</v>
      </c>
      <c r="AQ232">
        <v>10</v>
      </c>
      <c r="AR232">
        <v>105</v>
      </c>
      <c r="AS232" t="s">
        <v>85</v>
      </c>
      <c r="AT232">
        <v>677001</v>
      </c>
      <c r="AU232" t="s">
        <v>273</v>
      </c>
      <c r="AV232" t="s">
        <v>86</v>
      </c>
      <c r="AW232" t="s">
        <v>70</v>
      </c>
      <c r="AX232" t="s">
        <v>71</v>
      </c>
      <c r="AY232" t="s">
        <v>220</v>
      </c>
      <c r="AZ232" t="s">
        <v>221</v>
      </c>
      <c r="BA232" t="s">
        <v>472</v>
      </c>
      <c r="BB232">
        <v>0</v>
      </c>
      <c r="BC232">
        <v>0</v>
      </c>
      <c r="BD232" t="s">
        <v>199</v>
      </c>
      <c r="BE232" t="s">
        <v>199</v>
      </c>
      <c r="BF232">
        <v>0</v>
      </c>
      <c r="BG232">
        <v>0</v>
      </c>
      <c r="BH232" t="s">
        <v>200</v>
      </c>
      <c r="BI232">
        <v>13</v>
      </c>
      <c r="BJ232">
        <v>6283974</v>
      </c>
      <c r="BK232" t="s">
        <v>201</v>
      </c>
      <c r="BL232" t="s">
        <v>190</v>
      </c>
    </row>
    <row r="233" spans="1:64" x14ac:dyDescent="0.3">
      <c r="A233">
        <v>254</v>
      </c>
      <c r="B233" t="s">
        <v>186</v>
      </c>
      <c r="C233">
        <v>3</v>
      </c>
      <c r="D233">
        <v>6285851</v>
      </c>
      <c r="E233" t="s">
        <v>297</v>
      </c>
      <c r="F233" t="s">
        <v>188</v>
      </c>
      <c r="G233">
        <v>10114768</v>
      </c>
      <c r="H233" s="35">
        <v>46101</v>
      </c>
      <c r="I233" s="35">
        <v>46101</v>
      </c>
      <c r="J233">
        <v>2026</v>
      </c>
      <c r="K233">
        <v>3</v>
      </c>
      <c r="L233" t="s">
        <v>242</v>
      </c>
      <c r="M233">
        <v>1</v>
      </c>
      <c r="N233" t="s">
        <v>190</v>
      </c>
      <c r="O233" t="s">
        <v>191</v>
      </c>
      <c r="P233" t="s">
        <v>199</v>
      </c>
      <c r="Q233" t="s">
        <v>199</v>
      </c>
      <c r="R233">
        <v>12</v>
      </c>
      <c r="S233">
        <v>20</v>
      </c>
      <c r="T233">
        <v>5474</v>
      </c>
      <c r="U233">
        <v>3</v>
      </c>
      <c r="V233" t="s">
        <v>298</v>
      </c>
      <c r="W233" t="s">
        <v>54</v>
      </c>
      <c r="X233" t="s">
        <v>19</v>
      </c>
      <c r="Y233" t="s">
        <v>55</v>
      </c>
      <c r="Z233" t="s">
        <v>56</v>
      </c>
      <c r="AA233">
        <v>70</v>
      </c>
      <c r="AB233">
        <v>103001</v>
      </c>
      <c r="AC233" t="s">
        <v>286</v>
      </c>
      <c r="AD233" t="s">
        <v>287</v>
      </c>
      <c r="AE233">
        <v>1</v>
      </c>
      <c r="AF233">
        <v>48</v>
      </c>
      <c r="AG233">
        <v>21.36</v>
      </c>
      <c r="AH233">
        <v>0</v>
      </c>
      <c r="AI233">
        <v>0</v>
      </c>
      <c r="AJ233">
        <v>0</v>
      </c>
      <c r="AK233">
        <v>184.55</v>
      </c>
      <c r="AL233">
        <v>1025.28</v>
      </c>
      <c r="AM233">
        <v>1210</v>
      </c>
      <c r="AN233">
        <v>94</v>
      </c>
      <c r="AO233" t="s">
        <v>64</v>
      </c>
      <c r="AP233" t="s">
        <v>66</v>
      </c>
      <c r="AQ233">
        <v>10</v>
      </c>
      <c r="AR233">
        <v>107</v>
      </c>
      <c r="AS233" t="s">
        <v>96</v>
      </c>
      <c r="AT233">
        <v>6770651</v>
      </c>
      <c r="AU233" t="s">
        <v>288</v>
      </c>
      <c r="AV233" t="s">
        <v>86</v>
      </c>
      <c r="AW233" t="s">
        <v>50</v>
      </c>
      <c r="AX233" t="s">
        <v>51</v>
      </c>
      <c r="AY233" t="s">
        <v>65</v>
      </c>
      <c r="AZ233" t="s">
        <v>240</v>
      </c>
      <c r="BA233" t="s">
        <v>473</v>
      </c>
      <c r="BB233">
        <v>0</v>
      </c>
      <c r="BC233">
        <v>0</v>
      </c>
      <c r="BD233" t="s">
        <v>199</v>
      </c>
      <c r="BE233" t="s">
        <v>199</v>
      </c>
      <c r="BF233">
        <v>0</v>
      </c>
      <c r="BG233">
        <v>0</v>
      </c>
      <c r="BH233" t="s">
        <v>200</v>
      </c>
      <c r="BI233">
        <v>13</v>
      </c>
      <c r="BJ233">
        <v>6285851</v>
      </c>
      <c r="BK233" t="s">
        <v>201</v>
      </c>
      <c r="BL233" t="s">
        <v>190</v>
      </c>
    </row>
    <row r="234" spans="1:64" x14ac:dyDescent="0.3">
      <c r="A234">
        <v>254</v>
      </c>
      <c r="B234" t="s">
        <v>186</v>
      </c>
      <c r="C234">
        <v>3</v>
      </c>
      <c r="D234">
        <v>6285851</v>
      </c>
      <c r="E234" t="s">
        <v>297</v>
      </c>
      <c r="F234" t="s">
        <v>188</v>
      </c>
      <c r="G234">
        <v>10114768</v>
      </c>
      <c r="H234" s="35">
        <v>46101</v>
      </c>
      <c r="I234" s="35">
        <v>46101</v>
      </c>
      <c r="J234">
        <v>2026</v>
      </c>
      <c r="K234">
        <v>3</v>
      </c>
      <c r="L234" t="s">
        <v>242</v>
      </c>
      <c r="M234">
        <v>1</v>
      </c>
      <c r="N234" t="s">
        <v>190</v>
      </c>
      <c r="O234" t="s">
        <v>191</v>
      </c>
      <c r="P234" t="s">
        <v>199</v>
      </c>
      <c r="Q234" t="s">
        <v>199</v>
      </c>
      <c r="R234">
        <v>12</v>
      </c>
      <c r="S234">
        <v>20</v>
      </c>
      <c r="T234">
        <v>5474</v>
      </c>
      <c r="U234">
        <v>3</v>
      </c>
      <c r="V234" t="s">
        <v>298</v>
      </c>
      <c r="W234" t="s">
        <v>54</v>
      </c>
      <c r="X234" t="s">
        <v>19</v>
      </c>
      <c r="Y234" t="s">
        <v>55</v>
      </c>
      <c r="Z234" t="s">
        <v>56</v>
      </c>
      <c r="AA234">
        <v>70</v>
      </c>
      <c r="AB234">
        <v>103001</v>
      </c>
      <c r="AC234" t="s">
        <v>286</v>
      </c>
      <c r="AD234" t="s">
        <v>287</v>
      </c>
      <c r="AE234">
        <v>0.16666666666666</v>
      </c>
      <c r="AF234">
        <v>8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94</v>
      </c>
      <c r="AO234" t="s">
        <v>64</v>
      </c>
      <c r="AP234" t="s">
        <v>66</v>
      </c>
      <c r="AQ234">
        <v>10</v>
      </c>
      <c r="AR234">
        <v>107</v>
      </c>
      <c r="AS234" t="s">
        <v>96</v>
      </c>
      <c r="AT234">
        <v>6770651</v>
      </c>
      <c r="AU234" t="s">
        <v>288</v>
      </c>
      <c r="AV234" t="s">
        <v>86</v>
      </c>
      <c r="AW234" t="s">
        <v>50</v>
      </c>
      <c r="AX234" t="s">
        <v>51</v>
      </c>
      <c r="AY234" t="s">
        <v>65</v>
      </c>
      <c r="AZ234" t="s">
        <v>240</v>
      </c>
      <c r="BA234" t="s">
        <v>473</v>
      </c>
      <c r="BB234">
        <v>0</v>
      </c>
      <c r="BC234">
        <v>1</v>
      </c>
      <c r="BD234">
        <v>3438</v>
      </c>
      <c r="BE234" t="s">
        <v>390</v>
      </c>
      <c r="BF234">
        <v>0</v>
      </c>
      <c r="BG234">
        <v>0</v>
      </c>
      <c r="BH234" t="s">
        <v>200</v>
      </c>
      <c r="BI234">
        <v>13</v>
      </c>
      <c r="BJ234">
        <v>6285851</v>
      </c>
      <c r="BK234" t="s">
        <v>201</v>
      </c>
      <c r="BL234" t="s">
        <v>190</v>
      </c>
    </row>
    <row r="235" spans="1:64" x14ac:dyDescent="0.3">
      <c r="A235">
        <v>223</v>
      </c>
      <c r="B235" t="s">
        <v>186</v>
      </c>
      <c r="C235">
        <v>3</v>
      </c>
      <c r="D235">
        <v>6287874</v>
      </c>
      <c r="E235" t="s">
        <v>202</v>
      </c>
      <c r="F235" t="s">
        <v>188</v>
      </c>
      <c r="G235">
        <v>10116791</v>
      </c>
      <c r="H235" s="35">
        <v>46102</v>
      </c>
      <c r="I235" s="35">
        <v>46102</v>
      </c>
      <c r="J235">
        <v>2026</v>
      </c>
      <c r="K235">
        <v>3</v>
      </c>
      <c r="L235" t="s">
        <v>242</v>
      </c>
      <c r="M235">
        <v>1</v>
      </c>
      <c r="N235" t="s">
        <v>190</v>
      </c>
      <c r="O235" t="s">
        <v>191</v>
      </c>
      <c r="P235" t="s">
        <v>199</v>
      </c>
      <c r="Q235" t="s">
        <v>199</v>
      </c>
      <c r="R235">
        <v>12</v>
      </c>
      <c r="S235">
        <v>21</v>
      </c>
      <c r="T235">
        <v>1019</v>
      </c>
      <c r="U235">
        <v>3</v>
      </c>
      <c r="V235" t="s">
        <v>270</v>
      </c>
      <c r="W235" t="s">
        <v>46</v>
      </c>
      <c r="X235" t="s">
        <v>19</v>
      </c>
      <c r="Y235" t="s">
        <v>41</v>
      </c>
      <c r="Z235" t="s">
        <v>41</v>
      </c>
      <c r="AA235">
        <v>60</v>
      </c>
      <c r="AB235">
        <v>101028</v>
      </c>
      <c r="AC235" t="s">
        <v>325</v>
      </c>
      <c r="AD235" t="s">
        <v>326</v>
      </c>
      <c r="AE235">
        <v>1</v>
      </c>
      <c r="AF235">
        <v>18</v>
      </c>
      <c r="AG235">
        <v>98.4</v>
      </c>
      <c r="AH235">
        <v>0</v>
      </c>
      <c r="AI235">
        <v>0</v>
      </c>
      <c r="AJ235">
        <v>0</v>
      </c>
      <c r="AK235">
        <v>318.82</v>
      </c>
      <c r="AL235">
        <v>1771.2</v>
      </c>
      <c r="AM235">
        <v>2090</v>
      </c>
      <c r="AN235">
        <v>8</v>
      </c>
      <c r="AO235" t="s">
        <v>37</v>
      </c>
      <c r="AP235" t="s">
        <v>39</v>
      </c>
      <c r="AQ235">
        <v>10</v>
      </c>
      <c r="AR235">
        <v>105</v>
      </c>
      <c r="AS235" t="s">
        <v>85</v>
      </c>
      <c r="AT235">
        <v>677001</v>
      </c>
      <c r="AU235" t="s">
        <v>273</v>
      </c>
      <c r="AV235" t="s">
        <v>86</v>
      </c>
      <c r="AW235" t="s">
        <v>23</v>
      </c>
      <c r="AX235" t="s">
        <v>24</v>
      </c>
      <c r="AY235" t="s">
        <v>38</v>
      </c>
      <c r="AZ235" t="s">
        <v>197</v>
      </c>
      <c r="BA235" t="s">
        <v>474</v>
      </c>
      <c r="BB235">
        <v>0</v>
      </c>
      <c r="BC235">
        <v>0</v>
      </c>
      <c r="BD235" t="s">
        <v>199</v>
      </c>
      <c r="BE235" t="s">
        <v>199</v>
      </c>
      <c r="BF235">
        <v>0</v>
      </c>
      <c r="BG235">
        <v>0</v>
      </c>
      <c r="BH235" t="s">
        <v>200</v>
      </c>
      <c r="BI235">
        <v>13</v>
      </c>
      <c r="BJ235">
        <v>6287874</v>
      </c>
      <c r="BK235" t="s">
        <v>201</v>
      </c>
      <c r="BL235" t="s">
        <v>190</v>
      </c>
    </row>
    <row r="236" spans="1:64" x14ac:dyDescent="0.3">
      <c r="A236">
        <v>109</v>
      </c>
      <c r="B236" t="s">
        <v>186</v>
      </c>
      <c r="C236">
        <v>3</v>
      </c>
      <c r="D236">
        <v>6289858</v>
      </c>
      <c r="E236" t="s">
        <v>187</v>
      </c>
      <c r="F236" t="s">
        <v>188</v>
      </c>
      <c r="G236">
        <v>10118775</v>
      </c>
      <c r="H236" s="35">
        <v>46104</v>
      </c>
      <c r="I236" s="35">
        <v>46104</v>
      </c>
      <c r="J236">
        <v>2026</v>
      </c>
      <c r="K236">
        <v>3</v>
      </c>
      <c r="L236" t="s">
        <v>242</v>
      </c>
      <c r="M236">
        <v>1</v>
      </c>
      <c r="N236" t="s">
        <v>190</v>
      </c>
      <c r="O236" t="s">
        <v>191</v>
      </c>
      <c r="P236" t="s">
        <v>199</v>
      </c>
      <c r="Q236" t="s">
        <v>199</v>
      </c>
      <c r="R236">
        <v>13</v>
      </c>
      <c r="S236">
        <v>23</v>
      </c>
      <c r="T236">
        <v>19291</v>
      </c>
      <c r="U236">
        <v>3</v>
      </c>
      <c r="V236" t="s">
        <v>261</v>
      </c>
      <c r="W236" t="s">
        <v>35</v>
      </c>
      <c r="X236" t="s">
        <v>19</v>
      </c>
      <c r="Y236" t="s">
        <v>30</v>
      </c>
      <c r="Z236" t="s">
        <v>30</v>
      </c>
      <c r="AA236">
        <v>8</v>
      </c>
      <c r="AB236">
        <v>101038</v>
      </c>
      <c r="AC236" t="s">
        <v>271</v>
      </c>
      <c r="AD236" t="s">
        <v>272</v>
      </c>
      <c r="AE236">
        <v>2</v>
      </c>
      <c r="AF236">
        <v>20</v>
      </c>
      <c r="AG236">
        <v>363.99</v>
      </c>
      <c r="AH236">
        <v>0</v>
      </c>
      <c r="AI236">
        <v>0</v>
      </c>
      <c r="AJ236">
        <v>0</v>
      </c>
      <c r="AK236">
        <v>1310.3599999999999</v>
      </c>
      <c r="AL236">
        <v>7279.8</v>
      </c>
      <c r="AM236">
        <v>8590</v>
      </c>
      <c r="AN236">
        <v>4</v>
      </c>
      <c r="AO236" t="s">
        <v>264</v>
      </c>
      <c r="AP236" t="s">
        <v>265</v>
      </c>
      <c r="AQ236">
        <v>10</v>
      </c>
      <c r="AR236">
        <v>105</v>
      </c>
      <c r="AS236" t="s">
        <v>85</v>
      </c>
      <c r="AT236">
        <v>677001</v>
      </c>
      <c r="AU236" t="s">
        <v>273</v>
      </c>
      <c r="AV236" t="s">
        <v>86</v>
      </c>
      <c r="AW236" t="s">
        <v>23</v>
      </c>
      <c r="AX236" t="s">
        <v>24</v>
      </c>
      <c r="AY236" t="s">
        <v>267</v>
      </c>
      <c r="AZ236" t="s">
        <v>197</v>
      </c>
      <c r="BA236" t="s">
        <v>475</v>
      </c>
      <c r="BB236">
        <v>0</v>
      </c>
      <c r="BC236">
        <v>0</v>
      </c>
      <c r="BD236" t="s">
        <v>199</v>
      </c>
      <c r="BE236" t="s">
        <v>199</v>
      </c>
      <c r="BF236">
        <v>0</v>
      </c>
      <c r="BG236">
        <v>0</v>
      </c>
      <c r="BH236" t="s">
        <v>200</v>
      </c>
      <c r="BI236">
        <v>13</v>
      </c>
      <c r="BJ236">
        <v>6289858</v>
      </c>
      <c r="BK236" t="s">
        <v>201</v>
      </c>
      <c r="BL236" t="s">
        <v>190</v>
      </c>
    </row>
    <row r="237" spans="1:64" x14ac:dyDescent="0.3">
      <c r="A237">
        <v>223</v>
      </c>
      <c r="B237" t="s">
        <v>186</v>
      </c>
      <c r="C237">
        <v>3</v>
      </c>
      <c r="D237">
        <v>6294255</v>
      </c>
      <c r="E237" t="s">
        <v>202</v>
      </c>
      <c r="F237" t="s">
        <v>188</v>
      </c>
      <c r="G237">
        <v>10123172</v>
      </c>
      <c r="H237" s="35">
        <v>46106</v>
      </c>
      <c r="I237" s="35">
        <v>46106</v>
      </c>
      <c r="J237">
        <v>2026</v>
      </c>
      <c r="K237">
        <v>3</v>
      </c>
      <c r="L237" t="s">
        <v>242</v>
      </c>
      <c r="M237">
        <v>1</v>
      </c>
      <c r="N237" t="s">
        <v>203</v>
      </c>
      <c r="O237" t="s">
        <v>191</v>
      </c>
      <c r="P237" t="s">
        <v>199</v>
      </c>
      <c r="Q237" t="s">
        <v>199</v>
      </c>
      <c r="R237">
        <v>13</v>
      </c>
      <c r="S237">
        <v>25</v>
      </c>
      <c r="T237">
        <v>12191</v>
      </c>
      <c r="U237">
        <v>3</v>
      </c>
      <c r="V237" t="s">
        <v>204</v>
      </c>
      <c r="W237" t="s">
        <v>27</v>
      </c>
      <c r="X237" t="s">
        <v>28</v>
      </c>
      <c r="Y237" t="s">
        <v>20</v>
      </c>
      <c r="Z237" t="s">
        <v>20</v>
      </c>
      <c r="AA237">
        <v>91</v>
      </c>
      <c r="AB237">
        <v>925076</v>
      </c>
      <c r="AC237" t="s">
        <v>476</v>
      </c>
      <c r="AD237" t="s">
        <v>477</v>
      </c>
      <c r="AE237">
        <v>1</v>
      </c>
      <c r="AF237">
        <v>48</v>
      </c>
      <c r="AG237">
        <v>39.869999999999997</v>
      </c>
      <c r="AH237">
        <v>0</v>
      </c>
      <c r="AI237">
        <v>0</v>
      </c>
      <c r="AJ237">
        <v>0</v>
      </c>
      <c r="AK237">
        <v>344.48</v>
      </c>
      <c r="AL237">
        <v>1913.76</v>
      </c>
      <c r="AM237">
        <v>2258</v>
      </c>
      <c r="AN237">
        <v>91</v>
      </c>
      <c r="AO237" t="s">
        <v>22</v>
      </c>
      <c r="AP237" t="s">
        <v>26</v>
      </c>
      <c r="AQ237">
        <v>10</v>
      </c>
      <c r="AR237">
        <v>117</v>
      </c>
      <c r="AS237" t="s">
        <v>94</v>
      </c>
      <c r="AT237">
        <v>65104</v>
      </c>
      <c r="AU237" t="s">
        <v>283</v>
      </c>
      <c r="AV237" t="s">
        <v>95</v>
      </c>
      <c r="AW237" t="s">
        <v>23</v>
      </c>
      <c r="AX237" t="s">
        <v>24</v>
      </c>
      <c r="AY237" t="s">
        <v>25</v>
      </c>
      <c r="AZ237" t="s">
        <v>197</v>
      </c>
      <c r="BA237" t="s">
        <v>478</v>
      </c>
      <c r="BB237">
        <v>0</v>
      </c>
      <c r="BC237">
        <v>0</v>
      </c>
      <c r="BD237" t="s">
        <v>199</v>
      </c>
      <c r="BE237" t="s">
        <v>199</v>
      </c>
      <c r="BF237">
        <v>0</v>
      </c>
      <c r="BG237">
        <v>0</v>
      </c>
      <c r="BH237" t="s">
        <v>200</v>
      </c>
      <c r="BI237">
        <v>13</v>
      </c>
      <c r="BJ237">
        <v>6294255</v>
      </c>
      <c r="BK237" t="s">
        <v>201</v>
      </c>
      <c r="BL237" t="s">
        <v>190</v>
      </c>
    </row>
    <row r="238" spans="1:64" x14ac:dyDescent="0.3">
      <c r="A238">
        <v>223</v>
      </c>
      <c r="B238" t="s">
        <v>186</v>
      </c>
      <c r="C238">
        <v>3</v>
      </c>
      <c r="D238">
        <v>6294255</v>
      </c>
      <c r="E238" t="s">
        <v>202</v>
      </c>
      <c r="F238" t="s">
        <v>188</v>
      </c>
      <c r="G238">
        <v>10123172</v>
      </c>
      <c r="H238" s="35">
        <v>46106</v>
      </c>
      <c r="I238" s="35">
        <v>46106</v>
      </c>
      <c r="J238">
        <v>2026</v>
      </c>
      <c r="K238">
        <v>3</v>
      </c>
      <c r="L238" t="s">
        <v>242</v>
      </c>
      <c r="M238">
        <v>1</v>
      </c>
      <c r="N238" t="s">
        <v>203</v>
      </c>
      <c r="O238" t="s">
        <v>191</v>
      </c>
      <c r="P238" t="s">
        <v>199</v>
      </c>
      <c r="Q238" t="s">
        <v>199</v>
      </c>
      <c r="R238">
        <v>13</v>
      </c>
      <c r="S238">
        <v>25</v>
      </c>
      <c r="T238">
        <v>12191</v>
      </c>
      <c r="U238">
        <v>3</v>
      </c>
      <c r="V238" t="s">
        <v>204</v>
      </c>
      <c r="W238" t="s">
        <v>27</v>
      </c>
      <c r="X238" t="s">
        <v>28</v>
      </c>
      <c r="Y238" t="s">
        <v>20</v>
      </c>
      <c r="Z238" t="s">
        <v>20</v>
      </c>
      <c r="AA238">
        <v>91</v>
      </c>
      <c r="AB238">
        <v>925050</v>
      </c>
      <c r="AC238" t="s">
        <v>479</v>
      </c>
      <c r="AD238" t="s">
        <v>480</v>
      </c>
      <c r="AE238">
        <v>1</v>
      </c>
      <c r="AF238">
        <v>24</v>
      </c>
      <c r="AG238">
        <v>73.45</v>
      </c>
      <c r="AH238">
        <v>0</v>
      </c>
      <c r="AI238">
        <v>0</v>
      </c>
      <c r="AJ238">
        <v>0</v>
      </c>
      <c r="AK238">
        <v>317.3</v>
      </c>
      <c r="AL238">
        <v>1762.8</v>
      </c>
      <c r="AM238">
        <v>2080</v>
      </c>
      <c r="AN238">
        <v>91</v>
      </c>
      <c r="AO238" t="s">
        <v>22</v>
      </c>
      <c r="AP238" t="s">
        <v>26</v>
      </c>
      <c r="AQ238">
        <v>10</v>
      </c>
      <c r="AR238">
        <v>117</v>
      </c>
      <c r="AS238" t="s">
        <v>94</v>
      </c>
      <c r="AT238">
        <v>65104</v>
      </c>
      <c r="AU238" t="s">
        <v>283</v>
      </c>
      <c r="AV238" t="s">
        <v>95</v>
      </c>
      <c r="AW238" t="s">
        <v>23</v>
      </c>
      <c r="AX238" t="s">
        <v>24</v>
      </c>
      <c r="AY238" t="s">
        <v>25</v>
      </c>
      <c r="AZ238" t="s">
        <v>197</v>
      </c>
      <c r="BA238" t="s">
        <v>478</v>
      </c>
      <c r="BB238">
        <v>0</v>
      </c>
      <c r="BC238">
        <v>0</v>
      </c>
      <c r="BD238" t="s">
        <v>199</v>
      </c>
      <c r="BE238" t="s">
        <v>199</v>
      </c>
      <c r="BF238">
        <v>0</v>
      </c>
      <c r="BG238">
        <v>0</v>
      </c>
      <c r="BH238" t="s">
        <v>200</v>
      </c>
      <c r="BI238">
        <v>13</v>
      </c>
      <c r="BJ238">
        <v>6294255</v>
      </c>
      <c r="BK238" t="s">
        <v>201</v>
      </c>
      <c r="BL238" t="s">
        <v>190</v>
      </c>
    </row>
    <row r="239" spans="1:64" x14ac:dyDescent="0.3">
      <c r="A239">
        <v>109</v>
      </c>
      <c r="B239" t="s">
        <v>186</v>
      </c>
      <c r="C239">
        <v>3</v>
      </c>
      <c r="D239">
        <v>6294524</v>
      </c>
      <c r="E239" t="s">
        <v>187</v>
      </c>
      <c r="F239" t="s">
        <v>188</v>
      </c>
      <c r="G239">
        <v>10123441</v>
      </c>
      <c r="H239" s="35">
        <v>46106</v>
      </c>
      <c r="I239" s="35">
        <v>46106</v>
      </c>
      <c r="J239">
        <v>2026</v>
      </c>
      <c r="K239">
        <v>3</v>
      </c>
      <c r="L239" t="s">
        <v>242</v>
      </c>
      <c r="M239">
        <v>1</v>
      </c>
      <c r="N239" t="s">
        <v>190</v>
      </c>
      <c r="O239" t="s">
        <v>191</v>
      </c>
      <c r="P239" t="s">
        <v>199</v>
      </c>
      <c r="Q239" t="s">
        <v>199</v>
      </c>
      <c r="R239">
        <v>13</v>
      </c>
      <c r="S239">
        <v>25</v>
      </c>
      <c r="T239">
        <v>14167</v>
      </c>
      <c r="U239">
        <v>3</v>
      </c>
      <c r="V239" t="s">
        <v>208</v>
      </c>
      <c r="W239" t="s">
        <v>18</v>
      </c>
      <c r="X239" t="s">
        <v>19</v>
      </c>
      <c r="Y239" t="s">
        <v>20</v>
      </c>
      <c r="Z239" t="s">
        <v>20</v>
      </c>
      <c r="AA239">
        <v>91</v>
      </c>
      <c r="AB239">
        <v>103001</v>
      </c>
      <c r="AC239" t="s">
        <v>286</v>
      </c>
      <c r="AD239" t="s">
        <v>287</v>
      </c>
      <c r="AE239">
        <v>6</v>
      </c>
      <c r="AF239">
        <v>288</v>
      </c>
      <c r="AG239">
        <v>21.36</v>
      </c>
      <c r="AH239">
        <v>0</v>
      </c>
      <c r="AI239">
        <v>0</v>
      </c>
      <c r="AJ239">
        <v>0</v>
      </c>
      <c r="AK239">
        <v>1107.3</v>
      </c>
      <c r="AL239">
        <v>6151.68</v>
      </c>
      <c r="AM239">
        <v>7259</v>
      </c>
      <c r="AN239">
        <v>3</v>
      </c>
      <c r="AO239" t="s">
        <v>403</v>
      </c>
      <c r="AP239" t="s">
        <v>404</v>
      </c>
      <c r="AQ239">
        <v>10</v>
      </c>
      <c r="AR239">
        <v>107</v>
      </c>
      <c r="AS239" t="s">
        <v>96</v>
      </c>
      <c r="AT239">
        <v>6770651</v>
      </c>
      <c r="AU239" t="s">
        <v>288</v>
      </c>
      <c r="AV239" t="s">
        <v>86</v>
      </c>
      <c r="AW239" t="s">
        <v>23</v>
      </c>
      <c r="AX239" t="s">
        <v>24</v>
      </c>
      <c r="AY239" t="s">
        <v>405</v>
      </c>
      <c r="AZ239" t="s">
        <v>197</v>
      </c>
      <c r="BA239" t="s">
        <v>481</v>
      </c>
      <c r="BB239">
        <v>0</v>
      </c>
      <c r="BC239">
        <v>0</v>
      </c>
      <c r="BD239" t="s">
        <v>199</v>
      </c>
      <c r="BE239" t="s">
        <v>199</v>
      </c>
      <c r="BF239">
        <v>0</v>
      </c>
      <c r="BG239">
        <v>0</v>
      </c>
      <c r="BH239" t="s">
        <v>200</v>
      </c>
      <c r="BI239">
        <v>13</v>
      </c>
      <c r="BJ239">
        <v>6294524</v>
      </c>
      <c r="BK239" t="s">
        <v>201</v>
      </c>
      <c r="BL239" t="s">
        <v>190</v>
      </c>
    </row>
    <row r="240" spans="1:64" x14ac:dyDescent="0.3">
      <c r="A240">
        <v>109</v>
      </c>
      <c r="B240" t="s">
        <v>186</v>
      </c>
      <c r="C240">
        <v>3</v>
      </c>
      <c r="D240">
        <v>6294524</v>
      </c>
      <c r="E240" t="s">
        <v>187</v>
      </c>
      <c r="F240" t="s">
        <v>188</v>
      </c>
      <c r="G240">
        <v>10123441</v>
      </c>
      <c r="H240" s="35">
        <v>46106</v>
      </c>
      <c r="I240" s="35">
        <v>46106</v>
      </c>
      <c r="J240">
        <v>2026</v>
      </c>
      <c r="K240">
        <v>3</v>
      </c>
      <c r="L240" t="s">
        <v>242</v>
      </c>
      <c r="M240">
        <v>1</v>
      </c>
      <c r="N240" t="s">
        <v>190</v>
      </c>
      <c r="O240" t="s">
        <v>191</v>
      </c>
      <c r="P240" t="s">
        <v>199</v>
      </c>
      <c r="Q240" t="s">
        <v>199</v>
      </c>
      <c r="R240">
        <v>13</v>
      </c>
      <c r="S240">
        <v>25</v>
      </c>
      <c r="T240">
        <v>14167</v>
      </c>
      <c r="U240">
        <v>3</v>
      </c>
      <c r="V240" t="s">
        <v>208</v>
      </c>
      <c r="W240" t="s">
        <v>18</v>
      </c>
      <c r="X240" t="s">
        <v>19</v>
      </c>
      <c r="Y240" t="s">
        <v>20</v>
      </c>
      <c r="Z240" t="s">
        <v>20</v>
      </c>
      <c r="AA240">
        <v>91</v>
      </c>
      <c r="AB240">
        <v>103001</v>
      </c>
      <c r="AC240" t="s">
        <v>286</v>
      </c>
      <c r="AD240" t="s">
        <v>287</v>
      </c>
      <c r="AE240">
        <v>1</v>
      </c>
      <c r="AF240">
        <v>48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</v>
      </c>
      <c r="AO240" t="s">
        <v>403</v>
      </c>
      <c r="AP240" t="s">
        <v>404</v>
      </c>
      <c r="AQ240">
        <v>10</v>
      </c>
      <c r="AR240">
        <v>107</v>
      </c>
      <c r="AS240" t="s">
        <v>96</v>
      </c>
      <c r="AT240">
        <v>6770651</v>
      </c>
      <c r="AU240" t="s">
        <v>288</v>
      </c>
      <c r="AV240" t="s">
        <v>86</v>
      </c>
      <c r="AW240" t="s">
        <v>23</v>
      </c>
      <c r="AX240" t="s">
        <v>24</v>
      </c>
      <c r="AY240" t="s">
        <v>405</v>
      </c>
      <c r="AZ240" t="s">
        <v>197</v>
      </c>
      <c r="BA240" t="s">
        <v>481</v>
      </c>
      <c r="BB240">
        <v>0</v>
      </c>
      <c r="BC240">
        <v>1</v>
      </c>
      <c r="BD240">
        <v>3438</v>
      </c>
      <c r="BE240" t="s">
        <v>390</v>
      </c>
      <c r="BF240">
        <v>0</v>
      </c>
      <c r="BG240">
        <v>0</v>
      </c>
      <c r="BH240" t="s">
        <v>200</v>
      </c>
      <c r="BI240">
        <v>13</v>
      </c>
      <c r="BJ240">
        <v>6294524</v>
      </c>
      <c r="BK240" t="s">
        <v>201</v>
      </c>
      <c r="BL240" t="s">
        <v>190</v>
      </c>
    </row>
    <row r="241" spans="1:64" x14ac:dyDescent="0.3">
      <c r="A241">
        <v>242</v>
      </c>
      <c r="B241" t="s">
        <v>186</v>
      </c>
      <c r="C241">
        <v>3</v>
      </c>
      <c r="D241">
        <v>6294546</v>
      </c>
      <c r="E241" t="s">
        <v>275</v>
      </c>
      <c r="F241" t="s">
        <v>188</v>
      </c>
      <c r="G241">
        <v>10123463</v>
      </c>
      <c r="H241" s="35">
        <v>46106</v>
      </c>
      <c r="I241" s="35">
        <v>46106</v>
      </c>
      <c r="J241">
        <v>2026</v>
      </c>
      <c r="K241">
        <v>3</v>
      </c>
      <c r="L241" t="s">
        <v>242</v>
      </c>
      <c r="M241">
        <v>1</v>
      </c>
      <c r="N241" t="s">
        <v>190</v>
      </c>
      <c r="O241" t="s">
        <v>191</v>
      </c>
      <c r="P241" t="s">
        <v>199</v>
      </c>
      <c r="Q241" t="s">
        <v>199</v>
      </c>
      <c r="R241">
        <v>13</v>
      </c>
      <c r="S241">
        <v>25</v>
      </c>
      <c r="T241">
        <v>19291</v>
      </c>
      <c r="U241">
        <v>3</v>
      </c>
      <c r="V241" t="s">
        <v>261</v>
      </c>
      <c r="W241" t="s">
        <v>35</v>
      </c>
      <c r="X241" t="s">
        <v>19</v>
      </c>
      <c r="Y241" t="s">
        <v>30</v>
      </c>
      <c r="Z241" t="s">
        <v>30</v>
      </c>
      <c r="AA241">
        <v>8</v>
      </c>
      <c r="AB241">
        <v>101028</v>
      </c>
      <c r="AC241" t="s">
        <v>325</v>
      </c>
      <c r="AD241" t="s">
        <v>326</v>
      </c>
      <c r="AE241">
        <v>1</v>
      </c>
      <c r="AF241">
        <v>18</v>
      </c>
      <c r="AG241">
        <v>98.4</v>
      </c>
      <c r="AH241">
        <v>0</v>
      </c>
      <c r="AI241">
        <v>0</v>
      </c>
      <c r="AJ241">
        <v>0</v>
      </c>
      <c r="AK241">
        <v>318.82</v>
      </c>
      <c r="AL241">
        <v>1771.2</v>
      </c>
      <c r="AM241">
        <v>2090</v>
      </c>
      <c r="AN241">
        <v>4</v>
      </c>
      <c r="AO241" t="s">
        <v>264</v>
      </c>
      <c r="AP241" t="s">
        <v>265</v>
      </c>
      <c r="AQ241">
        <v>10</v>
      </c>
      <c r="AR241">
        <v>105</v>
      </c>
      <c r="AS241" t="s">
        <v>85</v>
      </c>
      <c r="AT241">
        <v>677001</v>
      </c>
      <c r="AU241" t="s">
        <v>273</v>
      </c>
      <c r="AV241" t="s">
        <v>86</v>
      </c>
      <c r="AW241" t="s">
        <v>23</v>
      </c>
      <c r="AX241" t="s">
        <v>24</v>
      </c>
      <c r="AY241" t="s">
        <v>267</v>
      </c>
      <c r="AZ241" t="s">
        <v>197</v>
      </c>
      <c r="BA241" t="s">
        <v>482</v>
      </c>
      <c r="BB241">
        <v>0</v>
      </c>
      <c r="BC241">
        <v>0</v>
      </c>
      <c r="BD241" t="s">
        <v>199</v>
      </c>
      <c r="BE241" t="s">
        <v>199</v>
      </c>
      <c r="BF241">
        <v>0</v>
      </c>
      <c r="BG241">
        <v>0</v>
      </c>
      <c r="BH241" t="s">
        <v>200</v>
      </c>
      <c r="BI241">
        <v>13</v>
      </c>
      <c r="BJ241">
        <v>6294546</v>
      </c>
      <c r="BK241" t="s">
        <v>201</v>
      </c>
      <c r="BL241" t="s">
        <v>190</v>
      </c>
    </row>
    <row r="242" spans="1:64" x14ac:dyDescent="0.3">
      <c r="A242">
        <v>242</v>
      </c>
      <c r="B242" t="s">
        <v>186</v>
      </c>
      <c r="C242">
        <v>3</v>
      </c>
      <c r="D242">
        <v>6294546</v>
      </c>
      <c r="E242" t="s">
        <v>275</v>
      </c>
      <c r="F242" t="s">
        <v>188</v>
      </c>
      <c r="G242">
        <v>10123463</v>
      </c>
      <c r="H242" s="35">
        <v>46106</v>
      </c>
      <c r="I242" s="35">
        <v>46106</v>
      </c>
      <c r="J242">
        <v>2026</v>
      </c>
      <c r="K242">
        <v>3</v>
      </c>
      <c r="L242" t="s">
        <v>242</v>
      </c>
      <c r="M242">
        <v>1</v>
      </c>
      <c r="N242" t="s">
        <v>190</v>
      </c>
      <c r="O242" t="s">
        <v>191</v>
      </c>
      <c r="P242" t="s">
        <v>199</v>
      </c>
      <c r="Q242" t="s">
        <v>199</v>
      </c>
      <c r="R242">
        <v>13</v>
      </c>
      <c r="S242">
        <v>25</v>
      </c>
      <c r="T242">
        <v>19291</v>
      </c>
      <c r="U242">
        <v>3</v>
      </c>
      <c r="V242" t="s">
        <v>261</v>
      </c>
      <c r="W242" t="s">
        <v>35</v>
      </c>
      <c r="X242" t="s">
        <v>19</v>
      </c>
      <c r="Y242" t="s">
        <v>30</v>
      </c>
      <c r="Z242" t="s">
        <v>30</v>
      </c>
      <c r="AA242">
        <v>8</v>
      </c>
      <c r="AB242">
        <v>101005</v>
      </c>
      <c r="AC242" t="s">
        <v>320</v>
      </c>
      <c r="AD242" t="s">
        <v>321</v>
      </c>
      <c r="AE242">
        <v>1</v>
      </c>
      <c r="AF242">
        <v>30</v>
      </c>
      <c r="AG242">
        <v>73.41</v>
      </c>
      <c r="AH242">
        <v>0</v>
      </c>
      <c r="AI242">
        <v>0</v>
      </c>
      <c r="AJ242">
        <v>0</v>
      </c>
      <c r="AK242">
        <v>396.41</v>
      </c>
      <c r="AL242">
        <v>2202.3000000000002</v>
      </c>
      <c r="AM242">
        <v>2599</v>
      </c>
      <c r="AN242">
        <v>4</v>
      </c>
      <c r="AO242" t="s">
        <v>264</v>
      </c>
      <c r="AP242" t="s">
        <v>265</v>
      </c>
      <c r="AQ242">
        <v>10</v>
      </c>
      <c r="AR242">
        <v>105</v>
      </c>
      <c r="AS242" t="s">
        <v>85</v>
      </c>
      <c r="AT242">
        <v>677001</v>
      </c>
      <c r="AU242" t="s">
        <v>273</v>
      </c>
      <c r="AV242" t="s">
        <v>86</v>
      </c>
      <c r="AW242" t="s">
        <v>23</v>
      </c>
      <c r="AX242" t="s">
        <v>24</v>
      </c>
      <c r="AY242" t="s">
        <v>267</v>
      </c>
      <c r="AZ242" t="s">
        <v>197</v>
      </c>
      <c r="BA242" t="s">
        <v>482</v>
      </c>
      <c r="BB242">
        <v>0</v>
      </c>
      <c r="BC242">
        <v>0</v>
      </c>
      <c r="BD242" t="s">
        <v>199</v>
      </c>
      <c r="BE242" t="s">
        <v>199</v>
      </c>
      <c r="BF242">
        <v>0</v>
      </c>
      <c r="BG242">
        <v>0</v>
      </c>
      <c r="BH242" t="s">
        <v>200</v>
      </c>
      <c r="BI242">
        <v>13</v>
      </c>
      <c r="BJ242">
        <v>6294546</v>
      </c>
      <c r="BK242" t="s">
        <v>201</v>
      </c>
      <c r="BL242" t="s">
        <v>190</v>
      </c>
    </row>
    <row r="243" spans="1:64" x14ac:dyDescent="0.3">
      <c r="A243">
        <v>242</v>
      </c>
      <c r="B243" t="s">
        <v>186</v>
      </c>
      <c r="C243">
        <v>3</v>
      </c>
      <c r="D243">
        <v>6294546</v>
      </c>
      <c r="E243" t="s">
        <v>275</v>
      </c>
      <c r="F243" t="s">
        <v>188</v>
      </c>
      <c r="G243">
        <v>10123463</v>
      </c>
      <c r="H243" s="35">
        <v>46106</v>
      </c>
      <c r="I243" s="35">
        <v>46106</v>
      </c>
      <c r="J243">
        <v>2026</v>
      </c>
      <c r="K243">
        <v>3</v>
      </c>
      <c r="L243" t="s">
        <v>242</v>
      </c>
      <c r="M243">
        <v>1</v>
      </c>
      <c r="N243" t="s">
        <v>190</v>
      </c>
      <c r="O243" t="s">
        <v>191</v>
      </c>
      <c r="P243" t="s">
        <v>199</v>
      </c>
      <c r="Q243" t="s">
        <v>199</v>
      </c>
      <c r="R243">
        <v>13</v>
      </c>
      <c r="S243">
        <v>25</v>
      </c>
      <c r="T243">
        <v>19291</v>
      </c>
      <c r="U243">
        <v>3</v>
      </c>
      <c r="V243" t="s">
        <v>261</v>
      </c>
      <c r="W243" t="s">
        <v>35</v>
      </c>
      <c r="X243" t="s">
        <v>19</v>
      </c>
      <c r="Y243" t="s">
        <v>30</v>
      </c>
      <c r="Z243" t="s">
        <v>30</v>
      </c>
      <c r="AA243">
        <v>8</v>
      </c>
      <c r="AB243">
        <v>101027</v>
      </c>
      <c r="AC243" t="s">
        <v>323</v>
      </c>
      <c r="AD243" t="s">
        <v>324</v>
      </c>
      <c r="AE243">
        <v>1</v>
      </c>
      <c r="AF243">
        <v>24</v>
      </c>
      <c r="AG243">
        <v>73.41</v>
      </c>
      <c r="AH243">
        <v>0</v>
      </c>
      <c r="AI243">
        <v>0</v>
      </c>
      <c r="AJ243">
        <v>0</v>
      </c>
      <c r="AK243">
        <v>317.13</v>
      </c>
      <c r="AL243">
        <v>1761.84</v>
      </c>
      <c r="AM243">
        <v>2079</v>
      </c>
      <c r="AN243">
        <v>4</v>
      </c>
      <c r="AO243" t="s">
        <v>264</v>
      </c>
      <c r="AP243" t="s">
        <v>265</v>
      </c>
      <c r="AQ243">
        <v>10</v>
      </c>
      <c r="AR243">
        <v>105</v>
      </c>
      <c r="AS243" t="s">
        <v>85</v>
      </c>
      <c r="AT243">
        <v>677001</v>
      </c>
      <c r="AU243" t="s">
        <v>273</v>
      </c>
      <c r="AV243" t="s">
        <v>86</v>
      </c>
      <c r="AW243" t="s">
        <v>23</v>
      </c>
      <c r="AX243" t="s">
        <v>24</v>
      </c>
      <c r="AY243" t="s">
        <v>267</v>
      </c>
      <c r="AZ243" t="s">
        <v>197</v>
      </c>
      <c r="BA243" t="s">
        <v>482</v>
      </c>
      <c r="BB243">
        <v>0</v>
      </c>
      <c r="BC243">
        <v>0</v>
      </c>
      <c r="BD243" t="s">
        <v>199</v>
      </c>
      <c r="BE243" t="s">
        <v>199</v>
      </c>
      <c r="BF243">
        <v>0</v>
      </c>
      <c r="BG243">
        <v>0</v>
      </c>
      <c r="BH243" t="s">
        <v>200</v>
      </c>
      <c r="BI243">
        <v>13</v>
      </c>
      <c r="BJ243">
        <v>6294546</v>
      </c>
      <c r="BK243" t="s">
        <v>201</v>
      </c>
      <c r="BL243" t="s">
        <v>190</v>
      </c>
    </row>
    <row r="244" spans="1:64" x14ac:dyDescent="0.3">
      <c r="A244">
        <v>242</v>
      </c>
      <c r="B244" t="s">
        <v>186</v>
      </c>
      <c r="C244">
        <v>3</v>
      </c>
      <c r="D244">
        <v>6294568</v>
      </c>
      <c r="E244" t="s">
        <v>275</v>
      </c>
      <c r="F244" t="s">
        <v>188</v>
      </c>
      <c r="G244">
        <v>10123485</v>
      </c>
      <c r="H244" s="35">
        <v>46106</v>
      </c>
      <c r="I244" s="35">
        <v>46106</v>
      </c>
      <c r="J244">
        <v>2026</v>
      </c>
      <c r="K244">
        <v>3</v>
      </c>
      <c r="L244" t="s">
        <v>242</v>
      </c>
      <c r="M244">
        <v>1</v>
      </c>
      <c r="N244" t="s">
        <v>190</v>
      </c>
      <c r="O244" t="s">
        <v>191</v>
      </c>
      <c r="P244" t="s">
        <v>199</v>
      </c>
      <c r="Q244" t="s">
        <v>199</v>
      </c>
      <c r="R244">
        <v>13</v>
      </c>
      <c r="S244">
        <v>25</v>
      </c>
      <c r="T244">
        <v>2280</v>
      </c>
      <c r="U244">
        <v>3</v>
      </c>
      <c r="V244" t="s">
        <v>193</v>
      </c>
      <c r="W244" t="s">
        <v>29</v>
      </c>
      <c r="X244" t="s">
        <v>19</v>
      </c>
      <c r="Y244" t="s">
        <v>30</v>
      </c>
      <c r="Z244" t="s">
        <v>30</v>
      </c>
      <c r="AA244">
        <v>14</v>
      </c>
      <c r="AB244">
        <v>101005</v>
      </c>
      <c r="AC244" t="s">
        <v>320</v>
      </c>
      <c r="AD244" t="s">
        <v>321</v>
      </c>
      <c r="AE244">
        <v>0.4</v>
      </c>
      <c r="AF244">
        <v>12</v>
      </c>
      <c r="AG244">
        <v>73.41</v>
      </c>
      <c r="AH244">
        <v>0</v>
      </c>
      <c r="AI244">
        <v>0</v>
      </c>
      <c r="AJ244">
        <v>0</v>
      </c>
      <c r="AK244">
        <v>158.57</v>
      </c>
      <c r="AL244">
        <v>880.92</v>
      </c>
      <c r="AM244">
        <v>1039</v>
      </c>
      <c r="AN244">
        <v>93</v>
      </c>
      <c r="AO244" t="s">
        <v>250</v>
      </c>
      <c r="AP244" t="s">
        <v>251</v>
      </c>
      <c r="AQ244">
        <v>10</v>
      </c>
      <c r="AR244">
        <v>105</v>
      </c>
      <c r="AS244" t="s">
        <v>85</v>
      </c>
      <c r="AT244">
        <v>677001</v>
      </c>
      <c r="AU244" t="s">
        <v>273</v>
      </c>
      <c r="AV244" t="s">
        <v>86</v>
      </c>
      <c r="AW244" t="s">
        <v>23</v>
      </c>
      <c r="AX244" t="s">
        <v>24</v>
      </c>
      <c r="AY244" t="s">
        <v>253</v>
      </c>
      <c r="AZ244" t="s">
        <v>197</v>
      </c>
      <c r="BA244" t="s">
        <v>483</v>
      </c>
      <c r="BB244">
        <v>0</v>
      </c>
      <c r="BC244">
        <v>0</v>
      </c>
      <c r="BD244" t="s">
        <v>199</v>
      </c>
      <c r="BE244" t="s">
        <v>199</v>
      </c>
      <c r="BF244">
        <v>0</v>
      </c>
      <c r="BG244">
        <v>0</v>
      </c>
      <c r="BH244" t="s">
        <v>200</v>
      </c>
      <c r="BI244">
        <v>13</v>
      </c>
      <c r="BJ244">
        <v>6294568</v>
      </c>
      <c r="BK244" t="s">
        <v>201</v>
      </c>
      <c r="BL244" t="s">
        <v>190</v>
      </c>
    </row>
    <row r="245" spans="1:64" x14ac:dyDescent="0.3">
      <c r="A245">
        <v>242</v>
      </c>
      <c r="B245" t="s">
        <v>186</v>
      </c>
      <c r="C245">
        <v>3</v>
      </c>
      <c r="D245">
        <v>6294568</v>
      </c>
      <c r="E245" t="s">
        <v>275</v>
      </c>
      <c r="F245" t="s">
        <v>188</v>
      </c>
      <c r="G245">
        <v>10123485</v>
      </c>
      <c r="H245" s="35">
        <v>46106</v>
      </c>
      <c r="I245" s="35">
        <v>46106</v>
      </c>
      <c r="J245">
        <v>2026</v>
      </c>
      <c r="K245">
        <v>3</v>
      </c>
      <c r="L245" t="s">
        <v>242</v>
      </c>
      <c r="M245">
        <v>1</v>
      </c>
      <c r="N245" t="s">
        <v>190</v>
      </c>
      <c r="O245" t="s">
        <v>191</v>
      </c>
      <c r="P245" t="s">
        <v>199</v>
      </c>
      <c r="Q245" t="s">
        <v>199</v>
      </c>
      <c r="R245">
        <v>13</v>
      </c>
      <c r="S245">
        <v>25</v>
      </c>
      <c r="T245">
        <v>2280</v>
      </c>
      <c r="U245">
        <v>3</v>
      </c>
      <c r="V245" t="s">
        <v>193</v>
      </c>
      <c r="W245" t="s">
        <v>29</v>
      </c>
      <c r="X245" t="s">
        <v>19</v>
      </c>
      <c r="Y245" t="s">
        <v>30</v>
      </c>
      <c r="Z245" t="s">
        <v>30</v>
      </c>
      <c r="AA245">
        <v>14</v>
      </c>
      <c r="AB245">
        <v>101027</v>
      </c>
      <c r="AC245" t="s">
        <v>323</v>
      </c>
      <c r="AD245" t="s">
        <v>324</v>
      </c>
      <c r="AE245">
        <v>0.25</v>
      </c>
      <c r="AF245">
        <v>6</v>
      </c>
      <c r="AG245">
        <v>73.41</v>
      </c>
      <c r="AH245">
        <v>0</v>
      </c>
      <c r="AI245">
        <v>0</v>
      </c>
      <c r="AJ245">
        <v>0</v>
      </c>
      <c r="AK245">
        <v>79.28</v>
      </c>
      <c r="AL245">
        <v>440.46</v>
      </c>
      <c r="AM245">
        <v>520</v>
      </c>
      <c r="AN245">
        <v>93</v>
      </c>
      <c r="AO245" t="s">
        <v>250</v>
      </c>
      <c r="AP245" t="s">
        <v>251</v>
      </c>
      <c r="AQ245">
        <v>10</v>
      </c>
      <c r="AR245">
        <v>105</v>
      </c>
      <c r="AS245" t="s">
        <v>85</v>
      </c>
      <c r="AT245">
        <v>677001</v>
      </c>
      <c r="AU245" t="s">
        <v>273</v>
      </c>
      <c r="AV245" t="s">
        <v>86</v>
      </c>
      <c r="AW245" t="s">
        <v>23</v>
      </c>
      <c r="AX245" t="s">
        <v>24</v>
      </c>
      <c r="AY245" t="s">
        <v>253</v>
      </c>
      <c r="AZ245" t="s">
        <v>197</v>
      </c>
      <c r="BA245" t="s">
        <v>483</v>
      </c>
      <c r="BB245">
        <v>0</v>
      </c>
      <c r="BC245">
        <v>0</v>
      </c>
      <c r="BD245" t="s">
        <v>199</v>
      </c>
      <c r="BE245" t="s">
        <v>199</v>
      </c>
      <c r="BF245">
        <v>0</v>
      </c>
      <c r="BG245">
        <v>0</v>
      </c>
      <c r="BH245" t="s">
        <v>200</v>
      </c>
      <c r="BI245">
        <v>13</v>
      </c>
      <c r="BJ245">
        <v>6294568</v>
      </c>
      <c r="BK245" t="s">
        <v>201</v>
      </c>
      <c r="BL245" t="s">
        <v>190</v>
      </c>
    </row>
    <row r="246" spans="1:64" x14ac:dyDescent="0.3">
      <c r="A246">
        <v>242</v>
      </c>
      <c r="B246" t="s">
        <v>186</v>
      </c>
      <c r="C246">
        <v>3</v>
      </c>
      <c r="D246">
        <v>6294568</v>
      </c>
      <c r="E246" t="s">
        <v>275</v>
      </c>
      <c r="F246" t="s">
        <v>188</v>
      </c>
      <c r="G246">
        <v>10123485</v>
      </c>
      <c r="H246" s="35">
        <v>46106</v>
      </c>
      <c r="I246" s="35">
        <v>46106</v>
      </c>
      <c r="J246">
        <v>2026</v>
      </c>
      <c r="K246">
        <v>3</v>
      </c>
      <c r="L246" t="s">
        <v>242</v>
      </c>
      <c r="M246">
        <v>1</v>
      </c>
      <c r="N246" t="s">
        <v>190</v>
      </c>
      <c r="O246" t="s">
        <v>191</v>
      </c>
      <c r="P246" t="s">
        <v>199</v>
      </c>
      <c r="Q246" t="s">
        <v>199</v>
      </c>
      <c r="R246">
        <v>13</v>
      </c>
      <c r="S246">
        <v>25</v>
      </c>
      <c r="T246">
        <v>2280</v>
      </c>
      <c r="U246">
        <v>3</v>
      </c>
      <c r="V246" t="s">
        <v>193</v>
      </c>
      <c r="W246" t="s">
        <v>29</v>
      </c>
      <c r="X246" t="s">
        <v>19</v>
      </c>
      <c r="Y246" t="s">
        <v>30</v>
      </c>
      <c r="Z246" t="s">
        <v>30</v>
      </c>
      <c r="AA246">
        <v>14</v>
      </c>
      <c r="AB246">
        <v>101028</v>
      </c>
      <c r="AC246" t="s">
        <v>325</v>
      </c>
      <c r="AD246" t="s">
        <v>326</v>
      </c>
      <c r="AE246">
        <v>0.66666666666665997</v>
      </c>
      <c r="AF246">
        <v>12</v>
      </c>
      <c r="AG246">
        <v>98.4</v>
      </c>
      <c r="AH246">
        <v>0</v>
      </c>
      <c r="AI246">
        <v>0</v>
      </c>
      <c r="AJ246">
        <v>0</v>
      </c>
      <c r="AK246">
        <v>212.54</v>
      </c>
      <c r="AL246">
        <v>1180.8</v>
      </c>
      <c r="AM246">
        <v>1393</v>
      </c>
      <c r="AN246">
        <v>93</v>
      </c>
      <c r="AO246" t="s">
        <v>250</v>
      </c>
      <c r="AP246" t="s">
        <v>251</v>
      </c>
      <c r="AQ246">
        <v>10</v>
      </c>
      <c r="AR246">
        <v>105</v>
      </c>
      <c r="AS246" t="s">
        <v>85</v>
      </c>
      <c r="AT246">
        <v>677001</v>
      </c>
      <c r="AU246" t="s">
        <v>273</v>
      </c>
      <c r="AV246" t="s">
        <v>86</v>
      </c>
      <c r="AW246" t="s">
        <v>23</v>
      </c>
      <c r="AX246" t="s">
        <v>24</v>
      </c>
      <c r="AY246" t="s">
        <v>253</v>
      </c>
      <c r="AZ246" t="s">
        <v>197</v>
      </c>
      <c r="BA246" t="s">
        <v>483</v>
      </c>
      <c r="BB246">
        <v>0</v>
      </c>
      <c r="BC246">
        <v>0</v>
      </c>
      <c r="BD246" t="s">
        <v>199</v>
      </c>
      <c r="BE246" t="s">
        <v>199</v>
      </c>
      <c r="BF246">
        <v>0</v>
      </c>
      <c r="BG246">
        <v>0</v>
      </c>
      <c r="BH246" t="s">
        <v>200</v>
      </c>
      <c r="BI246">
        <v>13</v>
      </c>
      <c r="BJ246">
        <v>6294568</v>
      </c>
      <c r="BK246" t="s">
        <v>201</v>
      </c>
      <c r="BL246" t="s">
        <v>190</v>
      </c>
    </row>
    <row r="247" spans="1:64" x14ac:dyDescent="0.3">
      <c r="A247">
        <v>242</v>
      </c>
      <c r="B247" t="s">
        <v>186</v>
      </c>
      <c r="C247">
        <v>3</v>
      </c>
      <c r="D247">
        <v>6294576</v>
      </c>
      <c r="E247" t="s">
        <v>275</v>
      </c>
      <c r="F247" t="s">
        <v>188</v>
      </c>
      <c r="G247">
        <v>10123493</v>
      </c>
      <c r="H247" s="35">
        <v>46106</v>
      </c>
      <c r="I247" s="35">
        <v>46106</v>
      </c>
      <c r="J247">
        <v>2026</v>
      </c>
      <c r="K247">
        <v>3</v>
      </c>
      <c r="L247" t="s">
        <v>242</v>
      </c>
      <c r="M247">
        <v>1</v>
      </c>
      <c r="N247" t="s">
        <v>190</v>
      </c>
      <c r="O247" t="s">
        <v>191</v>
      </c>
      <c r="P247" t="s">
        <v>199</v>
      </c>
      <c r="Q247" t="s">
        <v>199</v>
      </c>
      <c r="R247">
        <v>13</v>
      </c>
      <c r="S247">
        <v>25</v>
      </c>
      <c r="T247">
        <v>2280</v>
      </c>
      <c r="U247">
        <v>3</v>
      </c>
      <c r="V247" t="s">
        <v>193</v>
      </c>
      <c r="W247" t="s">
        <v>29</v>
      </c>
      <c r="X247" t="s">
        <v>19</v>
      </c>
      <c r="Y247" t="s">
        <v>30</v>
      </c>
      <c r="Z247" t="s">
        <v>30</v>
      </c>
      <c r="AA247">
        <v>14</v>
      </c>
      <c r="AB247">
        <v>101038</v>
      </c>
      <c r="AC247" t="s">
        <v>271</v>
      </c>
      <c r="AD247" t="s">
        <v>272</v>
      </c>
      <c r="AE247">
        <v>1</v>
      </c>
      <c r="AF247">
        <v>10</v>
      </c>
      <c r="AG247">
        <v>363.99</v>
      </c>
      <c r="AH247">
        <v>0</v>
      </c>
      <c r="AI247">
        <v>0</v>
      </c>
      <c r="AJ247">
        <v>0</v>
      </c>
      <c r="AK247">
        <v>655.17999999999995</v>
      </c>
      <c r="AL247">
        <v>3639.9</v>
      </c>
      <c r="AM247">
        <v>4295</v>
      </c>
      <c r="AN247">
        <v>93</v>
      </c>
      <c r="AO247" t="s">
        <v>250</v>
      </c>
      <c r="AP247" t="s">
        <v>251</v>
      </c>
      <c r="AQ247">
        <v>10</v>
      </c>
      <c r="AR247">
        <v>105</v>
      </c>
      <c r="AS247" t="s">
        <v>85</v>
      </c>
      <c r="AT247">
        <v>677001</v>
      </c>
      <c r="AU247" t="s">
        <v>273</v>
      </c>
      <c r="AV247" t="s">
        <v>86</v>
      </c>
      <c r="AW247" t="s">
        <v>23</v>
      </c>
      <c r="AX247" t="s">
        <v>24</v>
      </c>
      <c r="AY247" t="s">
        <v>253</v>
      </c>
      <c r="AZ247" t="s">
        <v>197</v>
      </c>
      <c r="BA247" t="s">
        <v>484</v>
      </c>
      <c r="BB247">
        <v>0</v>
      </c>
      <c r="BC247">
        <v>0</v>
      </c>
      <c r="BD247" t="s">
        <v>199</v>
      </c>
      <c r="BE247" t="s">
        <v>199</v>
      </c>
      <c r="BF247">
        <v>0</v>
      </c>
      <c r="BG247">
        <v>0</v>
      </c>
      <c r="BH247" t="s">
        <v>200</v>
      </c>
      <c r="BI247">
        <v>13</v>
      </c>
      <c r="BJ247">
        <v>6294576</v>
      </c>
      <c r="BK247" t="s">
        <v>201</v>
      </c>
      <c r="BL247" t="s">
        <v>190</v>
      </c>
    </row>
    <row r="248" spans="1:64" x14ac:dyDescent="0.3">
      <c r="A248">
        <v>264</v>
      </c>
      <c r="B248" t="s">
        <v>186</v>
      </c>
      <c r="C248">
        <v>3</v>
      </c>
      <c r="D248">
        <v>6296911</v>
      </c>
      <c r="E248" t="s">
        <v>233</v>
      </c>
      <c r="F248" t="s">
        <v>188</v>
      </c>
      <c r="G248">
        <v>10125828</v>
      </c>
      <c r="H248" s="35">
        <v>46107</v>
      </c>
      <c r="I248" s="35">
        <v>46107</v>
      </c>
      <c r="J248">
        <v>2026</v>
      </c>
      <c r="K248">
        <v>3</v>
      </c>
      <c r="L248" t="s">
        <v>242</v>
      </c>
      <c r="M248">
        <v>1</v>
      </c>
      <c r="N248" t="s">
        <v>203</v>
      </c>
      <c r="O248" t="s">
        <v>191</v>
      </c>
      <c r="P248" t="s">
        <v>199</v>
      </c>
      <c r="Q248" t="s">
        <v>199</v>
      </c>
      <c r="R248">
        <v>13</v>
      </c>
      <c r="S248">
        <v>26</v>
      </c>
      <c r="T248">
        <v>37594</v>
      </c>
      <c r="U248">
        <v>3</v>
      </c>
      <c r="V248" t="s">
        <v>234</v>
      </c>
      <c r="W248" t="s">
        <v>47</v>
      </c>
      <c r="X248" t="s">
        <v>19</v>
      </c>
      <c r="Y248" t="s">
        <v>30</v>
      </c>
      <c r="Z248" t="s">
        <v>30</v>
      </c>
      <c r="AA248">
        <v>72</v>
      </c>
      <c r="AB248">
        <v>925064</v>
      </c>
      <c r="AC248" t="s">
        <v>281</v>
      </c>
      <c r="AD248" t="s">
        <v>282</v>
      </c>
      <c r="AE248">
        <v>1</v>
      </c>
      <c r="AF248">
        <v>50</v>
      </c>
      <c r="AG248">
        <v>32.86</v>
      </c>
      <c r="AH248">
        <v>0</v>
      </c>
      <c r="AI248">
        <v>0</v>
      </c>
      <c r="AJ248">
        <v>0</v>
      </c>
      <c r="AK248">
        <v>295.74</v>
      </c>
      <c r="AL248">
        <v>1643</v>
      </c>
      <c r="AM248">
        <v>1939</v>
      </c>
      <c r="AN248">
        <v>95</v>
      </c>
      <c r="AO248" t="s">
        <v>237</v>
      </c>
      <c r="AP248" t="s">
        <v>238</v>
      </c>
      <c r="AQ248">
        <v>10</v>
      </c>
      <c r="AR248">
        <v>117</v>
      </c>
      <c r="AS248" t="s">
        <v>94</v>
      </c>
      <c r="AT248">
        <v>65104</v>
      </c>
      <c r="AU248" t="s">
        <v>283</v>
      </c>
      <c r="AV248" t="s">
        <v>95</v>
      </c>
      <c r="AW248" t="s">
        <v>50</v>
      </c>
      <c r="AX248" t="s">
        <v>51</v>
      </c>
      <c r="AY248" t="s">
        <v>239</v>
      </c>
      <c r="AZ248" t="s">
        <v>240</v>
      </c>
      <c r="BA248" t="s">
        <v>485</v>
      </c>
      <c r="BB248">
        <v>0</v>
      </c>
      <c r="BC248">
        <v>0</v>
      </c>
      <c r="BD248" t="s">
        <v>199</v>
      </c>
      <c r="BE248" t="s">
        <v>199</v>
      </c>
      <c r="BF248">
        <v>0</v>
      </c>
      <c r="BG248">
        <v>0</v>
      </c>
      <c r="BH248" t="s">
        <v>200</v>
      </c>
      <c r="BI248">
        <v>13</v>
      </c>
      <c r="BJ248">
        <v>6296911</v>
      </c>
      <c r="BK248" t="s">
        <v>201</v>
      </c>
      <c r="BL248" t="s">
        <v>190</v>
      </c>
    </row>
    <row r="249" spans="1:64" x14ac:dyDescent="0.3">
      <c r="A249">
        <v>254</v>
      </c>
      <c r="B249" t="s">
        <v>186</v>
      </c>
      <c r="C249">
        <v>3</v>
      </c>
      <c r="D249">
        <v>6298537</v>
      </c>
      <c r="E249" t="s">
        <v>297</v>
      </c>
      <c r="F249" t="s">
        <v>188</v>
      </c>
      <c r="G249">
        <v>10127454</v>
      </c>
      <c r="H249" s="35">
        <v>46108</v>
      </c>
      <c r="I249" s="35">
        <v>46108</v>
      </c>
      <c r="J249">
        <v>2026</v>
      </c>
      <c r="K249">
        <v>3</v>
      </c>
      <c r="L249" t="s">
        <v>242</v>
      </c>
      <c r="M249">
        <v>1</v>
      </c>
      <c r="N249" t="s">
        <v>190</v>
      </c>
      <c r="O249" t="s">
        <v>191</v>
      </c>
      <c r="P249" t="s">
        <v>199</v>
      </c>
      <c r="Q249" t="s">
        <v>199</v>
      </c>
      <c r="R249">
        <v>13</v>
      </c>
      <c r="S249">
        <v>27</v>
      </c>
      <c r="T249">
        <v>5474</v>
      </c>
      <c r="U249">
        <v>3</v>
      </c>
      <c r="V249" t="s">
        <v>298</v>
      </c>
      <c r="W249" t="s">
        <v>54</v>
      </c>
      <c r="X249" t="s">
        <v>19</v>
      </c>
      <c r="Y249" t="s">
        <v>55</v>
      </c>
      <c r="Z249" t="s">
        <v>56</v>
      </c>
      <c r="AA249">
        <v>70</v>
      </c>
      <c r="AB249">
        <v>201001</v>
      </c>
      <c r="AC249" t="s">
        <v>248</v>
      </c>
      <c r="AD249" t="s">
        <v>249</v>
      </c>
      <c r="AE249">
        <v>26</v>
      </c>
      <c r="AF249">
        <v>26</v>
      </c>
      <c r="AG249">
        <v>212.8</v>
      </c>
      <c r="AH249">
        <v>0</v>
      </c>
      <c r="AI249">
        <v>0</v>
      </c>
      <c r="AJ249">
        <v>0</v>
      </c>
      <c r="AK249">
        <v>995.9</v>
      </c>
      <c r="AL249">
        <v>5532.8</v>
      </c>
      <c r="AM249">
        <v>6529</v>
      </c>
      <c r="AN249">
        <v>94</v>
      </c>
      <c r="AO249" t="s">
        <v>64</v>
      </c>
      <c r="AP249" t="s">
        <v>66</v>
      </c>
      <c r="AQ249">
        <v>10</v>
      </c>
      <c r="AR249">
        <v>113</v>
      </c>
      <c r="AS249" t="s">
        <v>89</v>
      </c>
      <c r="AT249">
        <v>82101</v>
      </c>
      <c r="AU249" t="s">
        <v>252</v>
      </c>
      <c r="AV249" t="s">
        <v>80</v>
      </c>
      <c r="AW249" t="s">
        <v>50</v>
      </c>
      <c r="AX249" t="s">
        <v>51</v>
      </c>
      <c r="AY249" t="s">
        <v>65</v>
      </c>
      <c r="AZ249" t="s">
        <v>240</v>
      </c>
      <c r="BA249" t="s">
        <v>486</v>
      </c>
      <c r="BB249">
        <v>0</v>
      </c>
      <c r="BC249">
        <v>0</v>
      </c>
      <c r="BD249" t="s">
        <v>199</v>
      </c>
      <c r="BE249" t="s">
        <v>199</v>
      </c>
      <c r="BF249">
        <v>0</v>
      </c>
      <c r="BG249">
        <v>0</v>
      </c>
      <c r="BH249" t="s">
        <v>200</v>
      </c>
      <c r="BI249">
        <v>13</v>
      </c>
      <c r="BJ249">
        <v>6298537</v>
      </c>
      <c r="BK249" t="s">
        <v>201</v>
      </c>
      <c r="BL249" t="s">
        <v>190</v>
      </c>
    </row>
    <row r="250" spans="1:64" x14ac:dyDescent="0.3">
      <c r="A250">
        <v>254</v>
      </c>
      <c r="B250" t="s">
        <v>186</v>
      </c>
      <c r="C250">
        <v>3</v>
      </c>
      <c r="D250">
        <v>6298537</v>
      </c>
      <c r="E250" t="s">
        <v>297</v>
      </c>
      <c r="F250" t="s">
        <v>188</v>
      </c>
      <c r="G250">
        <v>10127454</v>
      </c>
      <c r="H250" s="35">
        <v>46108</v>
      </c>
      <c r="I250" s="35">
        <v>46108</v>
      </c>
      <c r="J250">
        <v>2026</v>
      </c>
      <c r="K250">
        <v>3</v>
      </c>
      <c r="L250" t="s">
        <v>242</v>
      </c>
      <c r="M250">
        <v>1</v>
      </c>
      <c r="N250" t="s">
        <v>203</v>
      </c>
      <c r="O250" t="s">
        <v>191</v>
      </c>
      <c r="P250" t="s">
        <v>199</v>
      </c>
      <c r="Q250" t="s">
        <v>199</v>
      </c>
      <c r="R250">
        <v>13</v>
      </c>
      <c r="S250">
        <v>27</v>
      </c>
      <c r="T250">
        <v>5474</v>
      </c>
      <c r="U250">
        <v>3</v>
      </c>
      <c r="V250" t="s">
        <v>298</v>
      </c>
      <c r="W250" t="s">
        <v>54</v>
      </c>
      <c r="X250" t="s">
        <v>19</v>
      </c>
      <c r="Y250" t="s">
        <v>55</v>
      </c>
      <c r="Z250" t="s">
        <v>56</v>
      </c>
      <c r="AA250">
        <v>70</v>
      </c>
      <c r="AB250">
        <v>930023</v>
      </c>
      <c r="AC250" t="s">
        <v>332</v>
      </c>
      <c r="AD250" t="s">
        <v>333</v>
      </c>
      <c r="AE250">
        <v>0.3</v>
      </c>
      <c r="AF250">
        <v>6</v>
      </c>
      <c r="AG250">
        <v>140.75</v>
      </c>
      <c r="AH250">
        <v>0</v>
      </c>
      <c r="AI250">
        <v>0</v>
      </c>
      <c r="AJ250">
        <v>0</v>
      </c>
      <c r="AK250">
        <v>152.01</v>
      </c>
      <c r="AL250">
        <v>844.5</v>
      </c>
      <c r="AM250">
        <v>997</v>
      </c>
      <c r="AN250">
        <v>94</v>
      </c>
      <c r="AO250" t="s">
        <v>64</v>
      </c>
      <c r="AP250" t="s">
        <v>66</v>
      </c>
      <c r="AQ250">
        <v>10</v>
      </c>
      <c r="AR250">
        <v>208</v>
      </c>
      <c r="AS250" t="s">
        <v>92</v>
      </c>
      <c r="AT250">
        <v>0</v>
      </c>
      <c r="AU250" t="s">
        <v>199</v>
      </c>
      <c r="AV250" t="s">
        <v>82</v>
      </c>
      <c r="AW250" t="s">
        <v>50</v>
      </c>
      <c r="AX250" t="s">
        <v>51</v>
      </c>
      <c r="AY250" t="s">
        <v>65</v>
      </c>
      <c r="AZ250" t="s">
        <v>240</v>
      </c>
      <c r="BA250" t="s">
        <v>486</v>
      </c>
      <c r="BB250">
        <v>0</v>
      </c>
      <c r="BC250">
        <v>0</v>
      </c>
      <c r="BD250" t="s">
        <v>199</v>
      </c>
      <c r="BE250" t="s">
        <v>199</v>
      </c>
      <c r="BF250">
        <v>0</v>
      </c>
      <c r="BG250">
        <v>0</v>
      </c>
      <c r="BH250" t="s">
        <v>200</v>
      </c>
      <c r="BI250">
        <v>13</v>
      </c>
      <c r="BJ250">
        <v>6298537</v>
      </c>
      <c r="BK250" t="s">
        <v>201</v>
      </c>
      <c r="BL250" t="s">
        <v>190</v>
      </c>
    </row>
    <row r="251" spans="1:64" x14ac:dyDescent="0.3">
      <c r="A251">
        <v>254</v>
      </c>
      <c r="B251" t="s">
        <v>186</v>
      </c>
      <c r="C251">
        <v>3</v>
      </c>
      <c r="D251">
        <v>6298550</v>
      </c>
      <c r="E251" t="s">
        <v>297</v>
      </c>
      <c r="F251" t="s">
        <v>188</v>
      </c>
      <c r="G251">
        <v>10127467</v>
      </c>
      <c r="H251" s="35">
        <v>46108</v>
      </c>
      <c r="I251" s="35">
        <v>46108</v>
      </c>
      <c r="J251">
        <v>2026</v>
      </c>
      <c r="K251">
        <v>3</v>
      </c>
      <c r="L251" t="s">
        <v>242</v>
      </c>
      <c r="M251">
        <v>1</v>
      </c>
      <c r="N251" t="s">
        <v>190</v>
      </c>
      <c r="O251" t="s">
        <v>191</v>
      </c>
      <c r="P251" t="s">
        <v>199</v>
      </c>
      <c r="Q251" t="s">
        <v>199</v>
      </c>
      <c r="R251">
        <v>13</v>
      </c>
      <c r="S251">
        <v>27</v>
      </c>
      <c r="T251">
        <v>5474</v>
      </c>
      <c r="U251">
        <v>3</v>
      </c>
      <c r="V251" t="s">
        <v>298</v>
      </c>
      <c r="W251" t="s">
        <v>54</v>
      </c>
      <c r="X251" t="s">
        <v>19</v>
      </c>
      <c r="Y251" t="s">
        <v>55</v>
      </c>
      <c r="Z251" t="s">
        <v>56</v>
      </c>
      <c r="AA251">
        <v>70</v>
      </c>
      <c r="AB251">
        <v>201001</v>
      </c>
      <c r="AC251" t="s">
        <v>248</v>
      </c>
      <c r="AD251" t="s">
        <v>249</v>
      </c>
      <c r="AE251">
        <v>26</v>
      </c>
      <c r="AF251">
        <v>26</v>
      </c>
      <c r="AG251">
        <v>212.8</v>
      </c>
      <c r="AH251">
        <v>0</v>
      </c>
      <c r="AI251">
        <v>0</v>
      </c>
      <c r="AJ251">
        <v>0</v>
      </c>
      <c r="AK251">
        <v>995.9</v>
      </c>
      <c r="AL251">
        <v>5532.8</v>
      </c>
      <c r="AM251">
        <v>6529</v>
      </c>
      <c r="AN251">
        <v>94</v>
      </c>
      <c r="AO251" t="s">
        <v>64</v>
      </c>
      <c r="AP251" t="s">
        <v>66</v>
      </c>
      <c r="AQ251">
        <v>10</v>
      </c>
      <c r="AR251">
        <v>113</v>
      </c>
      <c r="AS251" t="s">
        <v>89</v>
      </c>
      <c r="AT251">
        <v>82101</v>
      </c>
      <c r="AU251" t="s">
        <v>252</v>
      </c>
      <c r="AV251" t="s">
        <v>80</v>
      </c>
      <c r="AW251" t="s">
        <v>50</v>
      </c>
      <c r="AX251" t="s">
        <v>51</v>
      </c>
      <c r="AY251" t="s">
        <v>65</v>
      </c>
      <c r="AZ251" t="s">
        <v>240</v>
      </c>
      <c r="BA251" t="s">
        <v>487</v>
      </c>
      <c r="BB251">
        <v>0</v>
      </c>
      <c r="BC251">
        <v>0</v>
      </c>
      <c r="BD251" t="s">
        <v>199</v>
      </c>
      <c r="BE251" t="s">
        <v>199</v>
      </c>
      <c r="BF251">
        <v>0</v>
      </c>
      <c r="BG251">
        <v>0</v>
      </c>
      <c r="BH251" t="s">
        <v>200</v>
      </c>
      <c r="BI251">
        <v>13</v>
      </c>
      <c r="BJ251">
        <v>6298550</v>
      </c>
      <c r="BK251" t="s">
        <v>201</v>
      </c>
      <c r="BL251" t="s">
        <v>190</v>
      </c>
    </row>
    <row r="252" spans="1:64" x14ac:dyDescent="0.3">
      <c r="A252">
        <v>109</v>
      </c>
      <c r="B252" t="s">
        <v>186</v>
      </c>
      <c r="C252">
        <v>3</v>
      </c>
      <c r="D252">
        <v>6298799</v>
      </c>
      <c r="E252" t="s">
        <v>187</v>
      </c>
      <c r="F252" t="s">
        <v>188</v>
      </c>
      <c r="G252">
        <v>10127716</v>
      </c>
      <c r="H252" s="35">
        <v>46108</v>
      </c>
      <c r="I252" s="35">
        <v>46108</v>
      </c>
      <c r="J252">
        <v>2026</v>
      </c>
      <c r="K252">
        <v>3</v>
      </c>
      <c r="L252" t="s">
        <v>242</v>
      </c>
      <c r="M252">
        <v>1</v>
      </c>
      <c r="N252" t="s">
        <v>190</v>
      </c>
      <c r="O252" t="s">
        <v>191</v>
      </c>
      <c r="P252" t="s">
        <v>199</v>
      </c>
      <c r="Q252" t="s">
        <v>199</v>
      </c>
      <c r="R252">
        <v>13</v>
      </c>
      <c r="S252">
        <v>27</v>
      </c>
      <c r="T252">
        <v>19291</v>
      </c>
      <c r="U252">
        <v>3</v>
      </c>
      <c r="V252" t="s">
        <v>261</v>
      </c>
      <c r="W252" t="s">
        <v>35</v>
      </c>
      <c r="X252" t="s">
        <v>19</v>
      </c>
      <c r="Y252" t="s">
        <v>30</v>
      </c>
      <c r="Z252" t="s">
        <v>30</v>
      </c>
      <c r="AA252">
        <v>8</v>
      </c>
      <c r="AB252">
        <v>800088</v>
      </c>
      <c r="AC252" t="s">
        <v>276</v>
      </c>
      <c r="AD252" t="s">
        <v>277</v>
      </c>
      <c r="AE252">
        <v>1</v>
      </c>
      <c r="AF252">
        <v>8</v>
      </c>
      <c r="AG252">
        <v>364.41</v>
      </c>
      <c r="AH252">
        <v>0</v>
      </c>
      <c r="AI252">
        <v>0</v>
      </c>
      <c r="AJ252">
        <v>0</v>
      </c>
      <c r="AK252">
        <v>524.75</v>
      </c>
      <c r="AL252">
        <v>2915.28</v>
      </c>
      <c r="AM252">
        <v>3440</v>
      </c>
      <c r="AN252">
        <v>4</v>
      </c>
      <c r="AO252" t="s">
        <v>264</v>
      </c>
      <c r="AP252" t="s">
        <v>265</v>
      </c>
      <c r="AQ252">
        <v>10</v>
      </c>
      <c r="AR252">
        <v>105</v>
      </c>
      <c r="AS252" t="s">
        <v>85</v>
      </c>
      <c r="AT252">
        <v>677001</v>
      </c>
      <c r="AU252" t="s">
        <v>273</v>
      </c>
      <c r="AV252" t="s">
        <v>86</v>
      </c>
      <c r="AW252" t="s">
        <v>23</v>
      </c>
      <c r="AX252" t="s">
        <v>24</v>
      </c>
      <c r="AY252" t="s">
        <v>267</v>
      </c>
      <c r="AZ252" t="s">
        <v>197</v>
      </c>
      <c r="BA252" t="s">
        <v>488</v>
      </c>
      <c r="BB252">
        <v>0</v>
      </c>
      <c r="BC252">
        <v>0</v>
      </c>
      <c r="BD252" t="s">
        <v>199</v>
      </c>
      <c r="BE252" t="s">
        <v>199</v>
      </c>
      <c r="BF252">
        <v>0</v>
      </c>
      <c r="BG252">
        <v>0</v>
      </c>
      <c r="BH252" t="s">
        <v>200</v>
      </c>
      <c r="BI252">
        <v>13</v>
      </c>
      <c r="BJ252">
        <v>6298799</v>
      </c>
      <c r="BK252" t="s">
        <v>201</v>
      </c>
      <c r="BL252" t="s">
        <v>190</v>
      </c>
    </row>
    <row r="253" spans="1:64" x14ac:dyDescent="0.3">
      <c r="A253">
        <v>119</v>
      </c>
      <c r="B253" t="s">
        <v>186</v>
      </c>
      <c r="C253">
        <v>3</v>
      </c>
      <c r="D253">
        <v>6299139</v>
      </c>
      <c r="E253" t="s">
        <v>489</v>
      </c>
      <c r="F253" t="s">
        <v>188</v>
      </c>
      <c r="G253">
        <v>10128056</v>
      </c>
      <c r="H253" s="35">
        <v>46108</v>
      </c>
      <c r="I253" s="35">
        <v>46108</v>
      </c>
      <c r="J253">
        <v>2026</v>
      </c>
      <c r="K253">
        <v>3</v>
      </c>
      <c r="L253" t="s">
        <v>242</v>
      </c>
      <c r="M253">
        <v>1</v>
      </c>
      <c r="N253" t="s">
        <v>190</v>
      </c>
      <c r="O253" t="s">
        <v>191</v>
      </c>
      <c r="P253" t="s">
        <v>199</v>
      </c>
      <c r="Q253" t="s">
        <v>199</v>
      </c>
      <c r="R253">
        <v>13</v>
      </c>
      <c r="S253">
        <v>27</v>
      </c>
      <c r="T253">
        <v>36908</v>
      </c>
      <c r="U253">
        <v>3</v>
      </c>
      <c r="V253" t="s">
        <v>215</v>
      </c>
      <c r="W253" t="s">
        <v>67</v>
      </c>
      <c r="X253" t="s">
        <v>28</v>
      </c>
      <c r="Y253" t="s">
        <v>30</v>
      </c>
      <c r="Z253" t="s">
        <v>30</v>
      </c>
      <c r="AA253">
        <v>11</v>
      </c>
      <c r="AB253">
        <v>611053</v>
      </c>
      <c r="AC253" t="s">
        <v>229</v>
      </c>
      <c r="AD253" t="s">
        <v>230</v>
      </c>
      <c r="AE253">
        <v>1</v>
      </c>
      <c r="AF253">
        <v>24</v>
      </c>
      <c r="AG253">
        <v>20</v>
      </c>
      <c r="AH253">
        <v>0</v>
      </c>
      <c r="AI253">
        <v>0</v>
      </c>
      <c r="AJ253">
        <v>0</v>
      </c>
      <c r="AK253">
        <v>86.4</v>
      </c>
      <c r="AL253">
        <v>480</v>
      </c>
      <c r="AM253">
        <v>566</v>
      </c>
      <c r="AN253">
        <v>199</v>
      </c>
      <c r="AO253" t="s">
        <v>218</v>
      </c>
      <c r="AP253" t="s">
        <v>219</v>
      </c>
      <c r="AQ253">
        <v>10</v>
      </c>
      <c r="AR253">
        <v>114</v>
      </c>
      <c r="AS253" t="s">
        <v>79</v>
      </c>
      <c r="AT253">
        <v>66102</v>
      </c>
      <c r="AU253" t="s">
        <v>227</v>
      </c>
      <c r="AV253" t="s">
        <v>80</v>
      </c>
      <c r="AW253" t="s">
        <v>70</v>
      </c>
      <c r="AX253" t="s">
        <v>71</v>
      </c>
      <c r="AY253" t="s">
        <v>220</v>
      </c>
      <c r="AZ253" t="s">
        <v>221</v>
      </c>
      <c r="BA253" t="s">
        <v>490</v>
      </c>
      <c r="BB253">
        <v>0</v>
      </c>
      <c r="BC253">
        <v>0</v>
      </c>
      <c r="BD253" t="s">
        <v>199</v>
      </c>
      <c r="BE253" t="s">
        <v>199</v>
      </c>
      <c r="BF253">
        <v>0</v>
      </c>
      <c r="BG253">
        <v>0</v>
      </c>
      <c r="BH253" t="s">
        <v>200</v>
      </c>
      <c r="BI253">
        <v>13</v>
      </c>
      <c r="BJ253">
        <v>6299139</v>
      </c>
      <c r="BK253" t="s">
        <v>201</v>
      </c>
      <c r="BL253" t="s">
        <v>190</v>
      </c>
    </row>
    <row r="254" spans="1:64" x14ac:dyDescent="0.3">
      <c r="A254">
        <v>119</v>
      </c>
      <c r="B254" t="s">
        <v>186</v>
      </c>
      <c r="C254">
        <v>3</v>
      </c>
      <c r="D254">
        <v>6299139</v>
      </c>
      <c r="E254" t="s">
        <v>489</v>
      </c>
      <c r="F254" t="s">
        <v>188</v>
      </c>
      <c r="G254">
        <v>10128056</v>
      </c>
      <c r="H254" s="35">
        <v>46108</v>
      </c>
      <c r="I254" s="35">
        <v>46108</v>
      </c>
      <c r="J254">
        <v>2026</v>
      </c>
      <c r="K254">
        <v>3</v>
      </c>
      <c r="L254" t="s">
        <v>242</v>
      </c>
      <c r="M254">
        <v>1</v>
      </c>
      <c r="N254" t="s">
        <v>190</v>
      </c>
      <c r="O254" t="s">
        <v>191</v>
      </c>
      <c r="P254" t="s">
        <v>199</v>
      </c>
      <c r="Q254" t="s">
        <v>199</v>
      </c>
      <c r="R254">
        <v>13</v>
      </c>
      <c r="S254">
        <v>27</v>
      </c>
      <c r="T254">
        <v>36908</v>
      </c>
      <c r="U254">
        <v>3</v>
      </c>
      <c r="V254" t="s">
        <v>215</v>
      </c>
      <c r="W254" t="s">
        <v>67</v>
      </c>
      <c r="X254" t="s">
        <v>28</v>
      </c>
      <c r="Y254" t="s">
        <v>30</v>
      </c>
      <c r="Z254" t="s">
        <v>30</v>
      </c>
      <c r="AA254">
        <v>11</v>
      </c>
      <c r="AB254">
        <v>611055</v>
      </c>
      <c r="AC254" t="s">
        <v>300</v>
      </c>
      <c r="AD254" t="s">
        <v>301</v>
      </c>
      <c r="AE254">
        <v>2</v>
      </c>
      <c r="AF254">
        <v>8</v>
      </c>
      <c r="AG254">
        <v>78.319999999999993</v>
      </c>
      <c r="AH254">
        <v>0</v>
      </c>
      <c r="AI254">
        <v>0</v>
      </c>
      <c r="AJ254">
        <v>0</v>
      </c>
      <c r="AK254">
        <v>112.78</v>
      </c>
      <c r="AL254">
        <v>626.55999999999995</v>
      </c>
      <c r="AM254">
        <v>739</v>
      </c>
      <c r="AN254">
        <v>199</v>
      </c>
      <c r="AO254" t="s">
        <v>218</v>
      </c>
      <c r="AP254" t="s">
        <v>219</v>
      </c>
      <c r="AQ254">
        <v>10</v>
      </c>
      <c r="AR254">
        <v>114</v>
      </c>
      <c r="AS254" t="s">
        <v>79</v>
      </c>
      <c r="AT254">
        <v>66102</v>
      </c>
      <c r="AU254" t="s">
        <v>227</v>
      </c>
      <c r="AV254" t="s">
        <v>80</v>
      </c>
      <c r="AW254" t="s">
        <v>70</v>
      </c>
      <c r="AX254" t="s">
        <v>71</v>
      </c>
      <c r="AY254" t="s">
        <v>220</v>
      </c>
      <c r="AZ254" t="s">
        <v>221</v>
      </c>
      <c r="BA254" t="s">
        <v>490</v>
      </c>
      <c r="BB254">
        <v>0</v>
      </c>
      <c r="BC254">
        <v>0</v>
      </c>
      <c r="BD254" t="s">
        <v>199</v>
      </c>
      <c r="BE254" t="s">
        <v>199</v>
      </c>
      <c r="BF254">
        <v>0</v>
      </c>
      <c r="BG254">
        <v>0</v>
      </c>
      <c r="BH254" t="s">
        <v>200</v>
      </c>
      <c r="BI254">
        <v>13</v>
      </c>
      <c r="BJ254">
        <v>6299139</v>
      </c>
      <c r="BK254" t="s">
        <v>201</v>
      </c>
      <c r="BL254" t="s">
        <v>190</v>
      </c>
    </row>
    <row r="255" spans="1:64" x14ac:dyDescent="0.3">
      <c r="A255">
        <v>119</v>
      </c>
      <c r="B255" t="s">
        <v>186</v>
      </c>
      <c r="C255">
        <v>3</v>
      </c>
      <c r="D255">
        <v>6299139</v>
      </c>
      <c r="E255" t="s">
        <v>489</v>
      </c>
      <c r="F255" t="s">
        <v>188</v>
      </c>
      <c r="G255">
        <v>10128056</v>
      </c>
      <c r="H255" s="35">
        <v>46108</v>
      </c>
      <c r="I255" s="35">
        <v>46108</v>
      </c>
      <c r="J255">
        <v>2026</v>
      </c>
      <c r="K255">
        <v>3</v>
      </c>
      <c r="L255" t="s">
        <v>242</v>
      </c>
      <c r="M255">
        <v>1</v>
      </c>
      <c r="N255" t="s">
        <v>190</v>
      </c>
      <c r="O255" t="s">
        <v>191</v>
      </c>
      <c r="P255" t="s">
        <v>199</v>
      </c>
      <c r="Q255" t="s">
        <v>199</v>
      </c>
      <c r="R255">
        <v>13</v>
      </c>
      <c r="S255">
        <v>27</v>
      </c>
      <c r="T255">
        <v>36908</v>
      </c>
      <c r="U255">
        <v>3</v>
      </c>
      <c r="V255" t="s">
        <v>215</v>
      </c>
      <c r="W255" t="s">
        <v>67</v>
      </c>
      <c r="X255" t="s">
        <v>28</v>
      </c>
      <c r="Y255" t="s">
        <v>30</v>
      </c>
      <c r="Z255" t="s">
        <v>30</v>
      </c>
      <c r="AA255">
        <v>11</v>
      </c>
      <c r="AB255">
        <v>800089</v>
      </c>
      <c r="AC255" t="s">
        <v>295</v>
      </c>
      <c r="AD255" t="s">
        <v>296</v>
      </c>
      <c r="AE255">
        <v>1</v>
      </c>
      <c r="AF255">
        <v>8</v>
      </c>
      <c r="AG255">
        <v>364.41</v>
      </c>
      <c r="AH255">
        <v>0</v>
      </c>
      <c r="AI255">
        <v>0</v>
      </c>
      <c r="AJ255">
        <v>0</v>
      </c>
      <c r="AK255">
        <v>524.75</v>
      </c>
      <c r="AL255">
        <v>2915.28</v>
      </c>
      <c r="AM255">
        <v>3440</v>
      </c>
      <c r="AN255">
        <v>199</v>
      </c>
      <c r="AO255" t="s">
        <v>218</v>
      </c>
      <c r="AP255" t="s">
        <v>219</v>
      </c>
      <c r="AQ255">
        <v>10</v>
      </c>
      <c r="AR255">
        <v>105</v>
      </c>
      <c r="AS255" t="s">
        <v>85</v>
      </c>
      <c r="AT255">
        <v>677001</v>
      </c>
      <c r="AU255" t="s">
        <v>273</v>
      </c>
      <c r="AV255" t="s">
        <v>86</v>
      </c>
      <c r="AW255" t="s">
        <v>70</v>
      </c>
      <c r="AX255" t="s">
        <v>71</v>
      </c>
      <c r="AY255" t="s">
        <v>220</v>
      </c>
      <c r="AZ255" t="s">
        <v>221</v>
      </c>
      <c r="BA255" t="s">
        <v>490</v>
      </c>
      <c r="BB255">
        <v>0</v>
      </c>
      <c r="BC255">
        <v>0</v>
      </c>
      <c r="BD255" t="s">
        <v>199</v>
      </c>
      <c r="BE255" t="s">
        <v>199</v>
      </c>
      <c r="BF255">
        <v>0</v>
      </c>
      <c r="BG255">
        <v>0</v>
      </c>
      <c r="BH255" t="s">
        <v>200</v>
      </c>
      <c r="BI255">
        <v>13</v>
      </c>
      <c r="BJ255">
        <v>6299139</v>
      </c>
      <c r="BK255" t="s">
        <v>201</v>
      </c>
      <c r="BL255" t="s">
        <v>190</v>
      </c>
    </row>
    <row r="256" spans="1:64" x14ac:dyDescent="0.3">
      <c r="A256">
        <v>119</v>
      </c>
      <c r="B256" t="s">
        <v>186</v>
      </c>
      <c r="C256">
        <v>3</v>
      </c>
      <c r="D256">
        <v>6299139</v>
      </c>
      <c r="E256" t="s">
        <v>489</v>
      </c>
      <c r="F256" t="s">
        <v>188</v>
      </c>
      <c r="G256">
        <v>10128056</v>
      </c>
      <c r="H256" s="35">
        <v>46108</v>
      </c>
      <c r="I256" s="35">
        <v>46108</v>
      </c>
      <c r="J256">
        <v>2026</v>
      </c>
      <c r="K256">
        <v>3</v>
      </c>
      <c r="L256" t="s">
        <v>242</v>
      </c>
      <c r="M256">
        <v>1</v>
      </c>
      <c r="N256" t="s">
        <v>190</v>
      </c>
      <c r="O256" t="s">
        <v>191</v>
      </c>
      <c r="P256" t="s">
        <v>199</v>
      </c>
      <c r="Q256" t="s">
        <v>199</v>
      </c>
      <c r="R256">
        <v>13</v>
      </c>
      <c r="S256">
        <v>27</v>
      </c>
      <c r="T256">
        <v>36908</v>
      </c>
      <c r="U256">
        <v>3</v>
      </c>
      <c r="V256" t="s">
        <v>215</v>
      </c>
      <c r="W256" t="s">
        <v>67</v>
      </c>
      <c r="X256" t="s">
        <v>28</v>
      </c>
      <c r="Y256" t="s">
        <v>30</v>
      </c>
      <c r="Z256" t="s">
        <v>30</v>
      </c>
      <c r="AA256">
        <v>11</v>
      </c>
      <c r="AB256">
        <v>101038</v>
      </c>
      <c r="AC256" t="s">
        <v>271</v>
      </c>
      <c r="AD256" t="s">
        <v>272</v>
      </c>
      <c r="AE256">
        <v>1</v>
      </c>
      <c r="AF256">
        <v>10</v>
      </c>
      <c r="AG256">
        <v>364.41</v>
      </c>
      <c r="AH256">
        <v>0</v>
      </c>
      <c r="AI256">
        <v>0</v>
      </c>
      <c r="AJ256">
        <v>0</v>
      </c>
      <c r="AK256">
        <v>655.94</v>
      </c>
      <c r="AL256">
        <v>3644.1</v>
      </c>
      <c r="AM256">
        <v>4300</v>
      </c>
      <c r="AN256">
        <v>199</v>
      </c>
      <c r="AO256" t="s">
        <v>218</v>
      </c>
      <c r="AP256" t="s">
        <v>219</v>
      </c>
      <c r="AQ256">
        <v>10</v>
      </c>
      <c r="AR256">
        <v>105</v>
      </c>
      <c r="AS256" t="s">
        <v>85</v>
      </c>
      <c r="AT256">
        <v>677001</v>
      </c>
      <c r="AU256" t="s">
        <v>273</v>
      </c>
      <c r="AV256" t="s">
        <v>86</v>
      </c>
      <c r="AW256" t="s">
        <v>70</v>
      </c>
      <c r="AX256" t="s">
        <v>71</v>
      </c>
      <c r="AY256" t="s">
        <v>220</v>
      </c>
      <c r="AZ256" t="s">
        <v>221</v>
      </c>
      <c r="BA256" t="s">
        <v>490</v>
      </c>
      <c r="BB256">
        <v>0</v>
      </c>
      <c r="BC256">
        <v>0</v>
      </c>
      <c r="BD256" t="s">
        <v>199</v>
      </c>
      <c r="BE256" t="s">
        <v>199</v>
      </c>
      <c r="BF256">
        <v>0</v>
      </c>
      <c r="BG256">
        <v>0</v>
      </c>
      <c r="BH256" t="s">
        <v>200</v>
      </c>
      <c r="BI256">
        <v>13</v>
      </c>
      <c r="BJ256">
        <v>6299139</v>
      </c>
      <c r="BK256" t="s">
        <v>201</v>
      </c>
      <c r="BL256" t="s">
        <v>190</v>
      </c>
    </row>
    <row r="257" spans="1:64" x14ac:dyDescent="0.3">
      <c r="A257">
        <v>242</v>
      </c>
      <c r="B257" t="s">
        <v>186</v>
      </c>
      <c r="C257">
        <v>3</v>
      </c>
      <c r="D257">
        <v>6301011</v>
      </c>
      <c r="E257" t="s">
        <v>275</v>
      </c>
      <c r="F257" t="s">
        <v>188</v>
      </c>
      <c r="G257">
        <v>10129928</v>
      </c>
      <c r="H257" s="35">
        <v>46109</v>
      </c>
      <c r="I257" s="35">
        <v>46109</v>
      </c>
      <c r="J257">
        <v>2026</v>
      </c>
      <c r="K257">
        <v>3</v>
      </c>
      <c r="L257" t="s">
        <v>242</v>
      </c>
      <c r="M257">
        <v>1</v>
      </c>
      <c r="N257" t="s">
        <v>190</v>
      </c>
      <c r="O257" t="s">
        <v>191</v>
      </c>
      <c r="P257" t="s">
        <v>199</v>
      </c>
      <c r="Q257" t="s">
        <v>199</v>
      </c>
      <c r="R257">
        <v>13</v>
      </c>
      <c r="S257">
        <v>28</v>
      </c>
      <c r="T257">
        <v>14167</v>
      </c>
      <c r="U257">
        <v>3</v>
      </c>
      <c r="V257" t="s">
        <v>208</v>
      </c>
      <c r="W257" t="s">
        <v>18</v>
      </c>
      <c r="X257" t="s">
        <v>19</v>
      </c>
      <c r="Y257" t="s">
        <v>20</v>
      </c>
      <c r="Z257" t="s">
        <v>20</v>
      </c>
      <c r="AA257">
        <v>91</v>
      </c>
      <c r="AB257">
        <v>800088</v>
      </c>
      <c r="AC257" t="s">
        <v>276</v>
      </c>
      <c r="AD257" t="s">
        <v>277</v>
      </c>
      <c r="AE257">
        <v>0.625</v>
      </c>
      <c r="AF257">
        <v>5</v>
      </c>
      <c r="AG257">
        <v>364.41</v>
      </c>
      <c r="AH257">
        <v>0</v>
      </c>
      <c r="AI257">
        <v>0</v>
      </c>
      <c r="AJ257">
        <v>0</v>
      </c>
      <c r="AK257">
        <v>327.97</v>
      </c>
      <c r="AL257">
        <v>1822.05</v>
      </c>
      <c r="AM257">
        <v>2150</v>
      </c>
      <c r="AN257">
        <v>3</v>
      </c>
      <c r="AO257" t="s">
        <v>403</v>
      </c>
      <c r="AP257" t="s">
        <v>404</v>
      </c>
      <c r="AQ257">
        <v>10</v>
      </c>
      <c r="AR257">
        <v>105</v>
      </c>
      <c r="AS257" t="s">
        <v>85</v>
      </c>
      <c r="AT257">
        <v>677001</v>
      </c>
      <c r="AU257" t="s">
        <v>273</v>
      </c>
      <c r="AV257" t="s">
        <v>86</v>
      </c>
      <c r="AW257" t="s">
        <v>23</v>
      </c>
      <c r="AX257" t="s">
        <v>24</v>
      </c>
      <c r="AY257" t="s">
        <v>405</v>
      </c>
      <c r="AZ257" t="s">
        <v>197</v>
      </c>
      <c r="BA257" t="s">
        <v>491</v>
      </c>
      <c r="BB257">
        <v>0</v>
      </c>
      <c r="BC257">
        <v>0</v>
      </c>
      <c r="BD257" t="s">
        <v>199</v>
      </c>
      <c r="BE257" t="s">
        <v>199</v>
      </c>
      <c r="BF257">
        <v>0</v>
      </c>
      <c r="BG257">
        <v>0</v>
      </c>
      <c r="BH257" t="s">
        <v>200</v>
      </c>
      <c r="BI257">
        <v>13</v>
      </c>
      <c r="BJ257">
        <v>6301011</v>
      </c>
      <c r="BK257" t="s">
        <v>201</v>
      </c>
      <c r="BL257" t="s">
        <v>190</v>
      </c>
    </row>
    <row r="258" spans="1:64" x14ac:dyDescent="0.3">
      <c r="A258">
        <v>242</v>
      </c>
      <c r="B258" t="s">
        <v>186</v>
      </c>
      <c r="C258">
        <v>3</v>
      </c>
      <c r="D258">
        <v>6301011</v>
      </c>
      <c r="E258" t="s">
        <v>275</v>
      </c>
      <c r="F258" t="s">
        <v>188</v>
      </c>
      <c r="G258">
        <v>10129928</v>
      </c>
      <c r="H258" s="35">
        <v>46109</v>
      </c>
      <c r="I258" s="35">
        <v>46109</v>
      </c>
      <c r="J258">
        <v>2026</v>
      </c>
      <c r="K258">
        <v>3</v>
      </c>
      <c r="L258" t="s">
        <v>242</v>
      </c>
      <c r="M258">
        <v>1</v>
      </c>
      <c r="N258" t="s">
        <v>190</v>
      </c>
      <c r="O258" t="s">
        <v>191</v>
      </c>
      <c r="P258" t="s">
        <v>199</v>
      </c>
      <c r="Q258" t="s">
        <v>199</v>
      </c>
      <c r="R258">
        <v>13</v>
      </c>
      <c r="S258">
        <v>28</v>
      </c>
      <c r="T258">
        <v>14167</v>
      </c>
      <c r="U258">
        <v>3</v>
      </c>
      <c r="V258" t="s">
        <v>208</v>
      </c>
      <c r="W258" t="s">
        <v>18</v>
      </c>
      <c r="X258" t="s">
        <v>19</v>
      </c>
      <c r="Y258" t="s">
        <v>20</v>
      </c>
      <c r="Z258" t="s">
        <v>20</v>
      </c>
      <c r="AA258">
        <v>91</v>
      </c>
      <c r="AB258">
        <v>101038</v>
      </c>
      <c r="AC258" t="s">
        <v>271</v>
      </c>
      <c r="AD258" t="s">
        <v>272</v>
      </c>
      <c r="AE258">
        <v>0.5</v>
      </c>
      <c r="AF258">
        <v>5</v>
      </c>
      <c r="AG258">
        <v>364.41</v>
      </c>
      <c r="AH258">
        <v>0</v>
      </c>
      <c r="AI258">
        <v>0</v>
      </c>
      <c r="AJ258">
        <v>0</v>
      </c>
      <c r="AK258">
        <v>327.97</v>
      </c>
      <c r="AL258">
        <v>1822.05</v>
      </c>
      <c r="AM258">
        <v>2150</v>
      </c>
      <c r="AN258">
        <v>3</v>
      </c>
      <c r="AO258" t="s">
        <v>403</v>
      </c>
      <c r="AP258" t="s">
        <v>404</v>
      </c>
      <c r="AQ258">
        <v>10</v>
      </c>
      <c r="AR258">
        <v>105</v>
      </c>
      <c r="AS258" t="s">
        <v>85</v>
      </c>
      <c r="AT258">
        <v>677001</v>
      </c>
      <c r="AU258" t="s">
        <v>273</v>
      </c>
      <c r="AV258" t="s">
        <v>86</v>
      </c>
      <c r="AW258" t="s">
        <v>23</v>
      </c>
      <c r="AX258" t="s">
        <v>24</v>
      </c>
      <c r="AY258" t="s">
        <v>405</v>
      </c>
      <c r="AZ258" t="s">
        <v>197</v>
      </c>
      <c r="BA258" t="s">
        <v>491</v>
      </c>
      <c r="BB258">
        <v>0</v>
      </c>
      <c r="BC258">
        <v>0</v>
      </c>
      <c r="BD258" t="s">
        <v>199</v>
      </c>
      <c r="BE258" t="s">
        <v>199</v>
      </c>
      <c r="BF258">
        <v>0</v>
      </c>
      <c r="BG258">
        <v>0</v>
      </c>
      <c r="BH258" t="s">
        <v>200</v>
      </c>
      <c r="BI258">
        <v>13</v>
      </c>
      <c r="BJ258">
        <v>6301011</v>
      </c>
      <c r="BK258" t="s">
        <v>201</v>
      </c>
      <c r="BL258" t="s">
        <v>190</v>
      </c>
    </row>
    <row r="259" spans="1:64" x14ac:dyDescent="0.3">
      <c r="A259">
        <v>223</v>
      </c>
      <c r="B259" t="s">
        <v>186</v>
      </c>
      <c r="C259">
        <v>3</v>
      </c>
      <c r="D259">
        <v>6303298</v>
      </c>
      <c r="E259" t="s">
        <v>202</v>
      </c>
      <c r="F259" t="s">
        <v>188</v>
      </c>
      <c r="G259">
        <v>10132215</v>
      </c>
      <c r="H259" s="35">
        <v>46110</v>
      </c>
      <c r="I259" s="35">
        <v>46110</v>
      </c>
      <c r="J259">
        <v>2026</v>
      </c>
      <c r="K259">
        <v>3</v>
      </c>
      <c r="L259" t="s">
        <v>242</v>
      </c>
      <c r="M259">
        <v>1</v>
      </c>
      <c r="N259" t="s">
        <v>190</v>
      </c>
      <c r="O259" t="s">
        <v>191</v>
      </c>
      <c r="P259" t="s">
        <v>199</v>
      </c>
      <c r="Q259" t="s">
        <v>199</v>
      </c>
      <c r="R259">
        <v>14</v>
      </c>
      <c r="S259">
        <v>29</v>
      </c>
      <c r="T259">
        <v>12191</v>
      </c>
      <c r="U259">
        <v>3</v>
      </c>
      <c r="V259" t="s">
        <v>204</v>
      </c>
      <c r="W259" t="s">
        <v>27</v>
      </c>
      <c r="X259" t="s">
        <v>28</v>
      </c>
      <c r="Y259" t="s">
        <v>20</v>
      </c>
      <c r="Z259" t="s">
        <v>20</v>
      </c>
      <c r="AA259">
        <v>91</v>
      </c>
      <c r="AB259">
        <v>201001</v>
      </c>
      <c r="AC259" t="s">
        <v>248</v>
      </c>
      <c r="AD259" t="s">
        <v>249</v>
      </c>
      <c r="AE259">
        <v>30</v>
      </c>
      <c r="AF259">
        <v>30</v>
      </c>
      <c r="AG259">
        <v>212.8</v>
      </c>
      <c r="AH259">
        <v>0</v>
      </c>
      <c r="AI259">
        <v>0</v>
      </c>
      <c r="AJ259">
        <v>0</v>
      </c>
      <c r="AK259">
        <v>1149.1199999999999</v>
      </c>
      <c r="AL259">
        <v>6384</v>
      </c>
      <c r="AM259">
        <v>7533</v>
      </c>
      <c r="AN259">
        <v>91</v>
      </c>
      <c r="AO259" t="s">
        <v>22</v>
      </c>
      <c r="AP259" t="s">
        <v>26</v>
      </c>
      <c r="AQ259">
        <v>10</v>
      </c>
      <c r="AR259">
        <v>113</v>
      </c>
      <c r="AS259" t="s">
        <v>89</v>
      </c>
      <c r="AT259">
        <v>82101</v>
      </c>
      <c r="AU259" t="s">
        <v>252</v>
      </c>
      <c r="AV259" t="s">
        <v>80</v>
      </c>
      <c r="AW259" t="s">
        <v>23</v>
      </c>
      <c r="AX259" t="s">
        <v>24</v>
      </c>
      <c r="AY259" t="s">
        <v>25</v>
      </c>
      <c r="AZ259" t="s">
        <v>197</v>
      </c>
      <c r="BA259" t="s">
        <v>492</v>
      </c>
      <c r="BB259">
        <v>0</v>
      </c>
      <c r="BC259">
        <v>0</v>
      </c>
      <c r="BD259" t="s">
        <v>199</v>
      </c>
      <c r="BE259" t="s">
        <v>199</v>
      </c>
      <c r="BF259">
        <v>0</v>
      </c>
      <c r="BG259">
        <v>0</v>
      </c>
      <c r="BH259" t="s">
        <v>200</v>
      </c>
      <c r="BI259">
        <v>13</v>
      </c>
      <c r="BJ259">
        <v>6303298</v>
      </c>
      <c r="BK259" t="s">
        <v>201</v>
      </c>
      <c r="BL259" t="s">
        <v>190</v>
      </c>
    </row>
    <row r="260" spans="1:64" x14ac:dyDescent="0.3">
      <c r="A260">
        <v>109</v>
      </c>
      <c r="B260" t="s">
        <v>186</v>
      </c>
      <c r="C260">
        <v>3</v>
      </c>
      <c r="D260">
        <v>6304592</v>
      </c>
      <c r="E260" t="s">
        <v>187</v>
      </c>
      <c r="F260" t="s">
        <v>188</v>
      </c>
      <c r="G260">
        <v>10133509</v>
      </c>
      <c r="H260" s="35">
        <v>46111</v>
      </c>
      <c r="I260" s="35">
        <v>46111</v>
      </c>
      <c r="J260">
        <v>2026</v>
      </c>
      <c r="K260">
        <v>3</v>
      </c>
      <c r="L260" t="s">
        <v>242</v>
      </c>
      <c r="M260">
        <v>1</v>
      </c>
      <c r="N260" t="s">
        <v>190</v>
      </c>
      <c r="O260" t="s">
        <v>191</v>
      </c>
      <c r="P260" t="s">
        <v>199</v>
      </c>
      <c r="Q260" t="s">
        <v>199</v>
      </c>
      <c r="R260">
        <v>14</v>
      </c>
      <c r="S260">
        <v>30</v>
      </c>
      <c r="T260">
        <v>19291</v>
      </c>
      <c r="U260">
        <v>3</v>
      </c>
      <c r="V260" t="s">
        <v>261</v>
      </c>
      <c r="W260" t="s">
        <v>35</v>
      </c>
      <c r="X260" t="s">
        <v>19</v>
      </c>
      <c r="Y260" t="s">
        <v>30</v>
      </c>
      <c r="Z260" t="s">
        <v>30</v>
      </c>
      <c r="AA260">
        <v>8</v>
      </c>
      <c r="AB260">
        <v>201001</v>
      </c>
      <c r="AC260" t="s">
        <v>248</v>
      </c>
      <c r="AD260" t="s">
        <v>249</v>
      </c>
      <c r="AE260">
        <v>25</v>
      </c>
      <c r="AF260">
        <v>25</v>
      </c>
      <c r="AG260">
        <v>212.8</v>
      </c>
      <c r="AH260">
        <v>0</v>
      </c>
      <c r="AI260">
        <v>0</v>
      </c>
      <c r="AJ260">
        <v>0</v>
      </c>
      <c r="AK260">
        <v>957.6</v>
      </c>
      <c r="AL260">
        <v>5320</v>
      </c>
      <c r="AM260">
        <v>6278</v>
      </c>
      <c r="AN260">
        <v>4</v>
      </c>
      <c r="AO260" t="s">
        <v>264</v>
      </c>
      <c r="AP260" t="s">
        <v>265</v>
      </c>
      <c r="AQ260">
        <v>10</v>
      </c>
      <c r="AR260">
        <v>113</v>
      </c>
      <c r="AS260" t="s">
        <v>89</v>
      </c>
      <c r="AT260">
        <v>82101</v>
      </c>
      <c r="AU260" t="s">
        <v>252</v>
      </c>
      <c r="AV260" t="s">
        <v>80</v>
      </c>
      <c r="AW260" t="s">
        <v>23</v>
      </c>
      <c r="AX260" t="s">
        <v>24</v>
      </c>
      <c r="AY260" t="s">
        <v>267</v>
      </c>
      <c r="AZ260" t="s">
        <v>197</v>
      </c>
      <c r="BA260" t="s">
        <v>493</v>
      </c>
      <c r="BB260">
        <v>0</v>
      </c>
      <c r="BC260">
        <v>0</v>
      </c>
      <c r="BD260" t="s">
        <v>199</v>
      </c>
      <c r="BE260" t="s">
        <v>199</v>
      </c>
      <c r="BF260">
        <v>0</v>
      </c>
      <c r="BG260">
        <v>0</v>
      </c>
      <c r="BH260" t="s">
        <v>200</v>
      </c>
      <c r="BI260">
        <v>13</v>
      </c>
      <c r="BJ260">
        <v>6304592</v>
      </c>
      <c r="BK260" t="s">
        <v>201</v>
      </c>
      <c r="BL260" t="s">
        <v>190</v>
      </c>
    </row>
    <row r="261" spans="1:64" x14ac:dyDescent="0.3">
      <c r="A261">
        <v>242</v>
      </c>
      <c r="B261" t="s">
        <v>186</v>
      </c>
      <c r="C261">
        <v>3</v>
      </c>
      <c r="D261">
        <v>6304936</v>
      </c>
      <c r="E261" t="s">
        <v>275</v>
      </c>
      <c r="F261" t="s">
        <v>188</v>
      </c>
      <c r="G261">
        <v>10133853</v>
      </c>
      <c r="H261" s="35">
        <v>46111</v>
      </c>
      <c r="I261" s="35">
        <v>46111</v>
      </c>
      <c r="J261">
        <v>2026</v>
      </c>
      <c r="K261">
        <v>3</v>
      </c>
      <c r="L261" t="s">
        <v>242</v>
      </c>
      <c r="M261">
        <v>1</v>
      </c>
      <c r="N261" t="s">
        <v>190</v>
      </c>
      <c r="O261" t="s">
        <v>191</v>
      </c>
      <c r="P261" t="s">
        <v>199</v>
      </c>
      <c r="Q261" t="s">
        <v>199</v>
      </c>
      <c r="R261">
        <v>14</v>
      </c>
      <c r="S261">
        <v>30</v>
      </c>
      <c r="T261">
        <v>14167</v>
      </c>
      <c r="U261">
        <v>3</v>
      </c>
      <c r="V261" t="s">
        <v>208</v>
      </c>
      <c r="W261" t="s">
        <v>18</v>
      </c>
      <c r="X261" t="s">
        <v>19</v>
      </c>
      <c r="Y261" t="s">
        <v>20</v>
      </c>
      <c r="Z261" t="s">
        <v>20</v>
      </c>
      <c r="AA261">
        <v>91</v>
      </c>
      <c r="AB261">
        <v>101038</v>
      </c>
      <c r="AC261" t="s">
        <v>271</v>
      </c>
      <c r="AD261" t="s">
        <v>272</v>
      </c>
      <c r="AE261">
        <v>4</v>
      </c>
      <c r="AF261">
        <v>40</v>
      </c>
      <c r="AG261">
        <v>360.77</v>
      </c>
      <c r="AH261">
        <v>0</v>
      </c>
      <c r="AI261">
        <v>0</v>
      </c>
      <c r="AJ261">
        <v>0</v>
      </c>
      <c r="AK261">
        <v>2597.54</v>
      </c>
      <c r="AL261">
        <v>14430.8</v>
      </c>
      <c r="AM261">
        <v>17028</v>
      </c>
      <c r="AN261">
        <v>3</v>
      </c>
      <c r="AO261" t="s">
        <v>403</v>
      </c>
      <c r="AP261" t="s">
        <v>404</v>
      </c>
      <c r="AQ261">
        <v>10</v>
      </c>
      <c r="AR261">
        <v>105</v>
      </c>
      <c r="AS261" t="s">
        <v>85</v>
      </c>
      <c r="AT261">
        <v>677001</v>
      </c>
      <c r="AU261" t="s">
        <v>273</v>
      </c>
      <c r="AV261" t="s">
        <v>86</v>
      </c>
      <c r="AW261" t="s">
        <v>23</v>
      </c>
      <c r="AX261" t="s">
        <v>24</v>
      </c>
      <c r="AY261" t="s">
        <v>405</v>
      </c>
      <c r="AZ261" t="s">
        <v>197</v>
      </c>
      <c r="BA261" t="s">
        <v>494</v>
      </c>
      <c r="BB261">
        <v>0</v>
      </c>
      <c r="BC261">
        <v>0</v>
      </c>
      <c r="BD261" t="s">
        <v>199</v>
      </c>
      <c r="BE261" t="s">
        <v>199</v>
      </c>
      <c r="BF261">
        <v>0</v>
      </c>
      <c r="BG261">
        <v>0</v>
      </c>
      <c r="BH261" t="s">
        <v>200</v>
      </c>
      <c r="BI261">
        <v>13</v>
      </c>
      <c r="BJ261">
        <v>6304936</v>
      </c>
      <c r="BK261" t="s">
        <v>201</v>
      </c>
      <c r="BL261" t="s">
        <v>190</v>
      </c>
    </row>
    <row r="262" spans="1:64" x14ac:dyDescent="0.3">
      <c r="A262">
        <v>242</v>
      </c>
      <c r="B262" t="s">
        <v>186</v>
      </c>
      <c r="C262">
        <v>3</v>
      </c>
      <c r="D262">
        <v>6307904</v>
      </c>
      <c r="E262" t="s">
        <v>275</v>
      </c>
      <c r="F262" t="s">
        <v>188</v>
      </c>
      <c r="G262">
        <v>10136821</v>
      </c>
      <c r="H262" s="35">
        <v>46112</v>
      </c>
      <c r="I262" s="35">
        <v>46112</v>
      </c>
      <c r="J262">
        <v>2026</v>
      </c>
      <c r="K262">
        <v>3</v>
      </c>
      <c r="L262" t="s">
        <v>242</v>
      </c>
      <c r="M262">
        <v>1</v>
      </c>
      <c r="N262" t="s">
        <v>190</v>
      </c>
      <c r="O262" t="s">
        <v>191</v>
      </c>
      <c r="P262" t="s">
        <v>199</v>
      </c>
      <c r="Q262" t="s">
        <v>199</v>
      </c>
      <c r="R262">
        <v>14</v>
      </c>
      <c r="S262">
        <v>31</v>
      </c>
      <c r="T262">
        <v>2280</v>
      </c>
      <c r="U262">
        <v>3</v>
      </c>
      <c r="V262" t="s">
        <v>193</v>
      </c>
      <c r="W262" t="s">
        <v>29</v>
      </c>
      <c r="X262" t="s">
        <v>19</v>
      </c>
      <c r="Y262" t="s">
        <v>30</v>
      </c>
      <c r="Z262" t="s">
        <v>30</v>
      </c>
      <c r="AA262">
        <v>14</v>
      </c>
      <c r="AB262">
        <v>101034</v>
      </c>
      <c r="AC262" t="s">
        <v>329</v>
      </c>
      <c r="AD262" t="s">
        <v>330</v>
      </c>
      <c r="AE262">
        <v>0.1</v>
      </c>
      <c r="AF262">
        <v>1</v>
      </c>
      <c r="AG262">
        <v>233.05</v>
      </c>
      <c r="AH262">
        <v>0</v>
      </c>
      <c r="AI262">
        <v>0</v>
      </c>
      <c r="AJ262">
        <v>0</v>
      </c>
      <c r="AK262">
        <v>41.95</v>
      </c>
      <c r="AL262">
        <v>233.05</v>
      </c>
      <c r="AM262">
        <v>275</v>
      </c>
      <c r="AN262">
        <v>93</v>
      </c>
      <c r="AO262" t="s">
        <v>250</v>
      </c>
      <c r="AP262" t="s">
        <v>251</v>
      </c>
      <c r="AQ262">
        <v>10</v>
      </c>
      <c r="AR262">
        <v>136</v>
      </c>
      <c r="AS262" t="s">
        <v>87</v>
      </c>
      <c r="AT262">
        <v>677001</v>
      </c>
      <c r="AU262" t="s">
        <v>273</v>
      </c>
      <c r="AV262" t="s">
        <v>86</v>
      </c>
      <c r="AW262" t="s">
        <v>23</v>
      </c>
      <c r="AX262" t="s">
        <v>24</v>
      </c>
      <c r="AY262" t="s">
        <v>253</v>
      </c>
      <c r="AZ262" t="s">
        <v>197</v>
      </c>
      <c r="BA262" t="s">
        <v>495</v>
      </c>
      <c r="BB262">
        <v>0</v>
      </c>
      <c r="BC262">
        <v>0</v>
      </c>
      <c r="BD262" t="s">
        <v>199</v>
      </c>
      <c r="BE262" t="s">
        <v>199</v>
      </c>
      <c r="BF262">
        <v>0</v>
      </c>
      <c r="BG262">
        <v>0</v>
      </c>
      <c r="BH262" t="s">
        <v>200</v>
      </c>
      <c r="BI262">
        <v>13</v>
      </c>
      <c r="BJ262">
        <v>6307904</v>
      </c>
      <c r="BK262" t="s">
        <v>201</v>
      </c>
      <c r="BL262" t="s">
        <v>190</v>
      </c>
    </row>
    <row r="263" spans="1:64" x14ac:dyDescent="0.3">
      <c r="A263">
        <v>242</v>
      </c>
      <c r="B263" t="s">
        <v>186</v>
      </c>
      <c r="C263">
        <v>3</v>
      </c>
      <c r="D263">
        <v>6307904</v>
      </c>
      <c r="E263" t="s">
        <v>275</v>
      </c>
      <c r="F263" t="s">
        <v>188</v>
      </c>
      <c r="G263">
        <v>10136821</v>
      </c>
      <c r="H263" s="35">
        <v>46112</v>
      </c>
      <c r="I263" s="35">
        <v>46112</v>
      </c>
      <c r="J263">
        <v>2026</v>
      </c>
      <c r="K263">
        <v>3</v>
      </c>
      <c r="L263" t="s">
        <v>242</v>
      </c>
      <c r="M263">
        <v>1</v>
      </c>
      <c r="N263" t="s">
        <v>190</v>
      </c>
      <c r="O263" t="s">
        <v>191</v>
      </c>
      <c r="P263" t="s">
        <v>199</v>
      </c>
      <c r="Q263" t="s">
        <v>199</v>
      </c>
      <c r="R263">
        <v>14</v>
      </c>
      <c r="S263">
        <v>31</v>
      </c>
      <c r="T263">
        <v>2280</v>
      </c>
      <c r="U263">
        <v>3</v>
      </c>
      <c r="V263" t="s">
        <v>193</v>
      </c>
      <c r="W263" t="s">
        <v>29</v>
      </c>
      <c r="X263" t="s">
        <v>19</v>
      </c>
      <c r="Y263" t="s">
        <v>30</v>
      </c>
      <c r="Z263" t="s">
        <v>30</v>
      </c>
      <c r="AA263">
        <v>14</v>
      </c>
      <c r="AB263">
        <v>201001</v>
      </c>
      <c r="AC263" t="s">
        <v>248</v>
      </c>
      <c r="AD263" t="s">
        <v>249</v>
      </c>
      <c r="AE263">
        <v>3</v>
      </c>
      <c r="AF263">
        <v>3</v>
      </c>
      <c r="AG263">
        <v>221.67</v>
      </c>
      <c r="AH263">
        <v>0</v>
      </c>
      <c r="AI263">
        <v>0</v>
      </c>
      <c r="AJ263">
        <v>0</v>
      </c>
      <c r="AK263">
        <v>119.7</v>
      </c>
      <c r="AL263">
        <v>665.01</v>
      </c>
      <c r="AM263">
        <v>785</v>
      </c>
      <c r="AN263">
        <v>93</v>
      </c>
      <c r="AO263" t="s">
        <v>250</v>
      </c>
      <c r="AP263" t="s">
        <v>251</v>
      </c>
      <c r="AQ263">
        <v>10</v>
      </c>
      <c r="AR263">
        <v>113</v>
      </c>
      <c r="AS263" t="s">
        <v>89</v>
      </c>
      <c r="AT263">
        <v>82101</v>
      </c>
      <c r="AU263" t="s">
        <v>252</v>
      </c>
      <c r="AV263" t="s">
        <v>80</v>
      </c>
      <c r="AW263" t="s">
        <v>23</v>
      </c>
      <c r="AX263" t="s">
        <v>24</v>
      </c>
      <c r="AY263" t="s">
        <v>253</v>
      </c>
      <c r="AZ263" t="s">
        <v>197</v>
      </c>
      <c r="BA263" t="s">
        <v>495</v>
      </c>
      <c r="BB263">
        <v>0</v>
      </c>
      <c r="BC263">
        <v>0</v>
      </c>
      <c r="BD263" t="s">
        <v>199</v>
      </c>
      <c r="BE263" t="s">
        <v>199</v>
      </c>
      <c r="BF263">
        <v>0</v>
      </c>
      <c r="BG263">
        <v>0</v>
      </c>
      <c r="BH263" t="s">
        <v>200</v>
      </c>
      <c r="BI263">
        <v>13</v>
      </c>
      <c r="BJ263">
        <v>6307904</v>
      </c>
      <c r="BK263" t="s">
        <v>201</v>
      </c>
      <c r="BL263" t="s">
        <v>190</v>
      </c>
    </row>
    <row r="264" spans="1:64" x14ac:dyDescent="0.3">
      <c r="A264">
        <v>242</v>
      </c>
      <c r="B264" t="s">
        <v>186</v>
      </c>
      <c r="C264">
        <v>3</v>
      </c>
      <c r="D264">
        <v>6307934</v>
      </c>
      <c r="E264" t="s">
        <v>275</v>
      </c>
      <c r="F264" t="s">
        <v>188</v>
      </c>
      <c r="G264">
        <v>10136851</v>
      </c>
      <c r="H264" s="35">
        <v>46112</v>
      </c>
      <c r="I264" s="35">
        <v>46112</v>
      </c>
      <c r="J264">
        <v>2026</v>
      </c>
      <c r="K264">
        <v>3</v>
      </c>
      <c r="L264" t="s">
        <v>242</v>
      </c>
      <c r="M264">
        <v>1</v>
      </c>
      <c r="N264" t="s">
        <v>190</v>
      </c>
      <c r="O264" t="s">
        <v>191</v>
      </c>
      <c r="P264" t="s">
        <v>199</v>
      </c>
      <c r="Q264" t="s">
        <v>199</v>
      </c>
      <c r="R264">
        <v>14</v>
      </c>
      <c r="S264">
        <v>31</v>
      </c>
      <c r="T264">
        <v>19291</v>
      </c>
      <c r="U264">
        <v>3</v>
      </c>
      <c r="V264" t="s">
        <v>261</v>
      </c>
      <c r="W264" t="s">
        <v>35</v>
      </c>
      <c r="X264" t="s">
        <v>19</v>
      </c>
      <c r="Y264" t="s">
        <v>30</v>
      </c>
      <c r="Z264" t="s">
        <v>30</v>
      </c>
      <c r="AA264">
        <v>8</v>
      </c>
      <c r="AB264">
        <v>611053</v>
      </c>
      <c r="AC264" t="s">
        <v>229</v>
      </c>
      <c r="AD264" t="s">
        <v>230</v>
      </c>
      <c r="AE264">
        <v>1</v>
      </c>
      <c r="AF264">
        <v>24</v>
      </c>
      <c r="AG264">
        <v>20</v>
      </c>
      <c r="AH264">
        <v>0</v>
      </c>
      <c r="AI264">
        <v>0</v>
      </c>
      <c r="AJ264">
        <v>0</v>
      </c>
      <c r="AK264">
        <v>86.4</v>
      </c>
      <c r="AL264">
        <v>480</v>
      </c>
      <c r="AM264">
        <v>566</v>
      </c>
      <c r="AN264">
        <v>4</v>
      </c>
      <c r="AO264" t="s">
        <v>264</v>
      </c>
      <c r="AP264" t="s">
        <v>265</v>
      </c>
      <c r="AQ264">
        <v>10</v>
      </c>
      <c r="AR264">
        <v>114</v>
      </c>
      <c r="AS264" t="s">
        <v>79</v>
      </c>
      <c r="AT264">
        <v>66102</v>
      </c>
      <c r="AU264" t="s">
        <v>227</v>
      </c>
      <c r="AV264" t="s">
        <v>80</v>
      </c>
      <c r="AW264" t="s">
        <v>23</v>
      </c>
      <c r="AX264" t="s">
        <v>24</v>
      </c>
      <c r="AY264" t="s">
        <v>267</v>
      </c>
      <c r="AZ264" t="s">
        <v>197</v>
      </c>
      <c r="BA264" t="s">
        <v>496</v>
      </c>
      <c r="BB264">
        <v>0</v>
      </c>
      <c r="BC264">
        <v>0</v>
      </c>
      <c r="BD264" t="s">
        <v>199</v>
      </c>
      <c r="BE264" t="s">
        <v>199</v>
      </c>
      <c r="BF264">
        <v>0</v>
      </c>
      <c r="BG264">
        <v>0</v>
      </c>
      <c r="BH264" t="s">
        <v>200</v>
      </c>
      <c r="BI264">
        <v>13</v>
      </c>
      <c r="BJ264">
        <v>6307934</v>
      </c>
      <c r="BK264" t="s">
        <v>201</v>
      </c>
      <c r="BL264" t="s">
        <v>190</v>
      </c>
    </row>
    <row r="265" spans="1:64" x14ac:dyDescent="0.3">
      <c r="A265">
        <v>242</v>
      </c>
      <c r="B265" t="s">
        <v>186</v>
      </c>
      <c r="C265">
        <v>3</v>
      </c>
      <c r="D265">
        <v>6307934</v>
      </c>
      <c r="E265" t="s">
        <v>275</v>
      </c>
      <c r="F265" t="s">
        <v>188</v>
      </c>
      <c r="G265">
        <v>10136851</v>
      </c>
      <c r="H265" s="35">
        <v>46112</v>
      </c>
      <c r="I265" s="35">
        <v>46112</v>
      </c>
      <c r="J265">
        <v>2026</v>
      </c>
      <c r="K265">
        <v>3</v>
      </c>
      <c r="L265" t="s">
        <v>242</v>
      </c>
      <c r="M265">
        <v>1</v>
      </c>
      <c r="N265" t="s">
        <v>190</v>
      </c>
      <c r="O265" t="s">
        <v>191</v>
      </c>
      <c r="P265" t="s">
        <v>199</v>
      </c>
      <c r="Q265" t="s">
        <v>199</v>
      </c>
      <c r="R265">
        <v>14</v>
      </c>
      <c r="S265">
        <v>31</v>
      </c>
      <c r="T265">
        <v>19291</v>
      </c>
      <c r="U265">
        <v>3</v>
      </c>
      <c r="V265" t="s">
        <v>261</v>
      </c>
      <c r="W265" t="s">
        <v>35</v>
      </c>
      <c r="X265" t="s">
        <v>19</v>
      </c>
      <c r="Y265" t="s">
        <v>30</v>
      </c>
      <c r="Z265" t="s">
        <v>30</v>
      </c>
      <c r="AA265">
        <v>8</v>
      </c>
      <c r="AB265">
        <v>611055</v>
      </c>
      <c r="AC265" t="s">
        <v>300</v>
      </c>
      <c r="AD265" t="s">
        <v>301</v>
      </c>
      <c r="AE265">
        <v>3</v>
      </c>
      <c r="AF265">
        <v>12</v>
      </c>
      <c r="AG265">
        <v>78.319999999999993</v>
      </c>
      <c r="AH265">
        <v>0</v>
      </c>
      <c r="AI265">
        <v>0</v>
      </c>
      <c r="AJ265">
        <v>0</v>
      </c>
      <c r="AK265">
        <v>169.17</v>
      </c>
      <c r="AL265">
        <v>939.84</v>
      </c>
      <c r="AM265">
        <v>1109</v>
      </c>
      <c r="AN265">
        <v>4</v>
      </c>
      <c r="AO265" t="s">
        <v>264</v>
      </c>
      <c r="AP265" t="s">
        <v>265</v>
      </c>
      <c r="AQ265">
        <v>10</v>
      </c>
      <c r="AR265">
        <v>114</v>
      </c>
      <c r="AS265" t="s">
        <v>79</v>
      </c>
      <c r="AT265">
        <v>66102</v>
      </c>
      <c r="AU265" t="s">
        <v>227</v>
      </c>
      <c r="AV265" t="s">
        <v>80</v>
      </c>
      <c r="AW265" t="s">
        <v>23</v>
      </c>
      <c r="AX265" t="s">
        <v>24</v>
      </c>
      <c r="AY265" t="s">
        <v>267</v>
      </c>
      <c r="AZ265" t="s">
        <v>197</v>
      </c>
      <c r="BA265" t="s">
        <v>496</v>
      </c>
      <c r="BB265">
        <v>0</v>
      </c>
      <c r="BC265">
        <v>0</v>
      </c>
      <c r="BD265" t="s">
        <v>199</v>
      </c>
      <c r="BE265" t="s">
        <v>199</v>
      </c>
      <c r="BF265">
        <v>0</v>
      </c>
      <c r="BG265">
        <v>0</v>
      </c>
      <c r="BH265" t="s">
        <v>200</v>
      </c>
      <c r="BI265">
        <v>13</v>
      </c>
      <c r="BJ265">
        <v>6307934</v>
      </c>
      <c r="BK265" t="s">
        <v>201</v>
      </c>
      <c r="BL265" t="s">
        <v>190</v>
      </c>
    </row>
    <row r="266" spans="1:64" x14ac:dyDescent="0.3">
      <c r="A266">
        <v>264</v>
      </c>
      <c r="B266" t="s">
        <v>186</v>
      </c>
      <c r="C266">
        <v>3</v>
      </c>
      <c r="D266">
        <v>6308273</v>
      </c>
      <c r="E266" t="s">
        <v>233</v>
      </c>
      <c r="F266" t="s">
        <v>188</v>
      </c>
      <c r="G266">
        <v>10137190</v>
      </c>
      <c r="H266" s="35">
        <v>46112</v>
      </c>
      <c r="I266" s="35">
        <v>46112</v>
      </c>
      <c r="J266">
        <v>2026</v>
      </c>
      <c r="K266">
        <v>3</v>
      </c>
      <c r="L266" t="s">
        <v>242</v>
      </c>
      <c r="M266">
        <v>1</v>
      </c>
      <c r="N266" t="s">
        <v>190</v>
      </c>
      <c r="O266" t="s">
        <v>191</v>
      </c>
      <c r="P266" t="s">
        <v>199</v>
      </c>
      <c r="Q266" t="s">
        <v>199</v>
      </c>
      <c r="R266">
        <v>14</v>
      </c>
      <c r="S266">
        <v>31</v>
      </c>
      <c r="T266">
        <v>37594</v>
      </c>
      <c r="U266">
        <v>3</v>
      </c>
      <c r="V266" t="s">
        <v>234</v>
      </c>
      <c r="W266" t="s">
        <v>47</v>
      </c>
      <c r="X266" t="s">
        <v>19</v>
      </c>
      <c r="Y266" t="s">
        <v>30</v>
      </c>
      <c r="Z266" t="s">
        <v>30</v>
      </c>
      <c r="AA266">
        <v>72</v>
      </c>
      <c r="AB266">
        <v>621004</v>
      </c>
      <c r="AC266" t="s">
        <v>235</v>
      </c>
      <c r="AD266" t="s">
        <v>236</v>
      </c>
      <c r="AE266">
        <v>1</v>
      </c>
      <c r="AF266">
        <v>12</v>
      </c>
      <c r="AG266">
        <v>265.58999999999997</v>
      </c>
      <c r="AH266">
        <v>0</v>
      </c>
      <c r="AI266">
        <v>0</v>
      </c>
      <c r="AJ266">
        <v>0</v>
      </c>
      <c r="AK266">
        <v>573.66999999999996</v>
      </c>
      <c r="AL266">
        <v>3187.08</v>
      </c>
      <c r="AM266">
        <v>3761</v>
      </c>
      <c r="AN266">
        <v>95</v>
      </c>
      <c r="AO266" t="s">
        <v>237</v>
      </c>
      <c r="AP266" t="s">
        <v>238</v>
      </c>
      <c r="AQ266">
        <v>10</v>
      </c>
      <c r="AR266">
        <v>138</v>
      </c>
      <c r="AS266" t="s">
        <v>90</v>
      </c>
      <c r="AT266">
        <v>73101</v>
      </c>
      <c r="AU266" t="s">
        <v>211</v>
      </c>
      <c r="AV266" t="s">
        <v>91</v>
      </c>
      <c r="AW266" t="s">
        <v>50</v>
      </c>
      <c r="AX266" t="s">
        <v>51</v>
      </c>
      <c r="AY266" t="s">
        <v>239</v>
      </c>
      <c r="AZ266" t="s">
        <v>240</v>
      </c>
      <c r="BA266" t="s">
        <v>497</v>
      </c>
      <c r="BB266">
        <v>0</v>
      </c>
      <c r="BC266">
        <v>0</v>
      </c>
      <c r="BD266" t="s">
        <v>199</v>
      </c>
      <c r="BE266" t="s">
        <v>199</v>
      </c>
      <c r="BF266">
        <v>0</v>
      </c>
      <c r="BG266">
        <v>0</v>
      </c>
      <c r="BH266" t="s">
        <v>200</v>
      </c>
      <c r="BI266">
        <v>13</v>
      </c>
      <c r="BJ266">
        <v>6308273</v>
      </c>
      <c r="BK266" t="s">
        <v>201</v>
      </c>
      <c r="BL266" t="s">
        <v>190</v>
      </c>
    </row>
    <row r="267" spans="1:64" x14ac:dyDescent="0.3">
      <c r="A267">
        <v>264</v>
      </c>
      <c r="B267" t="s">
        <v>186</v>
      </c>
      <c r="C267">
        <v>3</v>
      </c>
      <c r="D267">
        <v>6308273</v>
      </c>
      <c r="E267" t="s">
        <v>233</v>
      </c>
      <c r="F267" t="s">
        <v>188</v>
      </c>
      <c r="G267">
        <v>10137190</v>
      </c>
      <c r="H267" s="35">
        <v>46112</v>
      </c>
      <c r="I267" s="35">
        <v>46112</v>
      </c>
      <c r="J267">
        <v>2026</v>
      </c>
      <c r="K267">
        <v>3</v>
      </c>
      <c r="L267" t="s">
        <v>242</v>
      </c>
      <c r="M267">
        <v>1</v>
      </c>
      <c r="N267" t="s">
        <v>190</v>
      </c>
      <c r="O267" t="s">
        <v>191</v>
      </c>
      <c r="P267" t="s">
        <v>199</v>
      </c>
      <c r="Q267" t="s">
        <v>199</v>
      </c>
      <c r="R267">
        <v>14</v>
      </c>
      <c r="S267">
        <v>31</v>
      </c>
      <c r="T267">
        <v>37594</v>
      </c>
      <c r="U267">
        <v>3</v>
      </c>
      <c r="V267" t="s">
        <v>234</v>
      </c>
      <c r="W267" t="s">
        <v>47</v>
      </c>
      <c r="X267" t="s">
        <v>19</v>
      </c>
      <c r="Y267" t="s">
        <v>30</v>
      </c>
      <c r="Z267" t="s">
        <v>30</v>
      </c>
      <c r="AA267">
        <v>72</v>
      </c>
      <c r="AB267">
        <v>103001</v>
      </c>
      <c r="AC267" t="s">
        <v>286</v>
      </c>
      <c r="AD267" t="s">
        <v>287</v>
      </c>
      <c r="AE267">
        <v>1</v>
      </c>
      <c r="AF267">
        <v>48</v>
      </c>
      <c r="AG267">
        <v>21.36</v>
      </c>
      <c r="AH267">
        <v>0</v>
      </c>
      <c r="AI267">
        <v>0</v>
      </c>
      <c r="AJ267">
        <v>0</v>
      </c>
      <c r="AK267">
        <v>184.55</v>
      </c>
      <c r="AL267">
        <v>1025.28</v>
      </c>
      <c r="AM267">
        <v>1210</v>
      </c>
      <c r="AN267">
        <v>95</v>
      </c>
      <c r="AO267" t="s">
        <v>237</v>
      </c>
      <c r="AP267" t="s">
        <v>238</v>
      </c>
      <c r="AQ267">
        <v>10</v>
      </c>
      <c r="AR267">
        <v>107</v>
      </c>
      <c r="AS267" t="s">
        <v>96</v>
      </c>
      <c r="AT267">
        <v>6770651</v>
      </c>
      <c r="AU267" t="s">
        <v>288</v>
      </c>
      <c r="AV267" t="s">
        <v>86</v>
      </c>
      <c r="AW267" t="s">
        <v>50</v>
      </c>
      <c r="AX267" t="s">
        <v>51</v>
      </c>
      <c r="AY267" t="s">
        <v>239</v>
      </c>
      <c r="AZ267" t="s">
        <v>240</v>
      </c>
      <c r="BA267" t="s">
        <v>497</v>
      </c>
      <c r="BB267">
        <v>0</v>
      </c>
      <c r="BC267">
        <v>0</v>
      </c>
      <c r="BD267" t="s">
        <v>199</v>
      </c>
      <c r="BE267" t="s">
        <v>199</v>
      </c>
      <c r="BF267">
        <v>0</v>
      </c>
      <c r="BG267">
        <v>0</v>
      </c>
      <c r="BH267" t="s">
        <v>200</v>
      </c>
      <c r="BI267">
        <v>13</v>
      </c>
      <c r="BJ267">
        <v>6308273</v>
      </c>
      <c r="BK267" t="s">
        <v>201</v>
      </c>
      <c r="BL267" t="s">
        <v>190</v>
      </c>
    </row>
    <row r="268" spans="1:64" x14ac:dyDescent="0.3">
      <c r="A268">
        <v>264</v>
      </c>
      <c r="B268" t="s">
        <v>186</v>
      </c>
      <c r="C268">
        <v>3</v>
      </c>
      <c r="D268">
        <v>6308273</v>
      </c>
      <c r="E268" t="s">
        <v>233</v>
      </c>
      <c r="F268" t="s">
        <v>188</v>
      </c>
      <c r="G268">
        <v>10137190</v>
      </c>
      <c r="H268" s="35">
        <v>46112</v>
      </c>
      <c r="I268" s="35">
        <v>46112</v>
      </c>
      <c r="J268">
        <v>2026</v>
      </c>
      <c r="K268">
        <v>3</v>
      </c>
      <c r="L268" t="s">
        <v>242</v>
      </c>
      <c r="M268">
        <v>1</v>
      </c>
      <c r="N268" t="s">
        <v>190</v>
      </c>
      <c r="O268" t="s">
        <v>191</v>
      </c>
      <c r="P268" t="s">
        <v>199</v>
      </c>
      <c r="Q268" t="s">
        <v>199</v>
      </c>
      <c r="R268">
        <v>14</v>
      </c>
      <c r="S268">
        <v>31</v>
      </c>
      <c r="T268">
        <v>37594</v>
      </c>
      <c r="U268">
        <v>3</v>
      </c>
      <c r="V268" t="s">
        <v>234</v>
      </c>
      <c r="W268" t="s">
        <v>47</v>
      </c>
      <c r="X268" t="s">
        <v>19</v>
      </c>
      <c r="Y268" t="s">
        <v>30</v>
      </c>
      <c r="Z268" t="s">
        <v>30</v>
      </c>
      <c r="AA268">
        <v>72</v>
      </c>
      <c r="AB268">
        <v>103001</v>
      </c>
      <c r="AC268" t="s">
        <v>286</v>
      </c>
      <c r="AD268" t="s">
        <v>287</v>
      </c>
      <c r="AE268">
        <v>0.16666666666666</v>
      </c>
      <c r="AF268">
        <v>8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95</v>
      </c>
      <c r="AO268" t="s">
        <v>237</v>
      </c>
      <c r="AP268" t="s">
        <v>238</v>
      </c>
      <c r="AQ268">
        <v>10</v>
      </c>
      <c r="AR268">
        <v>107</v>
      </c>
      <c r="AS268" t="s">
        <v>96</v>
      </c>
      <c r="AT268">
        <v>6770651</v>
      </c>
      <c r="AU268" t="s">
        <v>288</v>
      </c>
      <c r="AV268" t="s">
        <v>86</v>
      </c>
      <c r="AW268" t="s">
        <v>50</v>
      </c>
      <c r="AX268" t="s">
        <v>51</v>
      </c>
      <c r="AY268" t="s">
        <v>239</v>
      </c>
      <c r="AZ268" t="s">
        <v>240</v>
      </c>
      <c r="BA268" t="s">
        <v>497</v>
      </c>
      <c r="BB268">
        <v>0</v>
      </c>
      <c r="BC268">
        <v>1</v>
      </c>
      <c r="BD268">
        <v>3438</v>
      </c>
      <c r="BE268" t="s">
        <v>390</v>
      </c>
      <c r="BF268">
        <v>0</v>
      </c>
      <c r="BG268">
        <v>0</v>
      </c>
      <c r="BH268" t="s">
        <v>200</v>
      </c>
      <c r="BI268">
        <v>13</v>
      </c>
      <c r="BJ268">
        <v>6308273</v>
      </c>
      <c r="BK268" t="s">
        <v>201</v>
      </c>
      <c r="BL268" t="s">
        <v>190</v>
      </c>
    </row>
    <row r="269" spans="1:64" x14ac:dyDescent="0.3">
      <c r="A269">
        <v>254</v>
      </c>
      <c r="B269" t="s">
        <v>186</v>
      </c>
      <c r="C269">
        <v>3</v>
      </c>
      <c r="D269">
        <v>6308335</v>
      </c>
      <c r="E269" t="s">
        <v>297</v>
      </c>
      <c r="F269" t="s">
        <v>188</v>
      </c>
      <c r="G269">
        <v>10137252</v>
      </c>
      <c r="H269" s="35">
        <v>46112</v>
      </c>
      <c r="I269" s="35">
        <v>46112</v>
      </c>
      <c r="J269">
        <v>2026</v>
      </c>
      <c r="K269">
        <v>3</v>
      </c>
      <c r="L269" t="s">
        <v>242</v>
      </c>
      <c r="M269">
        <v>1</v>
      </c>
      <c r="N269" t="s">
        <v>203</v>
      </c>
      <c r="O269" t="s">
        <v>191</v>
      </c>
      <c r="P269" t="s">
        <v>199</v>
      </c>
      <c r="Q269" t="s">
        <v>199</v>
      </c>
      <c r="R269">
        <v>14</v>
      </c>
      <c r="S269">
        <v>31</v>
      </c>
      <c r="T269">
        <v>5474</v>
      </c>
      <c r="U269">
        <v>3</v>
      </c>
      <c r="V269" t="s">
        <v>298</v>
      </c>
      <c r="W269" t="s">
        <v>54</v>
      </c>
      <c r="X269" t="s">
        <v>19</v>
      </c>
      <c r="Y269" t="s">
        <v>55</v>
      </c>
      <c r="Z269" t="s">
        <v>56</v>
      </c>
      <c r="AA269">
        <v>70</v>
      </c>
      <c r="AB269">
        <v>925050</v>
      </c>
      <c r="AC269" t="s">
        <v>479</v>
      </c>
      <c r="AD269" t="s">
        <v>480</v>
      </c>
      <c r="AE269">
        <v>1</v>
      </c>
      <c r="AF269">
        <v>24</v>
      </c>
      <c r="AG269">
        <v>73.45</v>
      </c>
      <c r="AH269">
        <v>0</v>
      </c>
      <c r="AI269">
        <v>0</v>
      </c>
      <c r="AJ269">
        <v>0</v>
      </c>
      <c r="AK269">
        <v>317.3</v>
      </c>
      <c r="AL269">
        <v>1762.8</v>
      </c>
      <c r="AM269">
        <v>2080</v>
      </c>
      <c r="AN269">
        <v>94</v>
      </c>
      <c r="AO269" t="s">
        <v>64</v>
      </c>
      <c r="AP269" t="s">
        <v>66</v>
      </c>
      <c r="AQ269">
        <v>10</v>
      </c>
      <c r="AR269">
        <v>117</v>
      </c>
      <c r="AS269" t="s">
        <v>94</v>
      </c>
      <c r="AT269">
        <v>65104</v>
      </c>
      <c r="AU269" t="s">
        <v>283</v>
      </c>
      <c r="AV269" t="s">
        <v>95</v>
      </c>
      <c r="AW269" t="s">
        <v>50</v>
      </c>
      <c r="AX269" t="s">
        <v>51</v>
      </c>
      <c r="AY269" t="s">
        <v>65</v>
      </c>
      <c r="AZ269" t="s">
        <v>240</v>
      </c>
      <c r="BA269" t="s">
        <v>498</v>
      </c>
      <c r="BB269">
        <v>0</v>
      </c>
      <c r="BC269">
        <v>0</v>
      </c>
      <c r="BD269" t="s">
        <v>199</v>
      </c>
      <c r="BE269" t="s">
        <v>199</v>
      </c>
      <c r="BF269">
        <v>0</v>
      </c>
      <c r="BG269">
        <v>0</v>
      </c>
      <c r="BH269" t="s">
        <v>200</v>
      </c>
      <c r="BI269">
        <v>13</v>
      </c>
      <c r="BJ269">
        <v>6308335</v>
      </c>
      <c r="BK269" t="s">
        <v>201</v>
      </c>
      <c r="BL269" t="s">
        <v>190</v>
      </c>
    </row>
    <row r="270" spans="1:64" x14ac:dyDescent="0.3">
      <c r="A270">
        <v>254</v>
      </c>
      <c r="B270" t="s">
        <v>186</v>
      </c>
      <c r="C270">
        <v>3</v>
      </c>
      <c r="D270">
        <v>6308335</v>
      </c>
      <c r="E270" t="s">
        <v>297</v>
      </c>
      <c r="F270" t="s">
        <v>188</v>
      </c>
      <c r="G270">
        <v>10137252</v>
      </c>
      <c r="H270" s="35">
        <v>46112</v>
      </c>
      <c r="I270" s="35">
        <v>46112</v>
      </c>
      <c r="J270">
        <v>2026</v>
      </c>
      <c r="K270">
        <v>3</v>
      </c>
      <c r="L270" t="s">
        <v>242</v>
      </c>
      <c r="M270">
        <v>1</v>
      </c>
      <c r="N270" t="s">
        <v>203</v>
      </c>
      <c r="O270" t="s">
        <v>191</v>
      </c>
      <c r="P270" t="s">
        <v>199</v>
      </c>
      <c r="Q270" t="s">
        <v>199</v>
      </c>
      <c r="R270">
        <v>14</v>
      </c>
      <c r="S270">
        <v>31</v>
      </c>
      <c r="T270">
        <v>5474</v>
      </c>
      <c r="U270">
        <v>3</v>
      </c>
      <c r="V270" t="s">
        <v>298</v>
      </c>
      <c r="W270" t="s">
        <v>54</v>
      </c>
      <c r="X270" t="s">
        <v>19</v>
      </c>
      <c r="Y270" t="s">
        <v>55</v>
      </c>
      <c r="Z270" t="s">
        <v>56</v>
      </c>
      <c r="AA270">
        <v>70</v>
      </c>
      <c r="AB270">
        <v>930023</v>
      </c>
      <c r="AC270" t="s">
        <v>332</v>
      </c>
      <c r="AD270" t="s">
        <v>333</v>
      </c>
      <c r="AE270">
        <v>0.3</v>
      </c>
      <c r="AF270">
        <v>6</v>
      </c>
      <c r="AG270">
        <v>140.75</v>
      </c>
      <c r="AH270">
        <v>0</v>
      </c>
      <c r="AI270">
        <v>0</v>
      </c>
      <c r="AJ270">
        <v>0</v>
      </c>
      <c r="AK270">
        <v>152.01</v>
      </c>
      <c r="AL270">
        <v>844.5</v>
      </c>
      <c r="AM270">
        <v>997</v>
      </c>
      <c r="AN270">
        <v>94</v>
      </c>
      <c r="AO270" t="s">
        <v>64</v>
      </c>
      <c r="AP270" t="s">
        <v>66</v>
      </c>
      <c r="AQ270">
        <v>10</v>
      </c>
      <c r="AR270">
        <v>208</v>
      </c>
      <c r="AS270" t="s">
        <v>92</v>
      </c>
      <c r="AT270">
        <v>0</v>
      </c>
      <c r="AU270" t="s">
        <v>199</v>
      </c>
      <c r="AV270" t="s">
        <v>82</v>
      </c>
      <c r="AW270" t="s">
        <v>50</v>
      </c>
      <c r="AX270" t="s">
        <v>51</v>
      </c>
      <c r="AY270" t="s">
        <v>65</v>
      </c>
      <c r="AZ270" t="s">
        <v>240</v>
      </c>
      <c r="BA270" t="s">
        <v>498</v>
      </c>
      <c r="BB270">
        <v>0</v>
      </c>
      <c r="BC270">
        <v>0</v>
      </c>
      <c r="BD270" t="s">
        <v>199</v>
      </c>
      <c r="BE270" t="s">
        <v>199</v>
      </c>
      <c r="BF270">
        <v>0</v>
      </c>
      <c r="BG270">
        <v>0</v>
      </c>
      <c r="BH270" t="s">
        <v>200</v>
      </c>
      <c r="BI270">
        <v>13</v>
      </c>
      <c r="BJ270">
        <v>6308335</v>
      </c>
      <c r="BK270" t="s">
        <v>201</v>
      </c>
      <c r="BL270" t="s">
        <v>190</v>
      </c>
    </row>
    <row r="271" spans="1:64" x14ac:dyDescent="0.3">
      <c r="A271">
        <v>119</v>
      </c>
      <c r="B271" t="s">
        <v>186</v>
      </c>
      <c r="C271">
        <v>3</v>
      </c>
      <c r="D271">
        <v>6308462</v>
      </c>
      <c r="E271" t="s">
        <v>489</v>
      </c>
      <c r="F271" t="s">
        <v>188</v>
      </c>
      <c r="G271">
        <v>10137379</v>
      </c>
      <c r="H271" s="35">
        <v>46112</v>
      </c>
      <c r="I271" s="35">
        <v>46112</v>
      </c>
      <c r="J271">
        <v>2026</v>
      </c>
      <c r="K271">
        <v>3</v>
      </c>
      <c r="L271" t="s">
        <v>242</v>
      </c>
      <c r="M271">
        <v>1</v>
      </c>
      <c r="N271" t="s">
        <v>190</v>
      </c>
      <c r="O271" t="s">
        <v>191</v>
      </c>
      <c r="P271" t="s">
        <v>199</v>
      </c>
      <c r="Q271" t="s">
        <v>199</v>
      </c>
      <c r="R271">
        <v>14</v>
      </c>
      <c r="S271">
        <v>31</v>
      </c>
      <c r="T271">
        <v>36908</v>
      </c>
      <c r="U271">
        <v>3</v>
      </c>
      <c r="V271" t="s">
        <v>215</v>
      </c>
      <c r="W271" t="s">
        <v>67</v>
      </c>
      <c r="X271" t="s">
        <v>28</v>
      </c>
      <c r="Y271" t="s">
        <v>30</v>
      </c>
      <c r="Z271" t="s">
        <v>30</v>
      </c>
      <c r="AA271">
        <v>11</v>
      </c>
      <c r="AB271">
        <v>800088</v>
      </c>
      <c r="AC271" t="s">
        <v>276</v>
      </c>
      <c r="AD271" t="s">
        <v>277</v>
      </c>
      <c r="AE271">
        <v>1</v>
      </c>
      <c r="AF271">
        <v>8</v>
      </c>
      <c r="AG271">
        <v>360.77</v>
      </c>
      <c r="AH271">
        <v>0</v>
      </c>
      <c r="AI271">
        <v>0</v>
      </c>
      <c r="AJ271">
        <v>0</v>
      </c>
      <c r="AK271">
        <v>519.51</v>
      </c>
      <c r="AL271">
        <v>2886.16</v>
      </c>
      <c r="AM271">
        <v>3406</v>
      </c>
      <c r="AN271">
        <v>199</v>
      </c>
      <c r="AO271" t="s">
        <v>218</v>
      </c>
      <c r="AP271" t="s">
        <v>219</v>
      </c>
      <c r="AQ271">
        <v>10</v>
      </c>
      <c r="AR271">
        <v>105</v>
      </c>
      <c r="AS271" t="s">
        <v>85</v>
      </c>
      <c r="AT271">
        <v>677001</v>
      </c>
      <c r="AU271" t="s">
        <v>273</v>
      </c>
      <c r="AV271" t="s">
        <v>86</v>
      </c>
      <c r="AW271" t="s">
        <v>70</v>
      </c>
      <c r="AX271" t="s">
        <v>71</v>
      </c>
      <c r="AY271" t="s">
        <v>220</v>
      </c>
      <c r="AZ271" t="s">
        <v>221</v>
      </c>
      <c r="BA271" t="s">
        <v>499</v>
      </c>
      <c r="BB271">
        <v>0</v>
      </c>
      <c r="BC271">
        <v>0</v>
      </c>
      <c r="BD271" t="s">
        <v>199</v>
      </c>
      <c r="BE271" t="s">
        <v>199</v>
      </c>
      <c r="BF271">
        <v>0</v>
      </c>
      <c r="BG271">
        <v>0</v>
      </c>
      <c r="BH271" t="s">
        <v>200</v>
      </c>
      <c r="BI271">
        <v>13</v>
      </c>
      <c r="BJ271">
        <v>6308462</v>
      </c>
      <c r="BK271" t="s">
        <v>201</v>
      </c>
      <c r="BL271" t="s">
        <v>190</v>
      </c>
    </row>
    <row r="272" spans="1:64" x14ac:dyDescent="0.3">
      <c r="A272">
        <v>119</v>
      </c>
      <c r="B272" t="s">
        <v>186</v>
      </c>
      <c r="C272">
        <v>3</v>
      </c>
      <c r="D272">
        <v>6308462</v>
      </c>
      <c r="E272" t="s">
        <v>489</v>
      </c>
      <c r="F272" t="s">
        <v>188</v>
      </c>
      <c r="G272">
        <v>10137379</v>
      </c>
      <c r="H272" s="35">
        <v>46112</v>
      </c>
      <c r="I272" s="35">
        <v>46112</v>
      </c>
      <c r="J272">
        <v>2026</v>
      </c>
      <c r="K272">
        <v>3</v>
      </c>
      <c r="L272" t="s">
        <v>242</v>
      </c>
      <c r="M272">
        <v>1</v>
      </c>
      <c r="N272" t="s">
        <v>203</v>
      </c>
      <c r="O272" t="s">
        <v>191</v>
      </c>
      <c r="P272" t="s">
        <v>199</v>
      </c>
      <c r="Q272" t="s">
        <v>199</v>
      </c>
      <c r="R272">
        <v>14</v>
      </c>
      <c r="S272">
        <v>31</v>
      </c>
      <c r="T272">
        <v>36908</v>
      </c>
      <c r="U272">
        <v>3</v>
      </c>
      <c r="V272" t="s">
        <v>215</v>
      </c>
      <c r="W272" t="s">
        <v>67</v>
      </c>
      <c r="X272" t="s">
        <v>28</v>
      </c>
      <c r="Y272" t="s">
        <v>30</v>
      </c>
      <c r="Z272" t="s">
        <v>30</v>
      </c>
      <c r="AA272">
        <v>11</v>
      </c>
      <c r="AB272">
        <v>930012</v>
      </c>
      <c r="AC272" t="s">
        <v>312</v>
      </c>
      <c r="AD272" t="s">
        <v>313</v>
      </c>
      <c r="AE272">
        <v>1.25</v>
      </c>
      <c r="AF272">
        <v>20</v>
      </c>
      <c r="AG272">
        <v>90.18</v>
      </c>
      <c r="AH272">
        <v>0</v>
      </c>
      <c r="AI272">
        <v>0</v>
      </c>
      <c r="AJ272">
        <v>0</v>
      </c>
      <c r="AK272">
        <v>324.64999999999998</v>
      </c>
      <c r="AL272">
        <v>1803.6</v>
      </c>
      <c r="AM272">
        <v>2128</v>
      </c>
      <c r="AN272">
        <v>199</v>
      </c>
      <c r="AO272" t="s">
        <v>218</v>
      </c>
      <c r="AP272" t="s">
        <v>219</v>
      </c>
      <c r="AQ272">
        <v>10</v>
      </c>
      <c r="AR272">
        <v>208</v>
      </c>
      <c r="AS272" t="s">
        <v>92</v>
      </c>
      <c r="AT272">
        <v>0</v>
      </c>
      <c r="AU272" t="s">
        <v>199</v>
      </c>
      <c r="AV272" t="s">
        <v>82</v>
      </c>
      <c r="AW272" t="s">
        <v>70</v>
      </c>
      <c r="AX272" t="s">
        <v>71</v>
      </c>
      <c r="AY272" t="s">
        <v>220</v>
      </c>
      <c r="AZ272" t="s">
        <v>221</v>
      </c>
      <c r="BA272" t="s">
        <v>499</v>
      </c>
      <c r="BB272">
        <v>0</v>
      </c>
      <c r="BC272">
        <v>0</v>
      </c>
      <c r="BD272" t="s">
        <v>199</v>
      </c>
      <c r="BE272" t="s">
        <v>199</v>
      </c>
      <c r="BF272">
        <v>0</v>
      </c>
      <c r="BG272">
        <v>0</v>
      </c>
      <c r="BH272" t="s">
        <v>200</v>
      </c>
      <c r="BI272">
        <v>13</v>
      </c>
      <c r="BJ272">
        <v>6308462</v>
      </c>
      <c r="BK272" t="s">
        <v>201</v>
      </c>
      <c r="BL272" t="s">
        <v>190</v>
      </c>
    </row>
    <row r="273" spans="1:64" x14ac:dyDescent="0.3">
      <c r="A273">
        <v>119</v>
      </c>
      <c r="B273" t="s">
        <v>186</v>
      </c>
      <c r="C273">
        <v>3</v>
      </c>
      <c r="D273">
        <v>6308462</v>
      </c>
      <c r="E273" t="s">
        <v>489</v>
      </c>
      <c r="F273" t="s">
        <v>188</v>
      </c>
      <c r="G273">
        <v>10137379</v>
      </c>
      <c r="H273" s="35">
        <v>46112</v>
      </c>
      <c r="I273" s="35">
        <v>46112</v>
      </c>
      <c r="J273">
        <v>2026</v>
      </c>
      <c r="K273">
        <v>3</v>
      </c>
      <c r="L273" t="s">
        <v>242</v>
      </c>
      <c r="M273">
        <v>1</v>
      </c>
      <c r="N273" t="s">
        <v>190</v>
      </c>
      <c r="O273" t="s">
        <v>191</v>
      </c>
      <c r="P273" t="s">
        <v>199</v>
      </c>
      <c r="Q273" t="s">
        <v>199</v>
      </c>
      <c r="R273">
        <v>14</v>
      </c>
      <c r="S273">
        <v>31</v>
      </c>
      <c r="T273">
        <v>36908</v>
      </c>
      <c r="U273">
        <v>3</v>
      </c>
      <c r="V273" t="s">
        <v>215</v>
      </c>
      <c r="W273" t="s">
        <v>67</v>
      </c>
      <c r="X273" t="s">
        <v>28</v>
      </c>
      <c r="Y273" t="s">
        <v>30</v>
      </c>
      <c r="Z273" t="s">
        <v>30</v>
      </c>
      <c r="AA273">
        <v>11</v>
      </c>
      <c r="AB273">
        <v>101038</v>
      </c>
      <c r="AC273" t="s">
        <v>271</v>
      </c>
      <c r="AD273" t="s">
        <v>272</v>
      </c>
      <c r="AE273">
        <v>1</v>
      </c>
      <c r="AF273">
        <v>10</v>
      </c>
      <c r="AG273">
        <v>360.77</v>
      </c>
      <c r="AH273">
        <v>0</v>
      </c>
      <c r="AI273">
        <v>0</v>
      </c>
      <c r="AJ273">
        <v>0</v>
      </c>
      <c r="AK273">
        <v>649.39</v>
      </c>
      <c r="AL273">
        <v>3607.7</v>
      </c>
      <c r="AM273">
        <v>4257</v>
      </c>
      <c r="AN273">
        <v>199</v>
      </c>
      <c r="AO273" t="s">
        <v>218</v>
      </c>
      <c r="AP273" t="s">
        <v>219</v>
      </c>
      <c r="AQ273">
        <v>10</v>
      </c>
      <c r="AR273">
        <v>105</v>
      </c>
      <c r="AS273" t="s">
        <v>85</v>
      </c>
      <c r="AT273">
        <v>677001</v>
      </c>
      <c r="AU273" t="s">
        <v>273</v>
      </c>
      <c r="AV273" t="s">
        <v>86</v>
      </c>
      <c r="AW273" t="s">
        <v>70</v>
      </c>
      <c r="AX273" t="s">
        <v>71</v>
      </c>
      <c r="AY273" t="s">
        <v>220</v>
      </c>
      <c r="AZ273" t="s">
        <v>221</v>
      </c>
      <c r="BA273" t="s">
        <v>499</v>
      </c>
      <c r="BB273">
        <v>0</v>
      </c>
      <c r="BC273">
        <v>0</v>
      </c>
      <c r="BD273" t="s">
        <v>199</v>
      </c>
      <c r="BE273" t="s">
        <v>199</v>
      </c>
      <c r="BF273">
        <v>0</v>
      </c>
      <c r="BG273">
        <v>0</v>
      </c>
      <c r="BH273" t="s">
        <v>200</v>
      </c>
      <c r="BI273">
        <v>13</v>
      </c>
      <c r="BJ273">
        <v>6308462</v>
      </c>
      <c r="BK273" t="s">
        <v>201</v>
      </c>
      <c r="BL273" t="s">
        <v>190</v>
      </c>
    </row>
    <row r="274" spans="1:64" x14ac:dyDescent="0.3">
      <c r="A274">
        <v>119</v>
      </c>
      <c r="B274" t="s">
        <v>186</v>
      </c>
      <c r="C274">
        <v>3</v>
      </c>
      <c r="D274">
        <v>6308462</v>
      </c>
      <c r="E274" t="s">
        <v>489</v>
      </c>
      <c r="F274" t="s">
        <v>188</v>
      </c>
      <c r="G274">
        <v>10137379</v>
      </c>
      <c r="H274" s="35">
        <v>46112</v>
      </c>
      <c r="I274" s="35">
        <v>46112</v>
      </c>
      <c r="J274">
        <v>2026</v>
      </c>
      <c r="K274">
        <v>3</v>
      </c>
      <c r="L274" t="s">
        <v>242</v>
      </c>
      <c r="M274">
        <v>1</v>
      </c>
      <c r="N274" t="s">
        <v>190</v>
      </c>
      <c r="O274" t="s">
        <v>191</v>
      </c>
      <c r="P274" t="s">
        <v>199</v>
      </c>
      <c r="Q274" t="s">
        <v>199</v>
      </c>
      <c r="R274">
        <v>14</v>
      </c>
      <c r="S274">
        <v>31</v>
      </c>
      <c r="T274">
        <v>36908</v>
      </c>
      <c r="U274">
        <v>3</v>
      </c>
      <c r="V274" t="s">
        <v>215</v>
      </c>
      <c r="W274" t="s">
        <v>67</v>
      </c>
      <c r="X274" t="s">
        <v>28</v>
      </c>
      <c r="Y274" t="s">
        <v>30</v>
      </c>
      <c r="Z274" t="s">
        <v>30</v>
      </c>
      <c r="AA274">
        <v>11</v>
      </c>
      <c r="AB274">
        <v>800089</v>
      </c>
      <c r="AC274" t="s">
        <v>295</v>
      </c>
      <c r="AD274" t="s">
        <v>296</v>
      </c>
      <c r="AE274">
        <v>1</v>
      </c>
      <c r="AF274">
        <v>8</v>
      </c>
      <c r="AG274">
        <v>360.77</v>
      </c>
      <c r="AH274">
        <v>0</v>
      </c>
      <c r="AI274">
        <v>0</v>
      </c>
      <c r="AJ274">
        <v>0</v>
      </c>
      <c r="AK274">
        <v>519.51</v>
      </c>
      <c r="AL274">
        <v>2886.16</v>
      </c>
      <c r="AM274">
        <v>3406</v>
      </c>
      <c r="AN274">
        <v>199</v>
      </c>
      <c r="AO274" t="s">
        <v>218</v>
      </c>
      <c r="AP274" t="s">
        <v>219</v>
      </c>
      <c r="AQ274">
        <v>10</v>
      </c>
      <c r="AR274">
        <v>105</v>
      </c>
      <c r="AS274" t="s">
        <v>85</v>
      </c>
      <c r="AT274">
        <v>677001</v>
      </c>
      <c r="AU274" t="s">
        <v>273</v>
      </c>
      <c r="AV274" t="s">
        <v>86</v>
      </c>
      <c r="AW274" t="s">
        <v>70</v>
      </c>
      <c r="AX274" t="s">
        <v>71</v>
      </c>
      <c r="AY274" t="s">
        <v>220</v>
      </c>
      <c r="AZ274" t="s">
        <v>221</v>
      </c>
      <c r="BA274" t="s">
        <v>499</v>
      </c>
      <c r="BB274">
        <v>0</v>
      </c>
      <c r="BC274">
        <v>0</v>
      </c>
      <c r="BD274" t="s">
        <v>199</v>
      </c>
      <c r="BE274" t="s">
        <v>199</v>
      </c>
      <c r="BF274">
        <v>0</v>
      </c>
      <c r="BG274">
        <v>0</v>
      </c>
      <c r="BH274" t="s">
        <v>200</v>
      </c>
      <c r="BI274">
        <v>13</v>
      </c>
      <c r="BJ274">
        <v>6308462</v>
      </c>
      <c r="BK274" t="s">
        <v>201</v>
      </c>
      <c r="BL274" t="s">
        <v>190</v>
      </c>
    </row>
    <row r="275" spans="1:64" x14ac:dyDescent="0.3">
      <c r="A275">
        <v>119</v>
      </c>
      <c r="B275" t="s">
        <v>186</v>
      </c>
      <c r="C275">
        <v>3</v>
      </c>
      <c r="D275">
        <v>6308462</v>
      </c>
      <c r="E275" t="s">
        <v>489</v>
      </c>
      <c r="F275" t="s">
        <v>188</v>
      </c>
      <c r="G275">
        <v>10137379</v>
      </c>
      <c r="H275" s="35">
        <v>46112</v>
      </c>
      <c r="I275" s="35">
        <v>46112</v>
      </c>
      <c r="J275">
        <v>2026</v>
      </c>
      <c r="K275">
        <v>3</v>
      </c>
      <c r="L275" t="s">
        <v>242</v>
      </c>
      <c r="M275">
        <v>1</v>
      </c>
      <c r="N275" t="s">
        <v>190</v>
      </c>
      <c r="O275" t="s">
        <v>191</v>
      </c>
      <c r="P275" t="s">
        <v>199</v>
      </c>
      <c r="Q275" t="s">
        <v>199</v>
      </c>
      <c r="R275">
        <v>14</v>
      </c>
      <c r="S275">
        <v>31</v>
      </c>
      <c r="T275">
        <v>36908</v>
      </c>
      <c r="U275">
        <v>3</v>
      </c>
      <c r="V275" t="s">
        <v>215</v>
      </c>
      <c r="W275" t="s">
        <v>67</v>
      </c>
      <c r="X275" t="s">
        <v>28</v>
      </c>
      <c r="Y275" t="s">
        <v>30</v>
      </c>
      <c r="Z275" t="s">
        <v>30</v>
      </c>
      <c r="AA275">
        <v>11</v>
      </c>
      <c r="AB275">
        <v>101034</v>
      </c>
      <c r="AC275" t="s">
        <v>329</v>
      </c>
      <c r="AD275" t="s">
        <v>330</v>
      </c>
      <c r="AE275">
        <v>1</v>
      </c>
      <c r="AF275">
        <v>10</v>
      </c>
      <c r="AG275">
        <v>230.72</v>
      </c>
      <c r="AH275">
        <v>0</v>
      </c>
      <c r="AI275">
        <v>0</v>
      </c>
      <c r="AJ275">
        <v>0</v>
      </c>
      <c r="AK275">
        <v>415.3</v>
      </c>
      <c r="AL275">
        <v>2307.1999999999998</v>
      </c>
      <c r="AM275">
        <v>2722</v>
      </c>
      <c r="AN275">
        <v>199</v>
      </c>
      <c r="AO275" t="s">
        <v>218</v>
      </c>
      <c r="AP275" t="s">
        <v>219</v>
      </c>
      <c r="AQ275">
        <v>10</v>
      </c>
      <c r="AR275">
        <v>136</v>
      </c>
      <c r="AS275" t="s">
        <v>87</v>
      </c>
      <c r="AT275">
        <v>677001</v>
      </c>
      <c r="AU275" t="s">
        <v>273</v>
      </c>
      <c r="AV275" t="s">
        <v>86</v>
      </c>
      <c r="AW275" t="s">
        <v>70</v>
      </c>
      <c r="AX275" t="s">
        <v>71</v>
      </c>
      <c r="AY275" t="s">
        <v>220</v>
      </c>
      <c r="AZ275" t="s">
        <v>221</v>
      </c>
      <c r="BA275" t="s">
        <v>499</v>
      </c>
      <c r="BB275">
        <v>0</v>
      </c>
      <c r="BC275">
        <v>0</v>
      </c>
      <c r="BD275" t="s">
        <v>199</v>
      </c>
      <c r="BE275" t="s">
        <v>199</v>
      </c>
      <c r="BF275">
        <v>0</v>
      </c>
      <c r="BG275">
        <v>0</v>
      </c>
      <c r="BH275" t="s">
        <v>200</v>
      </c>
      <c r="BI275">
        <v>13</v>
      </c>
      <c r="BJ275">
        <v>6308462</v>
      </c>
      <c r="BK275" t="s">
        <v>201</v>
      </c>
      <c r="BL275" t="s">
        <v>190</v>
      </c>
    </row>
    <row r="276" spans="1:64" x14ac:dyDescent="0.3">
      <c r="A276">
        <v>119</v>
      </c>
      <c r="B276" t="s">
        <v>186</v>
      </c>
      <c r="C276">
        <v>3</v>
      </c>
      <c r="D276">
        <v>6308462</v>
      </c>
      <c r="E276" t="s">
        <v>489</v>
      </c>
      <c r="F276" t="s">
        <v>188</v>
      </c>
      <c r="G276">
        <v>10137379</v>
      </c>
      <c r="H276" s="35">
        <v>46112</v>
      </c>
      <c r="I276" s="35">
        <v>46112</v>
      </c>
      <c r="J276">
        <v>2026</v>
      </c>
      <c r="K276">
        <v>3</v>
      </c>
      <c r="L276" t="s">
        <v>242</v>
      </c>
      <c r="M276">
        <v>1</v>
      </c>
      <c r="N276" t="s">
        <v>203</v>
      </c>
      <c r="O276" t="s">
        <v>191</v>
      </c>
      <c r="P276" t="s">
        <v>199</v>
      </c>
      <c r="Q276" t="s">
        <v>199</v>
      </c>
      <c r="R276">
        <v>14</v>
      </c>
      <c r="S276">
        <v>31</v>
      </c>
      <c r="T276">
        <v>36908</v>
      </c>
      <c r="U276">
        <v>3</v>
      </c>
      <c r="V276" t="s">
        <v>215</v>
      </c>
      <c r="W276" t="s">
        <v>67</v>
      </c>
      <c r="X276" t="s">
        <v>28</v>
      </c>
      <c r="Y276" t="s">
        <v>30</v>
      </c>
      <c r="Z276" t="s">
        <v>30</v>
      </c>
      <c r="AA276">
        <v>11</v>
      </c>
      <c r="AB276">
        <v>930154</v>
      </c>
      <c r="AC276" t="s">
        <v>500</v>
      </c>
      <c r="AD276" t="s">
        <v>501</v>
      </c>
      <c r="AE276">
        <v>0.22222222222221999</v>
      </c>
      <c r="AF276">
        <v>4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199</v>
      </c>
      <c r="AO276" t="s">
        <v>218</v>
      </c>
      <c r="AP276" t="s">
        <v>219</v>
      </c>
      <c r="AQ276">
        <v>10</v>
      </c>
      <c r="AR276">
        <v>208</v>
      </c>
      <c r="AS276" t="s">
        <v>92</v>
      </c>
      <c r="AT276">
        <v>65103</v>
      </c>
      <c r="AU276" t="s">
        <v>266</v>
      </c>
      <c r="AV276" t="s">
        <v>82</v>
      </c>
      <c r="AW276" t="s">
        <v>70</v>
      </c>
      <c r="AX276" t="s">
        <v>71</v>
      </c>
      <c r="AY276" t="s">
        <v>220</v>
      </c>
      <c r="AZ276" t="s">
        <v>221</v>
      </c>
      <c r="BA276" t="s">
        <v>499</v>
      </c>
      <c r="BB276">
        <v>0</v>
      </c>
      <c r="BC276">
        <v>1</v>
      </c>
      <c r="BD276">
        <v>3490</v>
      </c>
      <c r="BE276" t="s">
        <v>502</v>
      </c>
      <c r="BF276">
        <v>0</v>
      </c>
      <c r="BG276">
        <v>0</v>
      </c>
      <c r="BH276" t="s">
        <v>200</v>
      </c>
      <c r="BI276">
        <v>13</v>
      </c>
      <c r="BJ276">
        <v>6308462</v>
      </c>
      <c r="BK276" t="s">
        <v>201</v>
      </c>
      <c r="BL276" t="s">
        <v>190</v>
      </c>
    </row>
    <row r="277" spans="1:64" x14ac:dyDescent="0.3">
      <c r="A277">
        <v>125</v>
      </c>
      <c r="B277" t="s">
        <v>186</v>
      </c>
      <c r="C277">
        <v>3</v>
      </c>
      <c r="D277">
        <v>6315060</v>
      </c>
      <c r="E277" t="s">
        <v>213</v>
      </c>
      <c r="F277" t="s">
        <v>188</v>
      </c>
      <c r="G277">
        <v>10143977</v>
      </c>
      <c r="H277" s="35">
        <v>46119</v>
      </c>
      <c r="I277" s="35">
        <v>46119</v>
      </c>
      <c r="J277">
        <v>2026</v>
      </c>
      <c r="K277">
        <v>4</v>
      </c>
      <c r="L277" t="s">
        <v>189</v>
      </c>
      <c r="M277">
        <v>1</v>
      </c>
      <c r="N277" t="s">
        <v>190</v>
      </c>
      <c r="O277" t="s">
        <v>191</v>
      </c>
      <c r="P277" t="s">
        <v>199</v>
      </c>
      <c r="Q277" t="s">
        <v>199</v>
      </c>
      <c r="R277">
        <v>15</v>
      </c>
      <c r="S277">
        <v>7</v>
      </c>
      <c r="T277">
        <v>36908</v>
      </c>
      <c r="U277">
        <v>3</v>
      </c>
      <c r="V277" t="s">
        <v>215</v>
      </c>
      <c r="W277" t="s">
        <v>67</v>
      </c>
      <c r="X277" t="s">
        <v>28</v>
      </c>
      <c r="Y277" t="s">
        <v>30</v>
      </c>
      <c r="Z277" t="s">
        <v>30</v>
      </c>
      <c r="AA277">
        <v>11</v>
      </c>
      <c r="AB277">
        <v>611053</v>
      </c>
      <c r="AC277" t="s">
        <v>229</v>
      </c>
      <c r="AD277" t="s">
        <v>230</v>
      </c>
      <c r="AE277">
        <v>1</v>
      </c>
      <c r="AF277">
        <v>24</v>
      </c>
      <c r="AG277">
        <v>20</v>
      </c>
      <c r="AH277">
        <v>0</v>
      </c>
      <c r="AI277">
        <v>0</v>
      </c>
      <c r="AJ277">
        <v>0</v>
      </c>
      <c r="AK277">
        <v>86.4</v>
      </c>
      <c r="AL277">
        <v>480</v>
      </c>
      <c r="AM277">
        <v>566</v>
      </c>
      <c r="AN277">
        <v>199</v>
      </c>
      <c r="AO277" t="s">
        <v>218</v>
      </c>
      <c r="AP277" t="s">
        <v>219</v>
      </c>
      <c r="AQ277">
        <v>10</v>
      </c>
      <c r="AR277">
        <v>114</v>
      </c>
      <c r="AS277" t="s">
        <v>79</v>
      </c>
      <c r="AT277">
        <v>66102</v>
      </c>
      <c r="AU277" t="s">
        <v>227</v>
      </c>
      <c r="AV277" t="s">
        <v>80</v>
      </c>
      <c r="AW277" t="s">
        <v>70</v>
      </c>
      <c r="AX277" t="s">
        <v>71</v>
      </c>
      <c r="AY277" t="s">
        <v>220</v>
      </c>
      <c r="AZ277" t="s">
        <v>221</v>
      </c>
      <c r="BA277" t="s">
        <v>503</v>
      </c>
      <c r="BB277">
        <v>0</v>
      </c>
      <c r="BC277">
        <v>0</v>
      </c>
      <c r="BD277" t="s">
        <v>199</v>
      </c>
      <c r="BE277" t="s">
        <v>199</v>
      </c>
      <c r="BF277">
        <v>0</v>
      </c>
      <c r="BG277">
        <v>0</v>
      </c>
      <c r="BH277" t="s">
        <v>200</v>
      </c>
      <c r="BI277">
        <v>13</v>
      </c>
      <c r="BJ277">
        <v>6315060</v>
      </c>
      <c r="BK277" t="s">
        <v>201</v>
      </c>
      <c r="BL277" t="s">
        <v>190</v>
      </c>
    </row>
    <row r="278" spans="1:64" x14ac:dyDescent="0.3">
      <c r="A278">
        <v>125</v>
      </c>
      <c r="B278" t="s">
        <v>186</v>
      </c>
      <c r="C278">
        <v>3</v>
      </c>
      <c r="D278">
        <v>6315060</v>
      </c>
      <c r="E278" t="s">
        <v>213</v>
      </c>
      <c r="F278" t="s">
        <v>188</v>
      </c>
      <c r="G278">
        <v>10143977</v>
      </c>
      <c r="H278" s="35">
        <v>46119</v>
      </c>
      <c r="I278" s="35">
        <v>46119</v>
      </c>
      <c r="J278">
        <v>2026</v>
      </c>
      <c r="K278">
        <v>4</v>
      </c>
      <c r="L278" t="s">
        <v>189</v>
      </c>
      <c r="M278">
        <v>1</v>
      </c>
      <c r="N278" t="s">
        <v>190</v>
      </c>
      <c r="O278" t="s">
        <v>191</v>
      </c>
      <c r="P278" t="s">
        <v>199</v>
      </c>
      <c r="Q278" t="s">
        <v>199</v>
      </c>
      <c r="R278">
        <v>15</v>
      </c>
      <c r="S278">
        <v>7</v>
      </c>
      <c r="T278">
        <v>36908</v>
      </c>
      <c r="U278">
        <v>3</v>
      </c>
      <c r="V278" t="s">
        <v>215</v>
      </c>
      <c r="W278" t="s">
        <v>67</v>
      </c>
      <c r="X278" t="s">
        <v>28</v>
      </c>
      <c r="Y278" t="s">
        <v>30</v>
      </c>
      <c r="Z278" t="s">
        <v>30</v>
      </c>
      <c r="AA278">
        <v>11</v>
      </c>
      <c r="AB278">
        <v>201001</v>
      </c>
      <c r="AC278" t="s">
        <v>248</v>
      </c>
      <c r="AD278" t="s">
        <v>249</v>
      </c>
      <c r="AE278">
        <v>2</v>
      </c>
      <c r="AF278">
        <v>2</v>
      </c>
      <c r="AG278">
        <v>221.67</v>
      </c>
      <c r="AH278">
        <v>0</v>
      </c>
      <c r="AI278">
        <v>0</v>
      </c>
      <c r="AJ278">
        <v>0</v>
      </c>
      <c r="AK278">
        <v>79.8</v>
      </c>
      <c r="AL278">
        <v>443.34</v>
      </c>
      <c r="AM278">
        <v>523</v>
      </c>
      <c r="AN278">
        <v>199</v>
      </c>
      <c r="AO278" t="s">
        <v>218</v>
      </c>
      <c r="AP278" t="s">
        <v>219</v>
      </c>
      <c r="AQ278">
        <v>10</v>
      </c>
      <c r="AR278">
        <v>113</v>
      </c>
      <c r="AS278" t="s">
        <v>89</v>
      </c>
      <c r="AT278">
        <v>82101</v>
      </c>
      <c r="AU278" t="s">
        <v>252</v>
      </c>
      <c r="AV278" t="s">
        <v>80</v>
      </c>
      <c r="AW278" t="s">
        <v>70</v>
      </c>
      <c r="AX278" t="s">
        <v>71</v>
      </c>
      <c r="AY278" t="s">
        <v>220</v>
      </c>
      <c r="AZ278" t="s">
        <v>221</v>
      </c>
      <c r="BA278" t="s">
        <v>503</v>
      </c>
      <c r="BB278">
        <v>0</v>
      </c>
      <c r="BC278">
        <v>0</v>
      </c>
      <c r="BD278" t="s">
        <v>199</v>
      </c>
      <c r="BE278" t="s">
        <v>199</v>
      </c>
      <c r="BF278">
        <v>0</v>
      </c>
      <c r="BG278">
        <v>0</v>
      </c>
      <c r="BH278" t="s">
        <v>200</v>
      </c>
      <c r="BI278">
        <v>13</v>
      </c>
      <c r="BJ278">
        <v>6315060</v>
      </c>
      <c r="BK278" t="s">
        <v>201</v>
      </c>
      <c r="BL278" t="s">
        <v>190</v>
      </c>
    </row>
    <row r="279" spans="1:64" x14ac:dyDescent="0.3">
      <c r="A279">
        <v>125</v>
      </c>
      <c r="B279" t="s">
        <v>186</v>
      </c>
      <c r="C279">
        <v>3</v>
      </c>
      <c r="D279">
        <v>6315060</v>
      </c>
      <c r="E279" t="s">
        <v>213</v>
      </c>
      <c r="F279" t="s">
        <v>188</v>
      </c>
      <c r="G279">
        <v>10143977</v>
      </c>
      <c r="H279" s="35">
        <v>46119</v>
      </c>
      <c r="I279" s="35">
        <v>46119</v>
      </c>
      <c r="J279">
        <v>2026</v>
      </c>
      <c r="K279">
        <v>4</v>
      </c>
      <c r="L279" t="s">
        <v>189</v>
      </c>
      <c r="M279">
        <v>1</v>
      </c>
      <c r="N279" t="s">
        <v>190</v>
      </c>
      <c r="O279" t="s">
        <v>191</v>
      </c>
      <c r="P279" t="s">
        <v>199</v>
      </c>
      <c r="Q279" t="s">
        <v>199</v>
      </c>
      <c r="R279">
        <v>15</v>
      </c>
      <c r="S279">
        <v>7</v>
      </c>
      <c r="T279">
        <v>36908</v>
      </c>
      <c r="U279">
        <v>3</v>
      </c>
      <c r="V279" t="s">
        <v>215</v>
      </c>
      <c r="W279" t="s">
        <v>67</v>
      </c>
      <c r="X279" t="s">
        <v>28</v>
      </c>
      <c r="Y279" t="s">
        <v>30</v>
      </c>
      <c r="Z279" t="s">
        <v>30</v>
      </c>
      <c r="AA279">
        <v>11</v>
      </c>
      <c r="AB279">
        <v>101038</v>
      </c>
      <c r="AC279" t="s">
        <v>271</v>
      </c>
      <c r="AD279" t="s">
        <v>272</v>
      </c>
      <c r="AE279">
        <v>1</v>
      </c>
      <c r="AF279">
        <v>10</v>
      </c>
      <c r="AG279">
        <v>364.41</v>
      </c>
      <c r="AH279">
        <v>0</v>
      </c>
      <c r="AI279">
        <v>0</v>
      </c>
      <c r="AJ279">
        <v>0</v>
      </c>
      <c r="AK279">
        <v>655.94</v>
      </c>
      <c r="AL279">
        <v>3644.1</v>
      </c>
      <c r="AM279">
        <v>4300</v>
      </c>
      <c r="AN279">
        <v>199</v>
      </c>
      <c r="AO279" t="s">
        <v>218</v>
      </c>
      <c r="AP279" t="s">
        <v>219</v>
      </c>
      <c r="AQ279">
        <v>10</v>
      </c>
      <c r="AR279">
        <v>105</v>
      </c>
      <c r="AS279" t="s">
        <v>85</v>
      </c>
      <c r="AT279">
        <v>677001</v>
      </c>
      <c r="AU279" t="s">
        <v>273</v>
      </c>
      <c r="AV279" t="s">
        <v>86</v>
      </c>
      <c r="AW279" t="s">
        <v>70</v>
      </c>
      <c r="AX279" t="s">
        <v>71</v>
      </c>
      <c r="AY279" t="s">
        <v>220</v>
      </c>
      <c r="AZ279" t="s">
        <v>221</v>
      </c>
      <c r="BA279" t="s">
        <v>503</v>
      </c>
      <c r="BB279">
        <v>0</v>
      </c>
      <c r="BC279">
        <v>0</v>
      </c>
      <c r="BD279" t="s">
        <v>199</v>
      </c>
      <c r="BE279" t="s">
        <v>199</v>
      </c>
      <c r="BF279">
        <v>0</v>
      </c>
      <c r="BG279">
        <v>0</v>
      </c>
      <c r="BH279" t="s">
        <v>200</v>
      </c>
      <c r="BI279">
        <v>13</v>
      </c>
      <c r="BJ279">
        <v>6315060</v>
      </c>
      <c r="BK279" t="s">
        <v>201</v>
      </c>
      <c r="BL279" t="s">
        <v>190</v>
      </c>
    </row>
    <row r="280" spans="1:64" x14ac:dyDescent="0.3">
      <c r="A280">
        <v>125</v>
      </c>
      <c r="B280" t="s">
        <v>186</v>
      </c>
      <c r="C280">
        <v>3</v>
      </c>
      <c r="D280">
        <v>6315060</v>
      </c>
      <c r="E280" t="s">
        <v>213</v>
      </c>
      <c r="F280" t="s">
        <v>188</v>
      </c>
      <c r="G280">
        <v>10143977</v>
      </c>
      <c r="H280" s="35">
        <v>46119</v>
      </c>
      <c r="I280" s="35">
        <v>46119</v>
      </c>
      <c r="J280">
        <v>2026</v>
      </c>
      <c r="K280">
        <v>4</v>
      </c>
      <c r="L280" t="s">
        <v>189</v>
      </c>
      <c r="M280">
        <v>1</v>
      </c>
      <c r="N280" t="s">
        <v>190</v>
      </c>
      <c r="O280" t="s">
        <v>191</v>
      </c>
      <c r="P280" t="s">
        <v>199</v>
      </c>
      <c r="Q280" t="s">
        <v>199</v>
      </c>
      <c r="R280">
        <v>15</v>
      </c>
      <c r="S280">
        <v>7</v>
      </c>
      <c r="T280">
        <v>36908</v>
      </c>
      <c r="U280">
        <v>3</v>
      </c>
      <c r="V280" t="s">
        <v>215</v>
      </c>
      <c r="W280" t="s">
        <v>67</v>
      </c>
      <c r="X280" t="s">
        <v>28</v>
      </c>
      <c r="Y280" t="s">
        <v>30</v>
      </c>
      <c r="Z280" t="s">
        <v>30</v>
      </c>
      <c r="AA280">
        <v>11</v>
      </c>
      <c r="AB280">
        <v>800089</v>
      </c>
      <c r="AC280" t="s">
        <v>295</v>
      </c>
      <c r="AD280" t="s">
        <v>296</v>
      </c>
      <c r="AE280">
        <v>0.5</v>
      </c>
      <c r="AF280">
        <v>4</v>
      </c>
      <c r="AG280">
        <v>364.41</v>
      </c>
      <c r="AH280">
        <v>0</v>
      </c>
      <c r="AI280">
        <v>0</v>
      </c>
      <c r="AJ280">
        <v>0</v>
      </c>
      <c r="AK280">
        <v>262.38</v>
      </c>
      <c r="AL280">
        <v>1457.64</v>
      </c>
      <c r="AM280">
        <v>1720</v>
      </c>
      <c r="AN280">
        <v>199</v>
      </c>
      <c r="AO280" t="s">
        <v>218</v>
      </c>
      <c r="AP280" t="s">
        <v>219</v>
      </c>
      <c r="AQ280">
        <v>10</v>
      </c>
      <c r="AR280">
        <v>105</v>
      </c>
      <c r="AS280" t="s">
        <v>85</v>
      </c>
      <c r="AT280">
        <v>677001</v>
      </c>
      <c r="AU280" t="s">
        <v>273</v>
      </c>
      <c r="AV280" t="s">
        <v>86</v>
      </c>
      <c r="AW280" t="s">
        <v>70</v>
      </c>
      <c r="AX280" t="s">
        <v>71</v>
      </c>
      <c r="AY280" t="s">
        <v>220</v>
      </c>
      <c r="AZ280" t="s">
        <v>221</v>
      </c>
      <c r="BA280" t="s">
        <v>503</v>
      </c>
      <c r="BB280">
        <v>0</v>
      </c>
      <c r="BC280">
        <v>0</v>
      </c>
      <c r="BD280" t="s">
        <v>199</v>
      </c>
      <c r="BE280" t="s">
        <v>199</v>
      </c>
      <c r="BF280">
        <v>0</v>
      </c>
      <c r="BG280">
        <v>0</v>
      </c>
      <c r="BH280" t="s">
        <v>200</v>
      </c>
      <c r="BI280">
        <v>13</v>
      </c>
      <c r="BJ280">
        <v>6315060</v>
      </c>
      <c r="BK280" t="s">
        <v>201</v>
      </c>
      <c r="BL280" t="s">
        <v>190</v>
      </c>
    </row>
    <row r="281" spans="1:64" x14ac:dyDescent="0.3">
      <c r="A281">
        <v>223</v>
      </c>
      <c r="B281" t="s">
        <v>186</v>
      </c>
      <c r="C281">
        <v>3</v>
      </c>
      <c r="D281">
        <v>6315140</v>
      </c>
      <c r="E281" t="s">
        <v>202</v>
      </c>
      <c r="F281" t="s">
        <v>188</v>
      </c>
      <c r="G281">
        <v>10144057</v>
      </c>
      <c r="H281" s="35">
        <v>46119</v>
      </c>
      <c r="I281" s="35">
        <v>46119</v>
      </c>
      <c r="J281">
        <v>2026</v>
      </c>
      <c r="K281">
        <v>4</v>
      </c>
      <c r="L281" t="s">
        <v>189</v>
      </c>
      <c r="M281">
        <v>1</v>
      </c>
      <c r="N281" t="s">
        <v>190</v>
      </c>
      <c r="O281" t="s">
        <v>191</v>
      </c>
      <c r="P281" t="s">
        <v>199</v>
      </c>
      <c r="Q281" t="s">
        <v>199</v>
      </c>
      <c r="R281">
        <v>15</v>
      </c>
      <c r="S281">
        <v>7</v>
      </c>
      <c r="T281">
        <v>14167</v>
      </c>
      <c r="U281">
        <v>3</v>
      </c>
      <c r="V281" t="s">
        <v>208</v>
      </c>
      <c r="W281" t="s">
        <v>18</v>
      </c>
      <c r="X281" t="s">
        <v>19</v>
      </c>
      <c r="Y281" t="s">
        <v>20</v>
      </c>
      <c r="Z281" t="s">
        <v>20</v>
      </c>
      <c r="AA281">
        <v>91</v>
      </c>
      <c r="AB281">
        <v>621045</v>
      </c>
      <c r="AC281" t="s">
        <v>209</v>
      </c>
      <c r="AD281" t="s">
        <v>210</v>
      </c>
      <c r="AE281">
        <v>0.5</v>
      </c>
      <c r="AF281">
        <v>6</v>
      </c>
      <c r="AG281">
        <v>161.94999999999999</v>
      </c>
      <c r="AH281">
        <v>0</v>
      </c>
      <c r="AI281">
        <v>0</v>
      </c>
      <c r="AJ281">
        <v>0</v>
      </c>
      <c r="AK281">
        <v>174.91</v>
      </c>
      <c r="AL281">
        <v>971.7</v>
      </c>
      <c r="AM281">
        <v>1147</v>
      </c>
      <c r="AN281">
        <v>91</v>
      </c>
      <c r="AO281" t="s">
        <v>22</v>
      </c>
      <c r="AP281" t="s">
        <v>26</v>
      </c>
      <c r="AQ281">
        <v>10</v>
      </c>
      <c r="AR281">
        <v>138</v>
      </c>
      <c r="AS281" t="s">
        <v>90</v>
      </c>
      <c r="AT281">
        <v>73101</v>
      </c>
      <c r="AU281" t="s">
        <v>211</v>
      </c>
      <c r="AV281" t="s">
        <v>91</v>
      </c>
      <c r="AW281" t="s">
        <v>23</v>
      </c>
      <c r="AX281" t="s">
        <v>24</v>
      </c>
      <c r="AY281" t="s">
        <v>25</v>
      </c>
      <c r="AZ281" t="s">
        <v>197</v>
      </c>
      <c r="BA281" t="s">
        <v>504</v>
      </c>
      <c r="BB281">
        <v>0</v>
      </c>
      <c r="BC281">
        <v>0</v>
      </c>
      <c r="BD281" t="s">
        <v>199</v>
      </c>
      <c r="BE281" t="s">
        <v>199</v>
      </c>
      <c r="BF281">
        <v>0</v>
      </c>
      <c r="BG281">
        <v>0</v>
      </c>
      <c r="BH281" t="s">
        <v>200</v>
      </c>
      <c r="BI281">
        <v>13</v>
      </c>
      <c r="BJ281">
        <v>6315140</v>
      </c>
      <c r="BK281" t="s">
        <v>201</v>
      </c>
      <c r="BL281" t="s">
        <v>190</v>
      </c>
    </row>
    <row r="282" spans="1:64" x14ac:dyDescent="0.3">
      <c r="A282">
        <v>223</v>
      </c>
      <c r="B282" t="s">
        <v>186</v>
      </c>
      <c r="C282">
        <v>3</v>
      </c>
      <c r="D282">
        <v>6315140</v>
      </c>
      <c r="E282" t="s">
        <v>202</v>
      </c>
      <c r="F282" t="s">
        <v>188</v>
      </c>
      <c r="G282">
        <v>10144057</v>
      </c>
      <c r="H282" s="35">
        <v>46119</v>
      </c>
      <c r="I282" s="35">
        <v>46119</v>
      </c>
      <c r="J282">
        <v>2026</v>
      </c>
      <c r="K282">
        <v>4</v>
      </c>
      <c r="L282" t="s">
        <v>189</v>
      </c>
      <c r="M282">
        <v>1</v>
      </c>
      <c r="N282" t="s">
        <v>190</v>
      </c>
      <c r="O282" t="s">
        <v>191</v>
      </c>
      <c r="P282" t="s">
        <v>199</v>
      </c>
      <c r="Q282" t="s">
        <v>199</v>
      </c>
      <c r="R282">
        <v>15</v>
      </c>
      <c r="S282">
        <v>7</v>
      </c>
      <c r="T282">
        <v>14167</v>
      </c>
      <c r="U282">
        <v>3</v>
      </c>
      <c r="V282" t="s">
        <v>208</v>
      </c>
      <c r="W282" t="s">
        <v>18</v>
      </c>
      <c r="X282" t="s">
        <v>19</v>
      </c>
      <c r="Y282" t="s">
        <v>20</v>
      </c>
      <c r="Z282" t="s">
        <v>20</v>
      </c>
      <c r="AA282">
        <v>91</v>
      </c>
      <c r="AB282">
        <v>621008</v>
      </c>
      <c r="AC282" t="s">
        <v>194</v>
      </c>
      <c r="AD282" t="s">
        <v>195</v>
      </c>
      <c r="AE282">
        <v>0.5</v>
      </c>
      <c r="AF282">
        <v>6</v>
      </c>
      <c r="AG282">
        <v>186.87</v>
      </c>
      <c r="AH282">
        <v>0</v>
      </c>
      <c r="AI282">
        <v>0</v>
      </c>
      <c r="AJ282">
        <v>0</v>
      </c>
      <c r="AK282">
        <v>201.82</v>
      </c>
      <c r="AL282">
        <v>1121.22</v>
      </c>
      <c r="AM282">
        <v>1323</v>
      </c>
      <c r="AN282">
        <v>91</v>
      </c>
      <c r="AO282" t="s">
        <v>22</v>
      </c>
      <c r="AP282" t="s">
        <v>26</v>
      </c>
      <c r="AQ282">
        <v>10</v>
      </c>
      <c r="AR282">
        <v>138</v>
      </c>
      <c r="AS282" t="s">
        <v>90</v>
      </c>
      <c r="AT282">
        <v>73102</v>
      </c>
      <c r="AU282" t="s">
        <v>196</v>
      </c>
      <c r="AV282" t="s">
        <v>91</v>
      </c>
      <c r="AW282" t="s">
        <v>23</v>
      </c>
      <c r="AX282" t="s">
        <v>24</v>
      </c>
      <c r="AY282" t="s">
        <v>25</v>
      </c>
      <c r="AZ282" t="s">
        <v>197</v>
      </c>
      <c r="BA282" t="s">
        <v>504</v>
      </c>
      <c r="BB282">
        <v>0</v>
      </c>
      <c r="BC282">
        <v>0</v>
      </c>
      <c r="BD282" t="s">
        <v>199</v>
      </c>
      <c r="BE282" t="s">
        <v>199</v>
      </c>
      <c r="BF282">
        <v>0</v>
      </c>
      <c r="BG282">
        <v>0</v>
      </c>
      <c r="BH282" t="s">
        <v>200</v>
      </c>
      <c r="BI282">
        <v>13</v>
      </c>
      <c r="BJ282">
        <v>6315140</v>
      </c>
      <c r="BK282" t="s">
        <v>201</v>
      </c>
      <c r="BL282" t="s">
        <v>190</v>
      </c>
    </row>
    <row r="283" spans="1:64" x14ac:dyDescent="0.3">
      <c r="A283">
        <v>223</v>
      </c>
      <c r="B283" t="s">
        <v>186</v>
      </c>
      <c r="C283">
        <v>3</v>
      </c>
      <c r="D283">
        <v>6315140</v>
      </c>
      <c r="E283" t="s">
        <v>202</v>
      </c>
      <c r="F283" t="s">
        <v>188</v>
      </c>
      <c r="G283">
        <v>10144057</v>
      </c>
      <c r="H283" s="35">
        <v>46119</v>
      </c>
      <c r="I283" s="35">
        <v>46119</v>
      </c>
      <c r="J283">
        <v>2026</v>
      </c>
      <c r="K283">
        <v>4</v>
      </c>
      <c r="L283" t="s">
        <v>189</v>
      </c>
      <c r="M283">
        <v>1</v>
      </c>
      <c r="N283" t="s">
        <v>190</v>
      </c>
      <c r="O283" t="s">
        <v>191</v>
      </c>
      <c r="P283" t="s">
        <v>199</v>
      </c>
      <c r="Q283" t="s">
        <v>199</v>
      </c>
      <c r="R283">
        <v>15</v>
      </c>
      <c r="S283">
        <v>7</v>
      </c>
      <c r="T283">
        <v>14167</v>
      </c>
      <c r="U283">
        <v>3</v>
      </c>
      <c r="V283" t="s">
        <v>208</v>
      </c>
      <c r="W283" t="s">
        <v>18</v>
      </c>
      <c r="X283" t="s">
        <v>19</v>
      </c>
      <c r="Y283" t="s">
        <v>20</v>
      </c>
      <c r="Z283" t="s">
        <v>20</v>
      </c>
      <c r="AA283">
        <v>91</v>
      </c>
      <c r="AB283">
        <v>800089</v>
      </c>
      <c r="AC283" t="s">
        <v>295</v>
      </c>
      <c r="AD283" t="s">
        <v>296</v>
      </c>
      <c r="AE283">
        <v>0.5</v>
      </c>
      <c r="AF283">
        <v>4</v>
      </c>
      <c r="AG283">
        <v>364.41</v>
      </c>
      <c r="AH283">
        <v>0</v>
      </c>
      <c r="AI283">
        <v>0</v>
      </c>
      <c r="AJ283">
        <v>0</v>
      </c>
      <c r="AK283">
        <v>262.38</v>
      </c>
      <c r="AL283">
        <v>1457.64</v>
      </c>
      <c r="AM283">
        <v>1720</v>
      </c>
      <c r="AN283">
        <v>91</v>
      </c>
      <c r="AO283" t="s">
        <v>22</v>
      </c>
      <c r="AP283" t="s">
        <v>26</v>
      </c>
      <c r="AQ283">
        <v>10</v>
      </c>
      <c r="AR283">
        <v>105</v>
      </c>
      <c r="AS283" t="s">
        <v>85</v>
      </c>
      <c r="AT283">
        <v>677001</v>
      </c>
      <c r="AU283" t="s">
        <v>273</v>
      </c>
      <c r="AV283" t="s">
        <v>86</v>
      </c>
      <c r="AW283" t="s">
        <v>23</v>
      </c>
      <c r="AX283" t="s">
        <v>24</v>
      </c>
      <c r="AY283" t="s">
        <v>25</v>
      </c>
      <c r="AZ283" t="s">
        <v>197</v>
      </c>
      <c r="BA283" t="s">
        <v>504</v>
      </c>
      <c r="BB283">
        <v>0</v>
      </c>
      <c r="BC283">
        <v>0</v>
      </c>
      <c r="BD283" t="s">
        <v>199</v>
      </c>
      <c r="BE283" t="s">
        <v>199</v>
      </c>
      <c r="BF283">
        <v>0</v>
      </c>
      <c r="BG283">
        <v>0</v>
      </c>
      <c r="BH283" t="s">
        <v>200</v>
      </c>
      <c r="BI283">
        <v>13</v>
      </c>
      <c r="BJ283">
        <v>6315140</v>
      </c>
      <c r="BK283" t="s">
        <v>201</v>
      </c>
      <c r="BL283" t="s">
        <v>190</v>
      </c>
    </row>
    <row r="284" spans="1:64" x14ac:dyDescent="0.3">
      <c r="A284">
        <v>223</v>
      </c>
      <c r="B284" t="s">
        <v>186</v>
      </c>
      <c r="C284">
        <v>3</v>
      </c>
      <c r="D284">
        <v>6315140</v>
      </c>
      <c r="E284" t="s">
        <v>202</v>
      </c>
      <c r="F284" t="s">
        <v>188</v>
      </c>
      <c r="G284">
        <v>10144057</v>
      </c>
      <c r="H284" s="35">
        <v>46119</v>
      </c>
      <c r="I284" s="35">
        <v>46119</v>
      </c>
      <c r="J284">
        <v>2026</v>
      </c>
      <c r="K284">
        <v>4</v>
      </c>
      <c r="L284" t="s">
        <v>189</v>
      </c>
      <c r="M284">
        <v>1</v>
      </c>
      <c r="N284" t="s">
        <v>190</v>
      </c>
      <c r="O284" t="s">
        <v>191</v>
      </c>
      <c r="P284" t="s">
        <v>199</v>
      </c>
      <c r="Q284" t="s">
        <v>199</v>
      </c>
      <c r="R284">
        <v>15</v>
      </c>
      <c r="S284">
        <v>7</v>
      </c>
      <c r="T284">
        <v>14167</v>
      </c>
      <c r="U284">
        <v>3</v>
      </c>
      <c r="V284" t="s">
        <v>208</v>
      </c>
      <c r="W284" t="s">
        <v>18</v>
      </c>
      <c r="X284" t="s">
        <v>19</v>
      </c>
      <c r="Y284" t="s">
        <v>20</v>
      </c>
      <c r="Z284" t="s">
        <v>20</v>
      </c>
      <c r="AA284">
        <v>91</v>
      </c>
      <c r="AB284">
        <v>101038</v>
      </c>
      <c r="AC284" t="s">
        <v>271</v>
      </c>
      <c r="AD284" t="s">
        <v>272</v>
      </c>
      <c r="AE284">
        <v>0.4</v>
      </c>
      <c r="AF284">
        <v>4</v>
      </c>
      <c r="AG284">
        <v>364.41</v>
      </c>
      <c r="AH284">
        <v>0</v>
      </c>
      <c r="AI284">
        <v>0</v>
      </c>
      <c r="AJ284">
        <v>0</v>
      </c>
      <c r="AK284">
        <v>262.38</v>
      </c>
      <c r="AL284">
        <v>1457.64</v>
      </c>
      <c r="AM284">
        <v>1720</v>
      </c>
      <c r="AN284">
        <v>91</v>
      </c>
      <c r="AO284" t="s">
        <v>22</v>
      </c>
      <c r="AP284" t="s">
        <v>26</v>
      </c>
      <c r="AQ284">
        <v>10</v>
      </c>
      <c r="AR284">
        <v>105</v>
      </c>
      <c r="AS284" t="s">
        <v>85</v>
      </c>
      <c r="AT284">
        <v>677001</v>
      </c>
      <c r="AU284" t="s">
        <v>273</v>
      </c>
      <c r="AV284" t="s">
        <v>86</v>
      </c>
      <c r="AW284" t="s">
        <v>23</v>
      </c>
      <c r="AX284" t="s">
        <v>24</v>
      </c>
      <c r="AY284" t="s">
        <v>25</v>
      </c>
      <c r="AZ284" t="s">
        <v>197</v>
      </c>
      <c r="BA284" t="s">
        <v>504</v>
      </c>
      <c r="BB284">
        <v>0</v>
      </c>
      <c r="BC284">
        <v>0</v>
      </c>
      <c r="BD284" t="s">
        <v>199</v>
      </c>
      <c r="BE284" t="s">
        <v>199</v>
      </c>
      <c r="BF284">
        <v>0</v>
      </c>
      <c r="BG284">
        <v>0</v>
      </c>
      <c r="BH284" t="s">
        <v>200</v>
      </c>
      <c r="BI284">
        <v>13</v>
      </c>
      <c r="BJ284">
        <v>6315140</v>
      </c>
      <c r="BK284" t="s">
        <v>201</v>
      </c>
      <c r="BL284" t="s">
        <v>190</v>
      </c>
    </row>
    <row r="285" spans="1:64" x14ac:dyDescent="0.3">
      <c r="A285">
        <v>223</v>
      </c>
      <c r="B285" t="s">
        <v>186</v>
      </c>
      <c r="C285">
        <v>3</v>
      </c>
      <c r="D285">
        <v>6315140</v>
      </c>
      <c r="E285" t="s">
        <v>202</v>
      </c>
      <c r="F285" t="s">
        <v>188</v>
      </c>
      <c r="G285">
        <v>10144057</v>
      </c>
      <c r="H285" s="35">
        <v>46119</v>
      </c>
      <c r="I285" s="35">
        <v>46119</v>
      </c>
      <c r="J285">
        <v>2026</v>
      </c>
      <c r="K285">
        <v>4</v>
      </c>
      <c r="L285" t="s">
        <v>189</v>
      </c>
      <c r="M285">
        <v>1</v>
      </c>
      <c r="N285" t="s">
        <v>203</v>
      </c>
      <c r="O285" t="s">
        <v>191</v>
      </c>
      <c r="P285" t="s">
        <v>199</v>
      </c>
      <c r="Q285" t="s">
        <v>199</v>
      </c>
      <c r="R285">
        <v>15</v>
      </c>
      <c r="S285">
        <v>7</v>
      </c>
      <c r="T285">
        <v>14167</v>
      </c>
      <c r="U285">
        <v>3</v>
      </c>
      <c r="V285" t="s">
        <v>208</v>
      </c>
      <c r="W285" t="s">
        <v>18</v>
      </c>
      <c r="X285" t="s">
        <v>19</v>
      </c>
      <c r="Y285" t="s">
        <v>20</v>
      </c>
      <c r="Z285" t="s">
        <v>20</v>
      </c>
      <c r="AA285">
        <v>91</v>
      </c>
      <c r="AB285">
        <v>930012</v>
      </c>
      <c r="AC285" t="s">
        <v>312</v>
      </c>
      <c r="AD285" t="s">
        <v>313</v>
      </c>
      <c r="AE285">
        <v>0.3125</v>
      </c>
      <c r="AF285">
        <v>5</v>
      </c>
      <c r="AG285">
        <v>91.09</v>
      </c>
      <c r="AH285">
        <v>0</v>
      </c>
      <c r="AI285">
        <v>0</v>
      </c>
      <c r="AJ285">
        <v>0</v>
      </c>
      <c r="AK285">
        <v>81.98</v>
      </c>
      <c r="AL285">
        <v>455.45</v>
      </c>
      <c r="AM285">
        <v>537</v>
      </c>
      <c r="AN285">
        <v>91</v>
      </c>
      <c r="AO285" t="s">
        <v>22</v>
      </c>
      <c r="AP285" t="s">
        <v>26</v>
      </c>
      <c r="AQ285">
        <v>10</v>
      </c>
      <c r="AR285">
        <v>208</v>
      </c>
      <c r="AS285" t="s">
        <v>92</v>
      </c>
      <c r="AT285">
        <v>0</v>
      </c>
      <c r="AU285" t="s">
        <v>199</v>
      </c>
      <c r="AV285" t="s">
        <v>82</v>
      </c>
      <c r="AW285" t="s">
        <v>23</v>
      </c>
      <c r="AX285" t="s">
        <v>24</v>
      </c>
      <c r="AY285" t="s">
        <v>25</v>
      </c>
      <c r="AZ285" t="s">
        <v>197</v>
      </c>
      <c r="BA285" t="s">
        <v>504</v>
      </c>
      <c r="BB285">
        <v>0</v>
      </c>
      <c r="BC285">
        <v>0</v>
      </c>
      <c r="BD285" t="s">
        <v>199</v>
      </c>
      <c r="BE285" t="s">
        <v>199</v>
      </c>
      <c r="BF285">
        <v>0</v>
      </c>
      <c r="BG285">
        <v>0</v>
      </c>
      <c r="BH285" t="s">
        <v>200</v>
      </c>
      <c r="BI285">
        <v>13</v>
      </c>
      <c r="BJ285">
        <v>6315140</v>
      </c>
      <c r="BK285" t="s">
        <v>201</v>
      </c>
      <c r="BL285" t="s">
        <v>190</v>
      </c>
    </row>
    <row r="286" spans="1:64" x14ac:dyDescent="0.3">
      <c r="A286">
        <v>223</v>
      </c>
      <c r="B286" t="s">
        <v>186</v>
      </c>
      <c r="C286">
        <v>3</v>
      </c>
      <c r="D286">
        <v>6315164</v>
      </c>
      <c r="E286" t="s">
        <v>202</v>
      </c>
      <c r="F286" t="s">
        <v>188</v>
      </c>
      <c r="G286">
        <v>10144081</v>
      </c>
      <c r="H286" s="35">
        <v>46119</v>
      </c>
      <c r="I286" s="35">
        <v>46119</v>
      </c>
      <c r="J286">
        <v>2026</v>
      </c>
      <c r="K286">
        <v>4</v>
      </c>
      <c r="L286" t="s">
        <v>189</v>
      </c>
      <c r="M286">
        <v>1</v>
      </c>
      <c r="N286" t="s">
        <v>190</v>
      </c>
      <c r="O286" t="s">
        <v>191</v>
      </c>
      <c r="P286" t="s">
        <v>199</v>
      </c>
      <c r="Q286" t="s">
        <v>199</v>
      </c>
      <c r="R286">
        <v>15</v>
      </c>
      <c r="S286">
        <v>7</v>
      </c>
      <c r="T286">
        <v>12191</v>
      </c>
      <c r="U286">
        <v>3</v>
      </c>
      <c r="V286" t="s">
        <v>204</v>
      </c>
      <c r="W286" t="s">
        <v>27</v>
      </c>
      <c r="X286" t="s">
        <v>28</v>
      </c>
      <c r="Y286" t="s">
        <v>20</v>
      </c>
      <c r="Z286" t="s">
        <v>20</v>
      </c>
      <c r="AA286">
        <v>91</v>
      </c>
      <c r="AB286">
        <v>101038</v>
      </c>
      <c r="AC286" t="s">
        <v>271</v>
      </c>
      <c r="AD286" t="s">
        <v>272</v>
      </c>
      <c r="AE286">
        <v>0.5</v>
      </c>
      <c r="AF286">
        <v>5</v>
      </c>
      <c r="AG286">
        <v>364.41</v>
      </c>
      <c r="AH286">
        <v>0</v>
      </c>
      <c r="AI286">
        <v>0</v>
      </c>
      <c r="AJ286">
        <v>0</v>
      </c>
      <c r="AK286">
        <v>327.97</v>
      </c>
      <c r="AL286">
        <v>1822.05</v>
      </c>
      <c r="AM286">
        <v>2150</v>
      </c>
      <c r="AN286">
        <v>91</v>
      </c>
      <c r="AO286" t="s">
        <v>22</v>
      </c>
      <c r="AP286" t="s">
        <v>26</v>
      </c>
      <c r="AQ286">
        <v>10</v>
      </c>
      <c r="AR286">
        <v>105</v>
      </c>
      <c r="AS286" t="s">
        <v>85</v>
      </c>
      <c r="AT286">
        <v>677001</v>
      </c>
      <c r="AU286" t="s">
        <v>273</v>
      </c>
      <c r="AV286" t="s">
        <v>86</v>
      </c>
      <c r="AW286" t="s">
        <v>23</v>
      </c>
      <c r="AX286" t="s">
        <v>24</v>
      </c>
      <c r="AY286" t="s">
        <v>25</v>
      </c>
      <c r="AZ286" t="s">
        <v>197</v>
      </c>
      <c r="BA286" t="s">
        <v>505</v>
      </c>
      <c r="BB286">
        <v>0</v>
      </c>
      <c r="BC286">
        <v>0</v>
      </c>
      <c r="BD286" t="s">
        <v>199</v>
      </c>
      <c r="BE286" t="s">
        <v>199</v>
      </c>
      <c r="BF286">
        <v>0</v>
      </c>
      <c r="BG286">
        <v>0</v>
      </c>
      <c r="BH286" t="s">
        <v>200</v>
      </c>
      <c r="BI286">
        <v>13</v>
      </c>
      <c r="BJ286">
        <v>6315164</v>
      </c>
      <c r="BK286" t="s">
        <v>201</v>
      </c>
      <c r="BL286" t="s">
        <v>190</v>
      </c>
    </row>
    <row r="287" spans="1:64" x14ac:dyDescent="0.3">
      <c r="A287">
        <v>223</v>
      </c>
      <c r="B287" t="s">
        <v>186</v>
      </c>
      <c r="C287">
        <v>3</v>
      </c>
      <c r="D287">
        <v>6315164</v>
      </c>
      <c r="E287" t="s">
        <v>202</v>
      </c>
      <c r="F287" t="s">
        <v>188</v>
      </c>
      <c r="G287">
        <v>10144081</v>
      </c>
      <c r="H287" s="35">
        <v>46119</v>
      </c>
      <c r="I287" s="35">
        <v>46119</v>
      </c>
      <c r="J287">
        <v>2026</v>
      </c>
      <c r="K287">
        <v>4</v>
      </c>
      <c r="L287" t="s">
        <v>189</v>
      </c>
      <c r="M287">
        <v>1</v>
      </c>
      <c r="N287" t="s">
        <v>190</v>
      </c>
      <c r="O287" t="s">
        <v>191</v>
      </c>
      <c r="P287" t="s">
        <v>199</v>
      </c>
      <c r="Q287" t="s">
        <v>199</v>
      </c>
      <c r="R287">
        <v>15</v>
      </c>
      <c r="S287">
        <v>7</v>
      </c>
      <c r="T287">
        <v>12191</v>
      </c>
      <c r="U287">
        <v>3</v>
      </c>
      <c r="V287" t="s">
        <v>204</v>
      </c>
      <c r="W287" t="s">
        <v>27</v>
      </c>
      <c r="X287" t="s">
        <v>28</v>
      </c>
      <c r="Y287" t="s">
        <v>20</v>
      </c>
      <c r="Z287" t="s">
        <v>20</v>
      </c>
      <c r="AA287">
        <v>91</v>
      </c>
      <c r="AB287">
        <v>201001</v>
      </c>
      <c r="AC287" t="s">
        <v>248</v>
      </c>
      <c r="AD287" t="s">
        <v>249</v>
      </c>
      <c r="AE287">
        <v>5</v>
      </c>
      <c r="AF287">
        <v>5</v>
      </c>
      <c r="AG287">
        <v>221.67</v>
      </c>
      <c r="AH287">
        <v>0</v>
      </c>
      <c r="AI287">
        <v>0</v>
      </c>
      <c r="AJ287">
        <v>0</v>
      </c>
      <c r="AK287">
        <v>199.5</v>
      </c>
      <c r="AL287">
        <v>1108.3499999999999</v>
      </c>
      <c r="AM287">
        <v>1308</v>
      </c>
      <c r="AN287">
        <v>91</v>
      </c>
      <c r="AO287" t="s">
        <v>22</v>
      </c>
      <c r="AP287" t="s">
        <v>26</v>
      </c>
      <c r="AQ287">
        <v>10</v>
      </c>
      <c r="AR287">
        <v>113</v>
      </c>
      <c r="AS287" t="s">
        <v>89</v>
      </c>
      <c r="AT287">
        <v>82101</v>
      </c>
      <c r="AU287" t="s">
        <v>252</v>
      </c>
      <c r="AV287" t="s">
        <v>80</v>
      </c>
      <c r="AW287" t="s">
        <v>23</v>
      </c>
      <c r="AX287" t="s">
        <v>24</v>
      </c>
      <c r="AY287" t="s">
        <v>25</v>
      </c>
      <c r="AZ287" t="s">
        <v>197</v>
      </c>
      <c r="BA287" t="s">
        <v>505</v>
      </c>
      <c r="BB287">
        <v>0</v>
      </c>
      <c r="BC287">
        <v>0</v>
      </c>
      <c r="BD287" t="s">
        <v>199</v>
      </c>
      <c r="BE287" t="s">
        <v>199</v>
      </c>
      <c r="BF287">
        <v>0</v>
      </c>
      <c r="BG287">
        <v>0</v>
      </c>
      <c r="BH287" t="s">
        <v>200</v>
      </c>
      <c r="BI287">
        <v>13</v>
      </c>
      <c r="BJ287">
        <v>6315164</v>
      </c>
      <c r="BK287" t="s">
        <v>201</v>
      </c>
      <c r="BL287" t="s">
        <v>190</v>
      </c>
    </row>
    <row r="288" spans="1:64" x14ac:dyDescent="0.3">
      <c r="A288">
        <v>242</v>
      </c>
      <c r="B288" t="s">
        <v>186</v>
      </c>
      <c r="C288">
        <v>3</v>
      </c>
      <c r="D288">
        <v>6319084</v>
      </c>
      <c r="E288" t="s">
        <v>275</v>
      </c>
      <c r="F288" t="s">
        <v>188</v>
      </c>
      <c r="G288">
        <v>10148001</v>
      </c>
      <c r="H288" s="35">
        <v>46121</v>
      </c>
      <c r="I288" s="35">
        <v>46121</v>
      </c>
      <c r="J288">
        <v>2026</v>
      </c>
      <c r="K288">
        <v>4</v>
      </c>
      <c r="L288" t="s">
        <v>189</v>
      </c>
      <c r="M288">
        <v>1</v>
      </c>
      <c r="N288" t="s">
        <v>190</v>
      </c>
      <c r="O288" t="s">
        <v>191</v>
      </c>
      <c r="P288" t="s">
        <v>199</v>
      </c>
      <c r="Q288" t="s">
        <v>199</v>
      </c>
      <c r="R288">
        <v>15</v>
      </c>
      <c r="S288">
        <v>9</v>
      </c>
      <c r="T288">
        <v>2280</v>
      </c>
      <c r="U288">
        <v>3</v>
      </c>
      <c r="V288" t="s">
        <v>193</v>
      </c>
      <c r="W288" t="s">
        <v>29</v>
      </c>
      <c r="X288" t="s">
        <v>19</v>
      </c>
      <c r="Y288" t="s">
        <v>30</v>
      </c>
      <c r="Z288" t="s">
        <v>30</v>
      </c>
      <c r="AA288">
        <v>14</v>
      </c>
      <c r="AB288">
        <v>201001</v>
      </c>
      <c r="AC288" t="s">
        <v>248</v>
      </c>
      <c r="AD288" t="s">
        <v>249</v>
      </c>
      <c r="AE288">
        <v>1</v>
      </c>
      <c r="AF288">
        <v>1</v>
      </c>
      <c r="AG288">
        <v>221.67</v>
      </c>
      <c r="AH288">
        <v>0</v>
      </c>
      <c r="AI288">
        <v>0</v>
      </c>
      <c r="AJ288">
        <v>0</v>
      </c>
      <c r="AK288">
        <v>39.9</v>
      </c>
      <c r="AL288">
        <v>221.67</v>
      </c>
      <c r="AM288">
        <v>262</v>
      </c>
      <c r="AN288">
        <v>14</v>
      </c>
      <c r="AO288" t="s">
        <v>32</v>
      </c>
      <c r="AP288" t="s">
        <v>34</v>
      </c>
      <c r="AQ288">
        <v>10</v>
      </c>
      <c r="AR288">
        <v>113</v>
      </c>
      <c r="AS288" t="s">
        <v>89</v>
      </c>
      <c r="AT288">
        <v>82101</v>
      </c>
      <c r="AU288" t="s">
        <v>252</v>
      </c>
      <c r="AV288" t="s">
        <v>80</v>
      </c>
      <c r="AW288" t="s">
        <v>23</v>
      </c>
      <c r="AX288" t="s">
        <v>24</v>
      </c>
      <c r="AY288" t="s">
        <v>33</v>
      </c>
      <c r="AZ288" t="s">
        <v>197</v>
      </c>
      <c r="BA288" t="s">
        <v>506</v>
      </c>
      <c r="BB288">
        <v>0</v>
      </c>
      <c r="BC288">
        <v>0</v>
      </c>
      <c r="BD288" t="s">
        <v>199</v>
      </c>
      <c r="BE288" t="s">
        <v>199</v>
      </c>
      <c r="BF288">
        <v>0</v>
      </c>
      <c r="BG288">
        <v>0</v>
      </c>
      <c r="BH288" t="s">
        <v>200</v>
      </c>
      <c r="BI288">
        <v>13</v>
      </c>
      <c r="BJ288">
        <v>6319084</v>
      </c>
      <c r="BK288" t="s">
        <v>201</v>
      </c>
      <c r="BL288" t="s">
        <v>190</v>
      </c>
    </row>
    <row r="289" spans="1:64" x14ac:dyDescent="0.3">
      <c r="A289">
        <v>242</v>
      </c>
      <c r="B289" t="s">
        <v>186</v>
      </c>
      <c r="C289">
        <v>3</v>
      </c>
      <c r="D289">
        <v>6319084</v>
      </c>
      <c r="E289" t="s">
        <v>275</v>
      </c>
      <c r="F289" t="s">
        <v>188</v>
      </c>
      <c r="G289">
        <v>10148001</v>
      </c>
      <c r="H289" s="35">
        <v>46121</v>
      </c>
      <c r="I289" s="35">
        <v>46121</v>
      </c>
      <c r="J289">
        <v>2026</v>
      </c>
      <c r="K289">
        <v>4</v>
      </c>
      <c r="L289" t="s">
        <v>189</v>
      </c>
      <c r="M289">
        <v>1</v>
      </c>
      <c r="N289" t="s">
        <v>190</v>
      </c>
      <c r="O289" t="s">
        <v>191</v>
      </c>
      <c r="P289" t="s">
        <v>199</v>
      </c>
      <c r="Q289" t="s">
        <v>199</v>
      </c>
      <c r="R289">
        <v>15</v>
      </c>
      <c r="S289">
        <v>9</v>
      </c>
      <c r="T289">
        <v>2280</v>
      </c>
      <c r="U289">
        <v>3</v>
      </c>
      <c r="V289" t="s">
        <v>193</v>
      </c>
      <c r="W289" t="s">
        <v>29</v>
      </c>
      <c r="X289" t="s">
        <v>19</v>
      </c>
      <c r="Y289" t="s">
        <v>30</v>
      </c>
      <c r="Z289" t="s">
        <v>30</v>
      </c>
      <c r="AA289">
        <v>14</v>
      </c>
      <c r="AB289">
        <v>611049</v>
      </c>
      <c r="AC289" t="s">
        <v>437</v>
      </c>
      <c r="AD289" t="s">
        <v>438</v>
      </c>
      <c r="AE289">
        <v>1</v>
      </c>
      <c r="AF289">
        <v>24</v>
      </c>
      <c r="AG289">
        <v>27.76</v>
      </c>
      <c r="AH289">
        <v>0</v>
      </c>
      <c r="AI289">
        <v>0</v>
      </c>
      <c r="AJ289">
        <v>0</v>
      </c>
      <c r="AK289">
        <v>119.92</v>
      </c>
      <c r="AL289">
        <v>666.24</v>
      </c>
      <c r="AM289">
        <v>786</v>
      </c>
      <c r="AN289">
        <v>14</v>
      </c>
      <c r="AO289" t="s">
        <v>32</v>
      </c>
      <c r="AP289" t="s">
        <v>34</v>
      </c>
      <c r="AQ289">
        <v>10</v>
      </c>
      <c r="AR289">
        <v>113</v>
      </c>
      <c r="AS289" t="s">
        <v>89</v>
      </c>
      <c r="AT289">
        <v>82102</v>
      </c>
      <c r="AU289" t="s">
        <v>439</v>
      </c>
      <c r="AV289" t="s">
        <v>80</v>
      </c>
      <c r="AW289" t="s">
        <v>23</v>
      </c>
      <c r="AX289" t="s">
        <v>24</v>
      </c>
      <c r="AY289" t="s">
        <v>33</v>
      </c>
      <c r="AZ289" t="s">
        <v>197</v>
      </c>
      <c r="BA289" t="s">
        <v>506</v>
      </c>
      <c r="BB289">
        <v>0</v>
      </c>
      <c r="BC289">
        <v>0</v>
      </c>
      <c r="BD289" t="s">
        <v>199</v>
      </c>
      <c r="BE289" t="s">
        <v>199</v>
      </c>
      <c r="BF289">
        <v>0</v>
      </c>
      <c r="BG289">
        <v>0</v>
      </c>
      <c r="BH289" t="s">
        <v>200</v>
      </c>
      <c r="BI289">
        <v>13</v>
      </c>
      <c r="BJ289">
        <v>6319084</v>
      </c>
      <c r="BK289" t="s">
        <v>201</v>
      </c>
      <c r="BL289" t="s">
        <v>190</v>
      </c>
    </row>
    <row r="290" spans="1:64" x14ac:dyDescent="0.3">
      <c r="A290">
        <v>242</v>
      </c>
      <c r="B290" t="s">
        <v>186</v>
      </c>
      <c r="C290">
        <v>3</v>
      </c>
      <c r="D290">
        <v>6319084</v>
      </c>
      <c r="E290" t="s">
        <v>275</v>
      </c>
      <c r="F290" t="s">
        <v>188</v>
      </c>
      <c r="G290">
        <v>10148001</v>
      </c>
      <c r="H290" s="35">
        <v>46121</v>
      </c>
      <c r="I290" s="35">
        <v>46121</v>
      </c>
      <c r="J290">
        <v>2026</v>
      </c>
      <c r="K290">
        <v>4</v>
      </c>
      <c r="L290" t="s">
        <v>189</v>
      </c>
      <c r="M290">
        <v>1</v>
      </c>
      <c r="N290" t="s">
        <v>190</v>
      </c>
      <c r="O290" t="s">
        <v>191</v>
      </c>
      <c r="P290" t="s">
        <v>199</v>
      </c>
      <c r="Q290" t="s">
        <v>199</v>
      </c>
      <c r="R290">
        <v>15</v>
      </c>
      <c r="S290">
        <v>9</v>
      </c>
      <c r="T290">
        <v>2280</v>
      </c>
      <c r="U290">
        <v>3</v>
      </c>
      <c r="V290" t="s">
        <v>193</v>
      </c>
      <c r="W290" t="s">
        <v>29</v>
      </c>
      <c r="X290" t="s">
        <v>19</v>
      </c>
      <c r="Y290" t="s">
        <v>30</v>
      </c>
      <c r="Z290" t="s">
        <v>30</v>
      </c>
      <c r="AA290">
        <v>14</v>
      </c>
      <c r="AB290">
        <v>103001</v>
      </c>
      <c r="AC290" t="s">
        <v>286</v>
      </c>
      <c r="AD290" t="s">
        <v>287</v>
      </c>
      <c r="AE290">
        <v>1</v>
      </c>
      <c r="AF290">
        <v>48</v>
      </c>
      <c r="AG290">
        <v>21.36</v>
      </c>
      <c r="AH290">
        <v>0</v>
      </c>
      <c r="AI290">
        <v>0</v>
      </c>
      <c r="AJ290">
        <v>0</v>
      </c>
      <c r="AK290">
        <v>184.55</v>
      </c>
      <c r="AL290">
        <v>1025.28</v>
      </c>
      <c r="AM290">
        <v>1210</v>
      </c>
      <c r="AN290">
        <v>14</v>
      </c>
      <c r="AO290" t="s">
        <v>32</v>
      </c>
      <c r="AP290" t="s">
        <v>34</v>
      </c>
      <c r="AQ290">
        <v>10</v>
      </c>
      <c r="AR290">
        <v>107</v>
      </c>
      <c r="AS290" t="s">
        <v>96</v>
      </c>
      <c r="AT290">
        <v>6770651</v>
      </c>
      <c r="AU290" t="s">
        <v>288</v>
      </c>
      <c r="AV290" t="s">
        <v>86</v>
      </c>
      <c r="AW290" t="s">
        <v>23</v>
      </c>
      <c r="AX290" t="s">
        <v>24</v>
      </c>
      <c r="AY290" t="s">
        <v>33</v>
      </c>
      <c r="AZ290" t="s">
        <v>197</v>
      </c>
      <c r="BA290" t="s">
        <v>506</v>
      </c>
      <c r="BB290">
        <v>0</v>
      </c>
      <c r="BC290">
        <v>0</v>
      </c>
      <c r="BD290" t="s">
        <v>199</v>
      </c>
      <c r="BE290" t="s">
        <v>199</v>
      </c>
      <c r="BF290">
        <v>0</v>
      </c>
      <c r="BG290">
        <v>0</v>
      </c>
      <c r="BH290" t="s">
        <v>200</v>
      </c>
      <c r="BI290">
        <v>13</v>
      </c>
      <c r="BJ290">
        <v>6319084</v>
      </c>
      <c r="BK290" t="s">
        <v>201</v>
      </c>
      <c r="BL290" t="s">
        <v>190</v>
      </c>
    </row>
    <row r="291" spans="1:64" x14ac:dyDescent="0.3">
      <c r="A291">
        <v>242</v>
      </c>
      <c r="B291" t="s">
        <v>186</v>
      </c>
      <c r="C291">
        <v>3</v>
      </c>
      <c r="D291">
        <v>6319084</v>
      </c>
      <c r="E291" t="s">
        <v>275</v>
      </c>
      <c r="F291" t="s">
        <v>188</v>
      </c>
      <c r="G291">
        <v>10148001</v>
      </c>
      <c r="H291" s="35">
        <v>46121</v>
      </c>
      <c r="I291" s="35">
        <v>46121</v>
      </c>
      <c r="J291">
        <v>2026</v>
      </c>
      <c r="K291">
        <v>4</v>
      </c>
      <c r="L291" t="s">
        <v>189</v>
      </c>
      <c r="M291">
        <v>1</v>
      </c>
      <c r="N291" t="s">
        <v>190</v>
      </c>
      <c r="O291" t="s">
        <v>191</v>
      </c>
      <c r="P291" t="s">
        <v>199</v>
      </c>
      <c r="Q291" t="s">
        <v>199</v>
      </c>
      <c r="R291">
        <v>15</v>
      </c>
      <c r="S291">
        <v>9</v>
      </c>
      <c r="T291">
        <v>2280</v>
      </c>
      <c r="U291">
        <v>3</v>
      </c>
      <c r="V291" t="s">
        <v>193</v>
      </c>
      <c r="W291" t="s">
        <v>29</v>
      </c>
      <c r="X291" t="s">
        <v>19</v>
      </c>
      <c r="Y291" t="s">
        <v>30</v>
      </c>
      <c r="Z291" t="s">
        <v>30</v>
      </c>
      <c r="AA291">
        <v>14</v>
      </c>
      <c r="AB291">
        <v>103001</v>
      </c>
      <c r="AC291" t="s">
        <v>286</v>
      </c>
      <c r="AD291" t="s">
        <v>287</v>
      </c>
      <c r="AE291">
        <v>0.10416666666666</v>
      </c>
      <c r="AF291">
        <v>5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14</v>
      </c>
      <c r="AO291" t="s">
        <v>32</v>
      </c>
      <c r="AP291" t="s">
        <v>34</v>
      </c>
      <c r="AQ291">
        <v>10</v>
      </c>
      <c r="AR291">
        <v>107</v>
      </c>
      <c r="AS291" t="s">
        <v>96</v>
      </c>
      <c r="AT291">
        <v>6770651</v>
      </c>
      <c r="AU291" t="s">
        <v>288</v>
      </c>
      <c r="AV291" t="s">
        <v>86</v>
      </c>
      <c r="AW291" t="s">
        <v>23</v>
      </c>
      <c r="AX291" t="s">
        <v>24</v>
      </c>
      <c r="AY291" t="s">
        <v>33</v>
      </c>
      <c r="AZ291" t="s">
        <v>197</v>
      </c>
      <c r="BA291" t="s">
        <v>506</v>
      </c>
      <c r="BB291">
        <v>0</v>
      </c>
      <c r="BC291">
        <v>1</v>
      </c>
      <c r="BD291">
        <v>3524</v>
      </c>
      <c r="BE291" t="s">
        <v>507</v>
      </c>
      <c r="BF291">
        <v>0</v>
      </c>
      <c r="BG291">
        <v>0</v>
      </c>
      <c r="BH291" t="s">
        <v>200</v>
      </c>
      <c r="BI291">
        <v>13</v>
      </c>
      <c r="BJ291">
        <v>6319084</v>
      </c>
      <c r="BK291" t="s">
        <v>201</v>
      </c>
      <c r="BL291" t="s">
        <v>190</v>
      </c>
    </row>
    <row r="292" spans="1:64" x14ac:dyDescent="0.3">
      <c r="A292">
        <v>242</v>
      </c>
      <c r="B292" t="s">
        <v>186</v>
      </c>
      <c r="C292">
        <v>3</v>
      </c>
      <c r="D292">
        <v>6319084</v>
      </c>
      <c r="E292" t="s">
        <v>275</v>
      </c>
      <c r="F292" t="s">
        <v>188</v>
      </c>
      <c r="G292">
        <v>10148001</v>
      </c>
      <c r="H292" s="35">
        <v>46121</v>
      </c>
      <c r="I292" s="35">
        <v>46121</v>
      </c>
      <c r="J292">
        <v>2026</v>
      </c>
      <c r="K292">
        <v>4</v>
      </c>
      <c r="L292" t="s">
        <v>189</v>
      </c>
      <c r="M292">
        <v>1</v>
      </c>
      <c r="N292" t="s">
        <v>190</v>
      </c>
      <c r="O292" t="s">
        <v>191</v>
      </c>
      <c r="P292" t="s">
        <v>199</v>
      </c>
      <c r="Q292" t="s">
        <v>199</v>
      </c>
      <c r="R292">
        <v>15</v>
      </c>
      <c r="S292">
        <v>9</v>
      </c>
      <c r="T292">
        <v>2280</v>
      </c>
      <c r="U292">
        <v>3</v>
      </c>
      <c r="V292" t="s">
        <v>193</v>
      </c>
      <c r="W292" t="s">
        <v>29</v>
      </c>
      <c r="X292" t="s">
        <v>19</v>
      </c>
      <c r="Y292" t="s">
        <v>30</v>
      </c>
      <c r="Z292" t="s">
        <v>30</v>
      </c>
      <c r="AA292">
        <v>14</v>
      </c>
      <c r="AB292">
        <v>101130</v>
      </c>
      <c r="AC292" t="s">
        <v>508</v>
      </c>
      <c r="AD292" t="s">
        <v>509</v>
      </c>
      <c r="AE292">
        <v>2.2222222222219999E-2</v>
      </c>
      <c r="AF292">
        <v>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14</v>
      </c>
      <c r="AO292" t="s">
        <v>32</v>
      </c>
      <c r="AP292" t="s">
        <v>34</v>
      </c>
      <c r="AQ292">
        <v>10</v>
      </c>
      <c r="AR292">
        <v>111</v>
      </c>
      <c r="AS292" t="s">
        <v>97</v>
      </c>
      <c r="AT292">
        <v>677001</v>
      </c>
      <c r="AU292" t="s">
        <v>273</v>
      </c>
      <c r="AV292" t="s">
        <v>86</v>
      </c>
      <c r="AW292" t="s">
        <v>23</v>
      </c>
      <c r="AX292" t="s">
        <v>24</v>
      </c>
      <c r="AY292" t="s">
        <v>33</v>
      </c>
      <c r="AZ292" t="s">
        <v>197</v>
      </c>
      <c r="BA292" t="s">
        <v>506</v>
      </c>
      <c r="BB292">
        <v>0</v>
      </c>
      <c r="BC292">
        <v>1</v>
      </c>
      <c r="BD292">
        <v>3524</v>
      </c>
      <c r="BE292" t="s">
        <v>507</v>
      </c>
      <c r="BF292">
        <v>0</v>
      </c>
      <c r="BG292">
        <v>0</v>
      </c>
      <c r="BH292" t="s">
        <v>200</v>
      </c>
      <c r="BI292">
        <v>13</v>
      </c>
      <c r="BJ292">
        <v>6319084</v>
      </c>
      <c r="BK292" t="s">
        <v>201</v>
      </c>
      <c r="BL292" t="s">
        <v>190</v>
      </c>
    </row>
    <row r="293" spans="1:64" x14ac:dyDescent="0.3">
      <c r="A293">
        <v>125</v>
      </c>
      <c r="B293" t="s">
        <v>186</v>
      </c>
      <c r="C293">
        <v>3</v>
      </c>
      <c r="D293">
        <v>6319365</v>
      </c>
      <c r="E293" t="s">
        <v>213</v>
      </c>
      <c r="F293" t="s">
        <v>188</v>
      </c>
      <c r="G293">
        <v>10148282</v>
      </c>
      <c r="H293" s="35">
        <v>46121</v>
      </c>
      <c r="I293" s="35">
        <v>46121</v>
      </c>
      <c r="J293">
        <v>2026</v>
      </c>
      <c r="K293">
        <v>4</v>
      </c>
      <c r="L293" t="s">
        <v>189</v>
      </c>
      <c r="M293">
        <v>1</v>
      </c>
      <c r="N293" t="s">
        <v>190</v>
      </c>
      <c r="O293" t="s">
        <v>191</v>
      </c>
      <c r="P293" t="s">
        <v>199</v>
      </c>
      <c r="Q293" t="s">
        <v>199</v>
      </c>
      <c r="R293">
        <v>15</v>
      </c>
      <c r="S293">
        <v>9</v>
      </c>
      <c r="T293">
        <v>36908</v>
      </c>
      <c r="U293">
        <v>3</v>
      </c>
      <c r="V293" t="s">
        <v>215</v>
      </c>
      <c r="W293" t="s">
        <v>67</v>
      </c>
      <c r="X293" t="s">
        <v>28</v>
      </c>
      <c r="Y293" t="s">
        <v>30</v>
      </c>
      <c r="Z293" t="s">
        <v>30</v>
      </c>
      <c r="AA293">
        <v>11</v>
      </c>
      <c r="AB293">
        <v>800089</v>
      </c>
      <c r="AC293" t="s">
        <v>295</v>
      </c>
      <c r="AD293" t="s">
        <v>296</v>
      </c>
      <c r="AE293">
        <v>1</v>
      </c>
      <c r="AF293">
        <v>8</v>
      </c>
      <c r="AG293">
        <v>360.77</v>
      </c>
      <c r="AH293">
        <v>0</v>
      </c>
      <c r="AI293">
        <v>0</v>
      </c>
      <c r="AJ293">
        <v>0</v>
      </c>
      <c r="AK293">
        <v>519.51</v>
      </c>
      <c r="AL293">
        <v>2886.16</v>
      </c>
      <c r="AM293">
        <v>3406</v>
      </c>
      <c r="AN293">
        <v>199</v>
      </c>
      <c r="AO293" t="s">
        <v>218</v>
      </c>
      <c r="AP293" t="s">
        <v>219</v>
      </c>
      <c r="AQ293">
        <v>10</v>
      </c>
      <c r="AR293">
        <v>105</v>
      </c>
      <c r="AS293" t="s">
        <v>85</v>
      </c>
      <c r="AT293">
        <v>677001</v>
      </c>
      <c r="AU293" t="s">
        <v>273</v>
      </c>
      <c r="AV293" t="s">
        <v>86</v>
      </c>
      <c r="AW293" t="s">
        <v>70</v>
      </c>
      <c r="AX293" t="s">
        <v>71</v>
      </c>
      <c r="AY293" t="s">
        <v>220</v>
      </c>
      <c r="AZ293" t="s">
        <v>221</v>
      </c>
      <c r="BA293" t="s">
        <v>510</v>
      </c>
      <c r="BB293">
        <v>0</v>
      </c>
      <c r="BC293">
        <v>0</v>
      </c>
      <c r="BD293" t="s">
        <v>199</v>
      </c>
      <c r="BE293" t="s">
        <v>199</v>
      </c>
      <c r="BF293">
        <v>0</v>
      </c>
      <c r="BG293">
        <v>0</v>
      </c>
      <c r="BH293" t="s">
        <v>200</v>
      </c>
      <c r="BI293">
        <v>13</v>
      </c>
      <c r="BJ293">
        <v>6319365</v>
      </c>
      <c r="BK293" t="s">
        <v>201</v>
      </c>
      <c r="BL293" t="s">
        <v>190</v>
      </c>
    </row>
    <row r="294" spans="1:64" x14ac:dyDescent="0.3">
      <c r="A294">
        <v>125</v>
      </c>
      <c r="B294" t="s">
        <v>186</v>
      </c>
      <c r="C294">
        <v>3</v>
      </c>
      <c r="D294">
        <v>6319365</v>
      </c>
      <c r="E294" t="s">
        <v>213</v>
      </c>
      <c r="F294" t="s">
        <v>188</v>
      </c>
      <c r="G294">
        <v>10148282</v>
      </c>
      <c r="H294" s="35">
        <v>46121</v>
      </c>
      <c r="I294" s="35">
        <v>46121</v>
      </c>
      <c r="J294">
        <v>2026</v>
      </c>
      <c r="K294">
        <v>4</v>
      </c>
      <c r="L294" t="s">
        <v>189</v>
      </c>
      <c r="M294">
        <v>1</v>
      </c>
      <c r="N294" t="s">
        <v>190</v>
      </c>
      <c r="O294" t="s">
        <v>191</v>
      </c>
      <c r="P294" t="s">
        <v>199</v>
      </c>
      <c r="Q294" t="s">
        <v>199</v>
      </c>
      <c r="R294">
        <v>15</v>
      </c>
      <c r="S294">
        <v>9</v>
      </c>
      <c r="T294">
        <v>36908</v>
      </c>
      <c r="U294">
        <v>3</v>
      </c>
      <c r="V294" t="s">
        <v>215</v>
      </c>
      <c r="W294" t="s">
        <v>67</v>
      </c>
      <c r="X294" t="s">
        <v>28</v>
      </c>
      <c r="Y294" t="s">
        <v>30</v>
      </c>
      <c r="Z294" t="s">
        <v>30</v>
      </c>
      <c r="AA294">
        <v>11</v>
      </c>
      <c r="AB294">
        <v>101038</v>
      </c>
      <c r="AC294" t="s">
        <v>271</v>
      </c>
      <c r="AD294" t="s">
        <v>272</v>
      </c>
      <c r="AE294">
        <v>1</v>
      </c>
      <c r="AF294">
        <v>10</v>
      </c>
      <c r="AG294">
        <v>360.77</v>
      </c>
      <c r="AH294">
        <v>0</v>
      </c>
      <c r="AI294">
        <v>0</v>
      </c>
      <c r="AJ294">
        <v>0</v>
      </c>
      <c r="AK294">
        <v>649.39</v>
      </c>
      <c r="AL294">
        <v>3607.7</v>
      </c>
      <c r="AM294">
        <v>4257</v>
      </c>
      <c r="AN294">
        <v>199</v>
      </c>
      <c r="AO294" t="s">
        <v>218</v>
      </c>
      <c r="AP294" t="s">
        <v>219</v>
      </c>
      <c r="AQ294">
        <v>10</v>
      </c>
      <c r="AR294">
        <v>105</v>
      </c>
      <c r="AS294" t="s">
        <v>85</v>
      </c>
      <c r="AT294">
        <v>677001</v>
      </c>
      <c r="AU294" t="s">
        <v>273</v>
      </c>
      <c r="AV294" t="s">
        <v>86</v>
      </c>
      <c r="AW294" t="s">
        <v>70</v>
      </c>
      <c r="AX294" t="s">
        <v>71</v>
      </c>
      <c r="AY294" t="s">
        <v>220</v>
      </c>
      <c r="AZ294" t="s">
        <v>221</v>
      </c>
      <c r="BA294" t="s">
        <v>510</v>
      </c>
      <c r="BB294">
        <v>0</v>
      </c>
      <c r="BC294">
        <v>0</v>
      </c>
      <c r="BD294" t="s">
        <v>199</v>
      </c>
      <c r="BE294" t="s">
        <v>199</v>
      </c>
      <c r="BF294">
        <v>0</v>
      </c>
      <c r="BG294">
        <v>0</v>
      </c>
      <c r="BH294" t="s">
        <v>200</v>
      </c>
      <c r="BI294">
        <v>13</v>
      </c>
      <c r="BJ294">
        <v>6319365</v>
      </c>
      <c r="BK294" t="s">
        <v>201</v>
      </c>
      <c r="BL294" t="s">
        <v>190</v>
      </c>
    </row>
    <row r="295" spans="1:64" x14ac:dyDescent="0.3">
      <c r="A295">
        <v>125</v>
      </c>
      <c r="B295" t="s">
        <v>186</v>
      </c>
      <c r="C295">
        <v>3</v>
      </c>
      <c r="D295">
        <v>6319365</v>
      </c>
      <c r="E295" t="s">
        <v>213</v>
      </c>
      <c r="F295" t="s">
        <v>188</v>
      </c>
      <c r="G295">
        <v>10148282</v>
      </c>
      <c r="H295" s="35">
        <v>46121</v>
      </c>
      <c r="I295" s="35">
        <v>46121</v>
      </c>
      <c r="J295">
        <v>2026</v>
      </c>
      <c r="K295">
        <v>4</v>
      </c>
      <c r="L295" t="s">
        <v>189</v>
      </c>
      <c r="M295">
        <v>1</v>
      </c>
      <c r="N295" t="s">
        <v>190</v>
      </c>
      <c r="O295" t="s">
        <v>191</v>
      </c>
      <c r="P295" t="s">
        <v>199</v>
      </c>
      <c r="Q295" t="s">
        <v>199</v>
      </c>
      <c r="R295">
        <v>15</v>
      </c>
      <c r="S295">
        <v>9</v>
      </c>
      <c r="T295">
        <v>36908</v>
      </c>
      <c r="U295">
        <v>3</v>
      </c>
      <c r="V295" t="s">
        <v>215</v>
      </c>
      <c r="W295" t="s">
        <v>67</v>
      </c>
      <c r="X295" t="s">
        <v>28</v>
      </c>
      <c r="Y295" t="s">
        <v>30</v>
      </c>
      <c r="Z295" t="s">
        <v>30</v>
      </c>
      <c r="AA295">
        <v>11</v>
      </c>
      <c r="AB295">
        <v>201001</v>
      </c>
      <c r="AC295" t="s">
        <v>248</v>
      </c>
      <c r="AD295" t="s">
        <v>249</v>
      </c>
      <c r="AE295">
        <v>25</v>
      </c>
      <c r="AF295">
        <v>25</v>
      </c>
      <c r="AG295">
        <v>210.59</v>
      </c>
      <c r="AH295">
        <v>0</v>
      </c>
      <c r="AI295">
        <v>0</v>
      </c>
      <c r="AJ295">
        <v>0</v>
      </c>
      <c r="AK295">
        <v>947.66</v>
      </c>
      <c r="AL295">
        <v>5264.75</v>
      </c>
      <c r="AM295">
        <v>6212</v>
      </c>
      <c r="AN295">
        <v>199</v>
      </c>
      <c r="AO295" t="s">
        <v>218</v>
      </c>
      <c r="AP295" t="s">
        <v>219</v>
      </c>
      <c r="AQ295">
        <v>10</v>
      </c>
      <c r="AR295">
        <v>113</v>
      </c>
      <c r="AS295" t="s">
        <v>89</v>
      </c>
      <c r="AT295">
        <v>82101</v>
      </c>
      <c r="AU295" t="s">
        <v>252</v>
      </c>
      <c r="AV295" t="s">
        <v>80</v>
      </c>
      <c r="AW295" t="s">
        <v>70</v>
      </c>
      <c r="AX295" t="s">
        <v>71</v>
      </c>
      <c r="AY295" t="s">
        <v>220</v>
      </c>
      <c r="AZ295" t="s">
        <v>221</v>
      </c>
      <c r="BA295" t="s">
        <v>510</v>
      </c>
      <c r="BB295">
        <v>0</v>
      </c>
      <c r="BC295">
        <v>0</v>
      </c>
      <c r="BD295" t="s">
        <v>199</v>
      </c>
      <c r="BE295" t="s">
        <v>199</v>
      </c>
      <c r="BF295">
        <v>0</v>
      </c>
      <c r="BG295">
        <v>0</v>
      </c>
      <c r="BH295" t="s">
        <v>200</v>
      </c>
      <c r="BI295">
        <v>13</v>
      </c>
      <c r="BJ295">
        <v>6319365</v>
      </c>
      <c r="BK295" t="s">
        <v>201</v>
      </c>
      <c r="BL295" t="s">
        <v>190</v>
      </c>
    </row>
    <row r="296" spans="1:64" x14ac:dyDescent="0.3">
      <c r="A296">
        <v>125</v>
      </c>
      <c r="B296" t="s">
        <v>186</v>
      </c>
      <c r="C296">
        <v>3</v>
      </c>
      <c r="D296">
        <v>6319365</v>
      </c>
      <c r="E296" t="s">
        <v>213</v>
      </c>
      <c r="F296" t="s">
        <v>188</v>
      </c>
      <c r="G296">
        <v>10148282</v>
      </c>
      <c r="H296" s="35">
        <v>46121</v>
      </c>
      <c r="I296" s="35">
        <v>46121</v>
      </c>
      <c r="J296">
        <v>2026</v>
      </c>
      <c r="K296">
        <v>4</v>
      </c>
      <c r="L296" t="s">
        <v>189</v>
      </c>
      <c r="M296">
        <v>1</v>
      </c>
      <c r="N296" t="s">
        <v>190</v>
      </c>
      <c r="O296" t="s">
        <v>191</v>
      </c>
      <c r="P296" t="s">
        <v>199</v>
      </c>
      <c r="Q296" t="s">
        <v>199</v>
      </c>
      <c r="R296">
        <v>15</v>
      </c>
      <c r="S296">
        <v>9</v>
      </c>
      <c r="T296">
        <v>36908</v>
      </c>
      <c r="U296">
        <v>3</v>
      </c>
      <c r="V296" t="s">
        <v>215</v>
      </c>
      <c r="W296" t="s">
        <v>67</v>
      </c>
      <c r="X296" t="s">
        <v>28</v>
      </c>
      <c r="Y296" t="s">
        <v>30</v>
      </c>
      <c r="Z296" t="s">
        <v>30</v>
      </c>
      <c r="AA296">
        <v>11</v>
      </c>
      <c r="AB296">
        <v>501000</v>
      </c>
      <c r="AC296" t="s">
        <v>316</v>
      </c>
      <c r="AD296" t="s">
        <v>317</v>
      </c>
      <c r="AE296">
        <v>1</v>
      </c>
      <c r="AF296">
        <v>4</v>
      </c>
      <c r="AG296">
        <v>113.26</v>
      </c>
      <c r="AH296">
        <v>0</v>
      </c>
      <c r="AI296">
        <v>0</v>
      </c>
      <c r="AJ296">
        <v>0</v>
      </c>
      <c r="AK296">
        <v>81.55</v>
      </c>
      <c r="AL296">
        <v>453.04</v>
      </c>
      <c r="AM296">
        <v>535</v>
      </c>
      <c r="AN296">
        <v>199</v>
      </c>
      <c r="AO296" t="s">
        <v>218</v>
      </c>
      <c r="AP296" t="s">
        <v>219</v>
      </c>
      <c r="AQ296">
        <v>10</v>
      </c>
      <c r="AR296">
        <v>114</v>
      </c>
      <c r="AS296" t="s">
        <v>79</v>
      </c>
      <c r="AT296">
        <v>66101</v>
      </c>
      <c r="AU296" t="s">
        <v>318</v>
      </c>
      <c r="AV296" t="s">
        <v>80</v>
      </c>
      <c r="AW296" t="s">
        <v>70</v>
      </c>
      <c r="AX296" t="s">
        <v>71</v>
      </c>
      <c r="AY296" t="s">
        <v>220</v>
      </c>
      <c r="AZ296" t="s">
        <v>221</v>
      </c>
      <c r="BA296" t="s">
        <v>510</v>
      </c>
      <c r="BB296">
        <v>0</v>
      </c>
      <c r="BC296">
        <v>0</v>
      </c>
      <c r="BD296" t="s">
        <v>199</v>
      </c>
      <c r="BE296" t="s">
        <v>199</v>
      </c>
      <c r="BF296">
        <v>0</v>
      </c>
      <c r="BG296">
        <v>0</v>
      </c>
      <c r="BH296" t="s">
        <v>200</v>
      </c>
      <c r="BI296">
        <v>13</v>
      </c>
      <c r="BJ296">
        <v>6319365</v>
      </c>
      <c r="BK296" t="s">
        <v>201</v>
      </c>
      <c r="BL296" t="s">
        <v>190</v>
      </c>
    </row>
    <row r="297" spans="1:64" x14ac:dyDescent="0.3">
      <c r="A297">
        <v>125</v>
      </c>
      <c r="B297" t="s">
        <v>186</v>
      </c>
      <c r="C297">
        <v>3</v>
      </c>
      <c r="D297">
        <v>6319365</v>
      </c>
      <c r="E297" t="s">
        <v>213</v>
      </c>
      <c r="F297" t="s">
        <v>188</v>
      </c>
      <c r="G297">
        <v>10148282</v>
      </c>
      <c r="H297" s="35">
        <v>46121</v>
      </c>
      <c r="I297" s="35">
        <v>46121</v>
      </c>
      <c r="J297">
        <v>2026</v>
      </c>
      <c r="K297">
        <v>4</v>
      </c>
      <c r="L297" t="s">
        <v>189</v>
      </c>
      <c r="M297">
        <v>1</v>
      </c>
      <c r="N297" t="s">
        <v>203</v>
      </c>
      <c r="O297" t="s">
        <v>191</v>
      </c>
      <c r="P297" t="s">
        <v>199</v>
      </c>
      <c r="Q297" t="s">
        <v>199</v>
      </c>
      <c r="R297">
        <v>15</v>
      </c>
      <c r="S297">
        <v>9</v>
      </c>
      <c r="T297">
        <v>36908</v>
      </c>
      <c r="U297">
        <v>3</v>
      </c>
      <c r="V297" t="s">
        <v>215</v>
      </c>
      <c r="W297" t="s">
        <v>67</v>
      </c>
      <c r="X297" t="s">
        <v>28</v>
      </c>
      <c r="Y297" t="s">
        <v>30</v>
      </c>
      <c r="Z297" t="s">
        <v>30</v>
      </c>
      <c r="AA297">
        <v>11</v>
      </c>
      <c r="AB297">
        <v>925064</v>
      </c>
      <c r="AC297" t="s">
        <v>281</v>
      </c>
      <c r="AD297" t="s">
        <v>282</v>
      </c>
      <c r="AE297">
        <v>1</v>
      </c>
      <c r="AF297">
        <v>50</v>
      </c>
      <c r="AG297">
        <v>32.53</v>
      </c>
      <c r="AH297">
        <v>0</v>
      </c>
      <c r="AI297">
        <v>0</v>
      </c>
      <c r="AJ297">
        <v>0</v>
      </c>
      <c r="AK297">
        <v>292.77</v>
      </c>
      <c r="AL297">
        <v>1626.5</v>
      </c>
      <c r="AM297">
        <v>1919</v>
      </c>
      <c r="AN297">
        <v>199</v>
      </c>
      <c r="AO297" t="s">
        <v>218</v>
      </c>
      <c r="AP297" t="s">
        <v>219</v>
      </c>
      <c r="AQ297">
        <v>10</v>
      </c>
      <c r="AR297">
        <v>117</v>
      </c>
      <c r="AS297" t="s">
        <v>94</v>
      </c>
      <c r="AT297">
        <v>65104</v>
      </c>
      <c r="AU297" t="s">
        <v>283</v>
      </c>
      <c r="AV297" t="s">
        <v>95</v>
      </c>
      <c r="AW297" t="s">
        <v>70</v>
      </c>
      <c r="AX297" t="s">
        <v>71</v>
      </c>
      <c r="AY297" t="s">
        <v>220</v>
      </c>
      <c r="AZ297" t="s">
        <v>221</v>
      </c>
      <c r="BA297" t="s">
        <v>510</v>
      </c>
      <c r="BB297">
        <v>0</v>
      </c>
      <c r="BC297">
        <v>0</v>
      </c>
      <c r="BD297" t="s">
        <v>199</v>
      </c>
      <c r="BE297" t="s">
        <v>199</v>
      </c>
      <c r="BF297">
        <v>0</v>
      </c>
      <c r="BG297">
        <v>0</v>
      </c>
      <c r="BH297" t="s">
        <v>200</v>
      </c>
      <c r="BI297">
        <v>13</v>
      </c>
      <c r="BJ297">
        <v>6319365</v>
      </c>
      <c r="BK297" t="s">
        <v>201</v>
      </c>
      <c r="BL297" t="s">
        <v>190</v>
      </c>
    </row>
    <row r="298" spans="1:64" x14ac:dyDescent="0.3">
      <c r="A298">
        <v>289</v>
      </c>
      <c r="B298" t="s">
        <v>186</v>
      </c>
      <c r="C298">
        <v>3</v>
      </c>
      <c r="D298">
        <v>6319448</v>
      </c>
      <c r="E298" t="s">
        <v>379</v>
      </c>
      <c r="F298" t="s">
        <v>188</v>
      </c>
      <c r="G298">
        <v>10148365</v>
      </c>
      <c r="H298" s="35">
        <v>46121</v>
      </c>
      <c r="I298" s="35">
        <v>46121</v>
      </c>
      <c r="J298">
        <v>2026</v>
      </c>
      <c r="K298">
        <v>4</v>
      </c>
      <c r="L298" t="s">
        <v>189</v>
      </c>
      <c r="M298">
        <v>1</v>
      </c>
      <c r="N298" t="s">
        <v>190</v>
      </c>
      <c r="O298" t="s">
        <v>191</v>
      </c>
      <c r="P298" t="s">
        <v>199</v>
      </c>
      <c r="Q298" t="s">
        <v>199</v>
      </c>
      <c r="R298">
        <v>15</v>
      </c>
      <c r="S298">
        <v>9</v>
      </c>
      <c r="T298">
        <v>37594</v>
      </c>
      <c r="U298">
        <v>3</v>
      </c>
      <c r="V298" t="s">
        <v>234</v>
      </c>
      <c r="W298" t="s">
        <v>47</v>
      </c>
      <c r="X298" t="s">
        <v>19</v>
      </c>
      <c r="Y298" t="s">
        <v>30</v>
      </c>
      <c r="Z298" t="s">
        <v>30</v>
      </c>
      <c r="AA298">
        <v>72</v>
      </c>
      <c r="AB298">
        <v>101028</v>
      </c>
      <c r="AC298" t="s">
        <v>325</v>
      </c>
      <c r="AD298" t="s">
        <v>326</v>
      </c>
      <c r="AE298">
        <v>1</v>
      </c>
      <c r="AF298">
        <v>18</v>
      </c>
      <c r="AG298">
        <v>98.4</v>
      </c>
      <c r="AH298">
        <v>0</v>
      </c>
      <c r="AI298">
        <v>0</v>
      </c>
      <c r="AJ298">
        <v>0</v>
      </c>
      <c r="AK298">
        <v>318.82</v>
      </c>
      <c r="AL298">
        <v>1771.2</v>
      </c>
      <c r="AM298">
        <v>2090</v>
      </c>
      <c r="AN298">
        <v>72</v>
      </c>
      <c r="AO298" t="s">
        <v>49</v>
      </c>
      <c r="AP298" t="s">
        <v>53</v>
      </c>
      <c r="AQ298">
        <v>10</v>
      </c>
      <c r="AR298">
        <v>105</v>
      </c>
      <c r="AS298" t="s">
        <v>85</v>
      </c>
      <c r="AT298">
        <v>677001</v>
      </c>
      <c r="AU298" t="s">
        <v>273</v>
      </c>
      <c r="AV298" t="s">
        <v>86</v>
      </c>
      <c r="AW298" t="s">
        <v>50</v>
      </c>
      <c r="AX298" t="s">
        <v>51</v>
      </c>
      <c r="AY298" t="s">
        <v>52</v>
      </c>
      <c r="AZ298" t="s">
        <v>240</v>
      </c>
      <c r="BA298" t="s">
        <v>511</v>
      </c>
      <c r="BB298">
        <v>0</v>
      </c>
      <c r="BC298">
        <v>0</v>
      </c>
      <c r="BD298" t="s">
        <v>199</v>
      </c>
      <c r="BE298" t="s">
        <v>199</v>
      </c>
      <c r="BF298">
        <v>0</v>
      </c>
      <c r="BG298">
        <v>0</v>
      </c>
      <c r="BH298" t="s">
        <v>200</v>
      </c>
      <c r="BI298">
        <v>13</v>
      </c>
      <c r="BJ298">
        <v>6319448</v>
      </c>
      <c r="BK298" t="s">
        <v>201</v>
      </c>
      <c r="BL298" t="s">
        <v>190</v>
      </c>
    </row>
    <row r="299" spans="1:64" x14ac:dyDescent="0.3">
      <c r="A299">
        <v>223</v>
      </c>
      <c r="B299" t="s">
        <v>186</v>
      </c>
      <c r="C299">
        <v>3</v>
      </c>
      <c r="D299">
        <v>6323369</v>
      </c>
      <c r="E299" t="s">
        <v>202</v>
      </c>
      <c r="F299" t="s">
        <v>188</v>
      </c>
      <c r="G299">
        <v>10152286</v>
      </c>
      <c r="H299" s="35">
        <v>46123</v>
      </c>
      <c r="I299" s="35">
        <v>46123</v>
      </c>
      <c r="J299">
        <v>2026</v>
      </c>
      <c r="K299">
        <v>4</v>
      </c>
      <c r="L299" t="s">
        <v>189</v>
      </c>
      <c r="M299">
        <v>1</v>
      </c>
      <c r="N299" t="s">
        <v>203</v>
      </c>
      <c r="O299" t="s">
        <v>191</v>
      </c>
      <c r="P299" t="s">
        <v>199</v>
      </c>
      <c r="Q299" t="s">
        <v>199</v>
      </c>
      <c r="R299">
        <v>15</v>
      </c>
      <c r="S299">
        <v>11</v>
      </c>
      <c r="T299">
        <v>29579</v>
      </c>
      <c r="U299">
        <v>3</v>
      </c>
      <c r="V299" t="s">
        <v>224</v>
      </c>
      <c r="W299" t="s">
        <v>40</v>
      </c>
      <c r="X299" t="s">
        <v>19</v>
      </c>
      <c r="Y299" t="s">
        <v>41</v>
      </c>
      <c r="Z299" t="s">
        <v>41</v>
      </c>
      <c r="AA299">
        <v>60</v>
      </c>
      <c r="AB299">
        <v>800792</v>
      </c>
      <c r="AC299" t="s">
        <v>304</v>
      </c>
      <c r="AD299" t="s">
        <v>305</v>
      </c>
      <c r="AE299">
        <v>0.4</v>
      </c>
      <c r="AF299">
        <v>10</v>
      </c>
      <c r="AG299">
        <v>153.11000000000001</v>
      </c>
      <c r="AH299">
        <v>0</v>
      </c>
      <c r="AI299">
        <v>0</v>
      </c>
      <c r="AJ299">
        <v>0</v>
      </c>
      <c r="AK299">
        <v>275.60000000000002</v>
      </c>
      <c r="AL299">
        <v>1531.1</v>
      </c>
      <c r="AM299">
        <v>1807</v>
      </c>
      <c r="AN299">
        <v>60</v>
      </c>
      <c r="AO299" t="s">
        <v>43</v>
      </c>
      <c r="AP299" t="s">
        <v>45</v>
      </c>
      <c r="AQ299">
        <v>10</v>
      </c>
      <c r="AR299">
        <v>207</v>
      </c>
      <c r="AS299" t="s">
        <v>81</v>
      </c>
      <c r="AT299">
        <v>65103</v>
      </c>
      <c r="AU299" t="s">
        <v>266</v>
      </c>
      <c r="AV299" t="s">
        <v>82</v>
      </c>
      <c r="AW299" t="s">
        <v>23</v>
      </c>
      <c r="AX299" t="s">
        <v>24</v>
      </c>
      <c r="AY299" t="s">
        <v>44</v>
      </c>
      <c r="AZ299" t="s">
        <v>197</v>
      </c>
      <c r="BA299" t="s">
        <v>512</v>
      </c>
      <c r="BB299">
        <v>0</v>
      </c>
      <c r="BC299">
        <v>0</v>
      </c>
      <c r="BD299" t="s">
        <v>199</v>
      </c>
      <c r="BE299" t="s">
        <v>199</v>
      </c>
      <c r="BF299">
        <v>0</v>
      </c>
      <c r="BG299">
        <v>0</v>
      </c>
      <c r="BH299" t="s">
        <v>200</v>
      </c>
      <c r="BI299">
        <v>13</v>
      </c>
      <c r="BJ299">
        <v>6323369</v>
      </c>
      <c r="BK299" t="s">
        <v>201</v>
      </c>
      <c r="BL299" t="s">
        <v>190</v>
      </c>
    </row>
    <row r="300" spans="1:64" x14ac:dyDescent="0.3">
      <c r="A300">
        <v>223</v>
      </c>
      <c r="B300" t="s">
        <v>186</v>
      </c>
      <c r="C300">
        <v>3</v>
      </c>
      <c r="D300">
        <v>6323369</v>
      </c>
      <c r="E300" t="s">
        <v>202</v>
      </c>
      <c r="F300" t="s">
        <v>188</v>
      </c>
      <c r="G300">
        <v>10152286</v>
      </c>
      <c r="H300" s="35">
        <v>46123</v>
      </c>
      <c r="I300" s="35">
        <v>46123</v>
      </c>
      <c r="J300">
        <v>2026</v>
      </c>
      <c r="K300">
        <v>4</v>
      </c>
      <c r="L300" t="s">
        <v>189</v>
      </c>
      <c r="M300">
        <v>1</v>
      </c>
      <c r="N300" t="s">
        <v>203</v>
      </c>
      <c r="O300" t="s">
        <v>191</v>
      </c>
      <c r="P300" t="s">
        <v>199</v>
      </c>
      <c r="Q300" t="s">
        <v>199</v>
      </c>
      <c r="R300">
        <v>15</v>
      </c>
      <c r="S300">
        <v>11</v>
      </c>
      <c r="T300">
        <v>29579</v>
      </c>
      <c r="U300">
        <v>3</v>
      </c>
      <c r="V300" t="s">
        <v>224</v>
      </c>
      <c r="W300" t="s">
        <v>40</v>
      </c>
      <c r="X300" t="s">
        <v>19</v>
      </c>
      <c r="Y300" t="s">
        <v>41</v>
      </c>
      <c r="Z300" t="s">
        <v>41</v>
      </c>
      <c r="AA300">
        <v>60</v>
      </c>
      <c r="AB300">
        <v>930012</v>
      </c>
      <c r="AC300" t="s">
        <v>312</v>
      </c>
      <c r="AD300" t="s">
        <v>313</v>
      </c>
      <c r="AE300">
        <v>0.625</v>
      </c>
      <c r="AF300">
        <v>10</v>
      </c>
      <c r="AG300">
        <v>91.09</v>
      </c>
      <c r="AH300">
        <v>0</v>
      </c>
      <c r="AI300">
        <v>0</v>
      </c>
      <c r="AJ300">
        <v>0</v>
      </c>
      <c r="AK300">
        <v>163.96</v>
      </c>
      <c r="AL300">
        <v>910.9</v>
      </c>
      <c r="AM300">
        <v>1075</v>
      </c>
      <c r="AN300">
        <v>60</v>
      </c>
      <c r="AO300" t="s">
        <v>43</v>
      </c>
      <c r="AP300" t="s">
        <v>45</v>
      </c>
      <c r="AQ300">
        <v>10</v>
      </c>
      <c r="AR300">
        <v>208</v>
      </c>
      <c r="AS300" t="s">
        <v>92</v>
      </c>
      <c r="AT300">
        <v>0</v>
      </c>
      <c r="AU300" t="s">
        <v>199</v>
      </c>
      <c r="AV300" t="s">
        <v>82</v>
      </c>
      <c r="AW300" t="s">
        <v>23</v>
      </c>
      <c r="AX300" t="s">
        <v>24</v>
      </c>
      <c r="AY300" t="s">
        <v>44</v>
      </c>
      <c r="AZ300" t="s">
        <v>197</v>
      </c>
      <c r="BA300" t="s">
        <v>512</v>
      </c>
      <c r="BB300">
        <v>0</v>
      </c>
      <c r="BC300">
        <v>0</v>
      </c>
      <c r="BD300" t="s">
        <v>199</v>
      </c>
      <c r="BE300" t="s">
        <v>199</v>
      </c>
      <c r="BF300">
        <v>0</v>
      </c>
      <c r="BG300">
        <v>0</v>
      </c>
      <c r="BH300" t="s">
        <v>200</v>
      </c>
      <c r="BI300">
        <v>13</v>
      </c>
      <c r="BJ300">
        <v>6323369</v>
      </c>
      <c r="BK300" t="s">
        <v>201</v>
      </c>
      <c r="BL300" t="s">
        <v>190</v>
      </c>
    </row>
    <row r="301" spans="1:64" x14ac:dyDescent="0.3">
      <c r="A301">
        <v>289</v>
      </c>
      <c r="B301" t="s">
        <v>186</v>
      </c>
      <c r="C301">
        <v>3</v>
      </c>
      <c r="D301">
        <v>6329775</v>
      </c>
      <c r="E301" t="s">
        <v>379</v>
      </c>
      <c r="F301" t="s">
        <v>188</v>
      </c>
      <c r="G301">
        <v>10158692</v>
      </c>
      <c r="H301" s="35">
        <v>46128</v>
      </c>
      <c r="I301" s="35">
        <v>46128</v>
      </c>
      <c r="J301">
        <v>2026</v>
      </c>
      <c r="K301">
        <v>4</v>
      </c>
      <c r="L301" t="s">
        <v>189</v>
      </c>
      <c r="M301">
        <v>1</v>
      </c>
      <c r="N301" t="s">
        <v>190</v>
      </c>
      <c r="O301" t="s">
        <v>191</v>
      </c>
      <c r="P301" t="s">
        <v>199</v>
      </c>
      <c r="Q301" t="s">
        <v>199</v>
      </c>
      <c r="R301">
        <v>16</v>
      </c>
      <c r="S301">
        <v>16</v>
      </c>
      <c r="T301">
        <v>37594</v>
      </c>
      <c r="U301">
        <v>3</v>
      </c>
      <c r="V301" t="s">
        <v>234</v>
      </c>
      <c r="W301" t="s">
        <v>47</v>
      </c>
      <c r="X301" t="s">
        <v>19</v>
      </c>
      <c r="Y301" t="s">
        <v>30</v>
      </c>
      <c r="Z301" t="s">
        <v>30</v>
      </c>
      <c r="AA301">
        <v>72</v>
      </c>
      <c r="AB301">
        <v>101005</v>
      </c>
      <c r="AC301" t="s">
        <v>320</v>
      </c>
      <c r="AD301" t="s">
        <v>321</v>
      </c>
      <c r="AE301">
        <v>0.5</v>
      </c>
      <c r="AF301">
        <v>15</v>
      </c>
      <c r="AG301">
        <v>73.41</v>
      </c>
      <c r="AH301">
        <v>0</v>
      </c>
      <c r="AI301">
        <v>0</v>
      </c>
      <c r="AJ301">
        <v>0</v>
      </c>
      <c r="AK301">
        <v>198.21</v>
      </c>
      <c r="AL301">
        <v>1101.1500000000001</v>
      </c>
      <c r="AM301">
        <v>1299</v>
      </c>
      <c r="AN301">
        <v>72</v>
      </c>
      <c r="AO301" t="s">
        <v>49</v>
      </c>
      <c r="AP301" t="s">
        <v>53</v>
      </c>
      <c r="AQ301">
        <v>10</v>
      </c>
      <c r="AR301">
        <v>105</v>
      </c>
      <c r="AS301" t="s">
        <v>85</v>
      </c>
      <c r="AT301">
        <v>677001</v>
      </c>
      <c r="AU301" t="s">
        <v>273</v>
      </c>
      <c r="AV301" t="s">
        <v>86</v>
      </c>
      <c r="AW301" t="s">
        <v>50</v>
      </c>
      <c r="AX301" t="s">
        <v>51</v>
      </c>
      <c r="AY301" t="s">
        <v>52</v>
      </c>
      <c r="AZ301" t="s">
        <v>240</v>
      </c>
      <c r="BA301" t="s">
        <v>513</v>
      </c>
      <c r="BB301">
        <v>0</v>
      </c>
      <c r="BC301">
        <v>0</v>
      </c>
      <c r="BD301" t="s">
        <v>199</v>
      </c>
      <c r="BE301" t="s">
        <v>199</v>
      </c>
      <c r="BF301">
        <v>0</v>
      </c>
      <c r="BG301">
        <v>0</v>
      </c>
      <c r="BH301" t="s">
        <v>200</v>
      </c>
      <c r="BI301">
        <v>13</v>
      </c>
      <c r="BJ301">
        <v>6329775</v>
      </c>
      <c r="BK301" t="s">
        <v>201</v>
      </c>
      <c r="BL301" t="s">
        <v>190</v>
      </c>
    </row>
    <row r="302" spans="1:64" x14ac:dyDescent="0.3">
      <c r="A302">
        <v>289</v>
      </c>
      <c r="B302" t="s">
        <v>186</v>
      </c>
      <c r="C302">
        <v>3</v>
      </c>
      <c r="D302">
        <v>6329775</v>
      </c>
      <c r="E302" t="s">
        <v>379</v>
      </c>
      <c r="F302" t="s">
        <v>188</v>
      </c>
      <c r="G302">
        <v>10158692</v>
      </c>
      <c r="H302" s="35">
        <v>46128</v>
      </c>
      <c r="I302" s="35">
        <v>46128</v>
      </c>
      <c r="J302">
        <v>2026</v>
      </c>
      <c r="K302">
        <v>4</v>
      </c>
      <c r="L302" t="s">
        <v>189</v>
      </c>
      <c r="M302">
        <v>1</v>
      </c>
      <c r="N302" t="s">
        <v>190</v>
      </c>
      <c r="O302" t="s">
        <v>191</v>
      </c>
      <c r="P302" t="s">
        <v>199</v>
      </c>
      <c r="Q302" t="s">
        <v>199</v>
      </c>
      <c r="R302">
        <v>16</v>
      </c>
      <c r="S302">
        <v>16</v>
      </c>
      <c r="T302">
        <v>37594</v>
      </c>
      <c r="U302">
        <v>3</v>
      </c>
      <c r="V302" t="s">
        <v>234</v>
      </c>
      <c r="W302" t="s">
        <v>47</v>
      </c>
      <c r="X302" t="s">
        <v>19</v>
      </c>
      <c r="Y302" t="s">
        <v>30</v>
      </c>
      <c r="Z302" t="s">
        <v>30</v>
      </c>
      <c r="AA302">
        <v>72</v>
      </c>
      <c r="AB302">
        <v>800089</v>
      </c>
      <c r="AC302" t="s">
        <v>295</v>
      </c>
      <c r="AD302" t="s">
        <v>296</v>
      </c>
      <c r="AE302">
        <v>0.125</v>
      </c>
      <c r="AF302">
        <v>1</v>
      </c>
      <c r="AG302">
        <v>364.41</v>
      </c>
      <c r="AH302">
        <v>0</v>
      </c>
      <c r="AI302">
        <v>0</v>
      </c>
      <c r="AJ302">
        <v>0</v>
      </c>
      <c r="AK302">
        <v>65.59</v>
      </c>
      <c r="AL302">
        <v>364.41</v>
      </c>
      <c r="AM302">
        <v>430</v>
      </c>
      <c r="AN302">
        <v>72</v>
      </c>
      <c r="AO302" t="s">
        <v>49</v>
      </c>
      <c r="AP302" t="s">
        <v>53</v>
      </c>
      <c r="AQ302">
        <v>10</v>
      </c>
      <c r="AR302">
        <v>105</v>
      </c>
      <c r="AS302" t="s">
        <v>85</v>
      </c>
      <c r="AT302">
        <v>677001</v>
      </c>
      <c r="AU302" t="s">
        <v>273</v>
      </c>
      <c r="AV302" t="s">
        <v>86</v>
      </c>
      <c r="AW302" t="s">
        <v>50</v>
      </c>
      <c r="AX302" t="s">
        <v>51</v>
      </c>
      <c r="AY302" t="s">
        <v>52</v>
      </c>
      <c r="AZ302" t="s">
        <v>240</v>
      </c>
      <c r="BA302" t="s">
        <v>513</v>
      </c>
      <c r="BB302">
        <v>0</v>
      </c>
      <c r="BC302">
        <v>0</v>
      </c>
      <c r="BD302" t="s">
        <v>199</v>
      </c>
      <c r="BE302" t="s">
        <v>199</v>
      </c>
      <c r="BF302">
        <v>0</v>
      </c>
      <c r="BG302">
        <v>0</v>
      </c>
      <c r="BH302" t="s">
        <v>200</v>
      </c>
      <c r="BI302">
        <v>13</v>
      </c>
      <c r="BJ302">
        <v>6329775</v>
      </c>
      <c r="BK302" t="s">
        <v>201</v>
      </c>
      <c r="BL302" t="s">
        <v>190</v>
      </c>
    </row>
    <row r="303" spans="1:64" x14ac:dyDescent="0.3">
      <c r="A303">
        <v>289</v>
      </c>
      <c r="B303" t="s">
        <v>186</v>
      </c>
      <c r="C303">
        <v>3</v>
      </c>
      <c r="D303">
        <v>6329775</v>
      </c>
      <c r="E303" t="s">
        <v>379</v>
      </c>
      <c r="F303" t="s">
        <v>188</v>
      </c>
      <c r="G303">
        <v>10158692</v>
      </c>
      <c r="H303" s="35">
        <v>46128</v>
      </c>
      <c r="I303" s="35">
        <v>46128</v>
      </c>
      <c r="J303">
        <v>2026</v>
      </c>
      <c r="K303">
        <v>4</v>
      </c>
      <c r="L303" t="s">
        <v>189</v>
      </c>
      <c r="M303">
        <v>1</v>
      </c>
      <c r="N303" t="s">
        <v>190</v>
      </c>
      <c r="O303" t="s">
        <v>191</v>
      </c>
      <c r="P303" t="s">
        <v>199</v>
      </c>
      <c r="Q303" t="s">
        <v>199</v>
      </c>
      <c r="R303">
        <v>16</v>
      </c>
      <c r="S303">
        <v>16</v>
      </c>
      <c r="T303">
        <v>37594</v>
      </c>
      <c r="U303">
        <v>3</v>
      </c>
      <c r="V303" t="s">
        <v>234</v>
      </c>
      <c r="W303" t="s">
        <v>47</v>
      </c>
      <c r="X303" t="s">
        <v>19</v>
      </c>
      <c r="Y303" t="s">
        <v>30</v>
      </c>
      <c r="Z303" t="s">
        <v>30</v>
      </c>
      <c r="AA303">
        <v>72</v>
      </c>
      <c r="AB303">
        <v>800088</v>
      </c>
      <c r="AC303" t="s">
        <v>276</v>
      </c>
      <c r="AD303" t="s">
        <v>277</v>
      </c>
      <c r="AE303">
        <v>0.125</v>
      </c>
      <c r="AF303">
        <v>1</v>
      </c>
      <c r="AG303">
        <v>364.41</v>
      </c>
      <c r="AH303">
        <v>0</v>
      </c>
      <c r="AI303">
        <v>0</v>
      </c>
      <c r="AJ303">
        <v>0</v>
      </c>
      <c r="AK303">
        <v>65.59</v>
      </c>
      <c r="AL303">
        <v>364.41</v>
      </c>
      <c r="AM303">
        <v>430</v>
      </c>
      <c r="AN303">
        <v>72</v>
      </c>
      <c r="AO303" t="s">
        <v>49</v>
      </c>
      <c r="AP303" t="s">
        <v>53</v>
      </c>
      <c r="AQ303">
        <v>10</v>
      </c>
      <c r="AR303">
        <v>105</v>
      </c>
      <c r="AS303" t="s">
        <v>85</v>
      </c>
      <c r="AT303">
        <v>677001</v>
      </c>
      <c r="AU303" t="s">
        <v>273</v>
      </c>
      <c r="AV303" t="s">
        <v>86</v>
      </c>
      <c r="AW303" t="s">
        <v>50</v>
      </c>
      <c r="AX303" t="s">
        <v>51</v>
      </c>
      <c r="AY303" t="s">
        <v>52</v>
      </c>
      <c r="AZ303" t="s">
        <v>240</v>
      </c>
      <c r="BA303" t="s">
        <v>513</v>
      </c>
      <c r="BB303">
        <v>0</v>
      </c>
      <c r="BC303">
        <v>0</v>
      </c>
      <c r="BD303" t="s">
        <v>199</v>
      </c>
      <c r="BE303" t="s">
        <v>199</v>
      </c>
      <c r="BF303">
        <v>0</v>
      </c>
      <c r="BG303">
        <v>0</v>
      </c>
      <c r="BH303" t="s">
        <v>200</v>
      </c>
      <c r="BI303">
        <v>13</v>
      </c>
      <c r="BJ303">
        <v>6329775</v>
      </c>
      <c r="BK303" t="s">
        <v>201</v>
      </c>
      <c r="BL303" t="s">
        <v>190</v>
      </c>
    </row>
    <row r="304" spans="1:64" x14ac:dyDescent="0.3">
      <c r="A304">
        <v>223</v>
      </c>
      <c r="B304" t="s">
        <v>186</v>
      </c>
      <c r="C304">
        <v>3</v>
      </c>
      <c r="D304">
        <v>6332952</v>
      </c>
      <c r="E304" t="s">
        <v>202</v>
      </c>
      <c r="F304" t="s">
        <v>188</v>
      </c>
      <c r="G304">
        <v>10161869</v>
      </c>
      <c r="H304" s="35">
        <v>46130</v>
      </c>
      <c r="I304" s="35">
        <v>46130</v>
      </c>
      <c r="J304">
        <v>2026</v>
      </c>
      <c r="K304">
        <v>4</v>
      </c>
      <c r="L304" t="s">
        <v>189</v>
      </c>
      <c r="M304">
        <v>1</v>
      </c>
      <c r="N304" t="s">
        <v>190</v>
      </c>
      <c r="O304" t="s">
        <v>191</v>
      </c>
      <c r="P304" t="s">
        <v>199</v>
      </c>
      <c r="Q304" t="s">
        <v>199</v>
      </c>
      <c r="R304">
        <v>16</v>
      </c>
      <c r="S304">
        <v>18</v>
      </c>
      <c r="T304">
        <v>29579</v>
      </c>
      <c r="U304">
        <v>3</v>
      </c>
      <c r="V304" t="s">
        <v>224</v>
      </c>
      <c r="W304" t="s">
        <v>40</v>
      </c>
      <c r="X304" t="s">
        <v>19</v>
      </c>
      <c r="Y304" t="s">
        <v>41</v>
      </c>
      <c r="Z304" t="s">
        <v>41</v>
      </c>
      <c r="AA304">
        <v>60</v>
      </c>
      <c r="AB304">
        <v>611052</v>
      </c>
      <c r="AC304" t="s">
        <v>225</v>
      </c>
      <c r="AD304" t="s">
        <v>226</v>
      </c>
      <c r="AE304">
        <v>0.5</v>
      </c>
      <c r="AF304">
        <v>12</v>
      </c>
      <c r="AG304">
        <v>20</v>
      </c>
      <c r="AH304">
        <v>0</v>
      </c>
      <c r="AI304">
        <v>0</v>
      </c>
      <c r="AJ304">
        <v>0</v>
      </c>
      <c r="AK304">
        <v>43.2</v>
      </c>
      <c r="AL304">
        <v>240</v>
      </c>
      <c r="AM304">
        <v>283</v>
      </c>
      <c r="AN304">
        <v>60</v>
      </c>
      <c r="AO304" t="s">
        <v>43</v>
      </c>
      <c r="AP304" t="s">
        <v>45</v>
      </c>
      <c r="AQ304">
        <v>10</v>
      </c>
      <c r="AR304">
        <v>114</v>
      </c>
      <c r="AS304" t="s">
        <v>79</v>
      </c>
      <c r="AT304">
        <v>66102</v>
      </c>
      <c r="AU304" t="s">
        <v>227</v>
      </c>
      <c r="AV304" t="s">
        <v>80</v>
      </c>
      <c r="AW304" t="s">
        <v>23</v>
      </c>
      <c r="AX304" t="s">
        <v>24</v>
      </c>
      <c r="AY304" t="s">
        <v>44</v>
      </c>
      <c r="AZ304" t="s">
        <v>197</v>
      </c>
      <c r="BA304" t="s">
        <v>514</v>
      </c>
      <c r="BB304">
        <v>0</v>
      </c>
      <c r="BC304">
        <v>0</v>
      </c>
      <c r="BD304" t="s">
        <v>199</v>
      </c>
      <c r="BE304" t="s">
        <v>199</v>
      </c>
      <c r="BF304">
        <v>0</v>
      </c>
      <c r="BG304">
        <v>0</v>
      </c>
      <c r="BH304" t="s">
        <v>200</v>
      </c>
      <c r="BI304">
        <v>18</v>
      </c>
      <c r="BJ304">
        <v>6332952</v>
      </c>
      <c r="BK304" t="s">
        <v>201</v>
      </c>
      <c r="BL304" t="s">
        <v>190</v>
      </c>
    </row>
    <row r="305" spans="1:64" x14ac:dyDescent="0.3">
      <c r="A305">
        <v>223</v>
      </c>
      <c r="B305" t="s">
        <v>186</v>
      </c>
      <c r="C305">
        <v>3</v>
      </c>
      <c r="D305">
        <v>6332952</v>
      </c>
      <c r="E305" t="s">
        <v>202</v>
      </c>
      <c r="F305" t="s">
        <v>188</v>
      </c>
      <c r="G305">
        <v>10161869</v>
      </c>
      <c r="H305" s="35">
        <v>46130</v>
      </c>
      <c r="I305" s="35">
        <v>46130</v>
      </c>
      <c r="J305">
        <v>2026</v>
      </c>
      <c r="K305">
        <v>4</v>
      </c>
      <c r="L305" t="s">
        <v>189</v>
      </c>
      <c r="M305">
        <v>1</v>
      </c>
      <c r="N305" t="s">
        <v>190</v>
      </c>
      <c r="O305" t="s">
        <v>191</v>
      </c>
      <c r="P305" t="s">
        <v>199</v>
      </c>
      <c r="Q305" t="s">
        <v>199</v>
      </c>
      <c r="R305">
        <v>16</v>
      </c>
      <c r="S305">
        <v>18</v>
      </c>
      <c r="T305">
        <v>29579</v>
      </c>
      <c r="U305">
        <v>3</v>
      </c>
      <c r="V305" t="s">
        <v>224</v>
      </c>
      <c r="W305" t="s">
        <v>40</v>
      </c>
      <c r="X305" t="s">
        <v>19</v>
      </c>
      <c r="Y305" t="s">
        <v>41</v>
      </c>
      <c r="Z305" t="s">
        <v>41</v>
      </c>
      <c r="AA305">
        <v>60</v>
      </c>
      <c r="AB305">
        <v>611053</v>
      </c>
      <c r="AC305" t="s">
        <v>229</v>
      </c>
      <c r="AD305" t="s">
        <v>230</v>
      </c>
      <c r="AE305">
        <v>0.5</v>
      </c>
      <c r="AF305">
        <v>12</v>
      </c>
      <c r="AG305">
        <v>20</v>
      </c>
      <c r="AH305">
        <v>0</v>
      </c>
      <c r="AI305">
        <v>0</v>
      </c>
      <c r="AJ305">
        <v>0</v>
      </c>
      <c r="AK305">
        <v>43.2</v>
      </c>
      <c r="AL305">
        <v>240</v>
      </c>
      <c r="AM305">
        <v>283</v>
      </c>
      <c r="AN305">
        <v>60</v>
      </c>
      <c r="AO305" t="s">
        <v>43</v>
      </c>
      <c r="AP305" t="s">
        <v>45</v>
      </c>
      <c r="AQ305">
        <v>10</v>
      </c>
      <c r="AR305">
        <v>114</v>
      </c>
      <c r="AS305" t="s">
        <v>79</v>
      </c>
      <c r="AT305">
        <v>66102</v>
      </c>
      <c r="AU305" t="s">
        <v>227</v>
      </c>
      <c r="AV305" t="s">
        <v>80</v>
      </c>
      <c r="AW305" t="s">
        <v>23</v>
      </c>
      <c r="AX305" t="s">
        <v>24</v>
      </c>
      <c r="AY305" t="s">
        <v>44</v>
      </c>
      <c r="AZ305" t="s">
        <v>197</v>
      </c>
      <c r="BA305" t="s">
        <v>514</v>
      </c>
      <c r="BB305">
        <v>0</v>
      </c>
      <c r="BC305">
        <v>0</v>
      </c>
      <c r="BD305" t="s">
        <v>199</v>
      </c>
      <c r="BE305" t="s">
        <v>199</v>
      </c>
      <c r="BF305">
        <v>0</v>
      </c>
      <c r="BG305">
        <v>0</v>
      </c>
      <c r="BH305" t="s">
        <v>200</v>
      </c>
      <c r="BI305">
        <v>18</v>
      </c>
      <c r="BJ305">
        <v>6332952</v>
      </c>
      <c r="BK305" t="s">
        <v>201</v>
      </c>
      <c r="BL305" t="s">
        <v>190</v>
      </c>
    </row>
    <row r="306" spans="1:64" x14ac:dyDescent="0.3">
      <c r="A306">
        <v>223</v>
      </c>
      <c r="B306" t="s">
        <v>186</v>
      </c>
      <c r="C306">
        <v>3</v>
      </c>
      <c r="D306">
        <v>6332952</v>
      </c>
      <c r="E306" t="s">
        <v>202</v>
      </c>
      <c r="F306" t="s">
        <v>188</v>
      </c>
      <c r="G306">
        <v>10161869</v>
      </c>
      <c r="H306" s="35">
        <v>46130</v>
      </c>
      <c r="I306" s="35">
        <v>46130</v>
      </c>
      <c r="J306">
        <v>2026</v>
      </c>
      <c r="K306">
        <v>4</v>
      </c>
      <c r="L306" t="s">
        <v>189</v>
      </c>
      <c r="M306">
        <v>1</v>
      </c>
      <c r="N306" t="s">
        <v>190</v>
      </c>
      <c r="O306" t="s">
        <v>191</v>
      </c>
      <c r="P306" t="s">
        <v>199</v>
      </c>
      <c r="Q306" t="s">
        <v>199</v>
      </c>
      <c r="R306">
        <v>16</v>
      </c>
      <c r="S306">
        <v>18</v>
      </c>
      <c r="T306">
        <v>29579</v>
      </c>
      <c r="U306">
        <v>3</v>
      </c>
      <c r="V306" t="s">
        <v>224</v>
      </c>
      <c r="W306" t="s">
        <v>40</v>
      </c>
      <c r="X306" t="s">
        <v>19</v>
      </c>
      <c r="Y306" t="s">
        <v>41</v>
      </c>
      <c r="Z306" t="s">
        <v>41</v>
      </c>
      <c r="AA306">
        <v>60</v>
      </c>
      <c r="AB306">
        <v>511005</v>
      </c>
      <c r="AC306" t="s">
        <v>231</v>
      </c>
      <c r="AD306" t="s">
        <v>232</v>
      </c>
      <c r="AE306">
        <v>1</v>
      </c>
      <c r="AF306">
        <v>12</v>
      </c>
      <c r="AG306">
        <v>64.44</v>
      </c>
      <c r="AH306">
        <v>0</v>
      </c>
      <c r="AI306">
        <v>0</v>
      </c>
      <c r="AJ306">
        <v>0</v>
      </c>
      <c r="AK306">
        <v>139.19</v>
      </c>
      <c r="AL306">
        <v>773.28</v>
      </c>
      <c r="AM306">
        <v>912</v>
      </c>
      <c r="AN306">
        <v>60</v>
      </c>
      <c r="AO306" t="s">
        <v>43</v>
      </c>
      <c r="AP306" t="s">
        <v>45</v>
      </c>
      <c r="AQ306">
        <v>10</v>
      </c>
      <c r="AR306">
        <v>114</v>
      </c>
      <c r="AS306" t="s">
        <v>79</v>
      </c>
      <c r="AT306">
        <v>66102</v>
      </c>
      <c r="AU306" t="s">
        <v>227</v>
      </c>
      <c r="AV306" t="s">
        <v>80</v>
      </c>
      <c r="AW306" t="s">
        <v>23</v>
      </c>
      <c r="AX306" t="s">
        <v>24</v>
      </c>
      <c r="AY306" t="s">
        <v>44</v>
      </c>
      <c r="AZ306" t="s">
        <v>197</v>
      </c>
      <c r="BA306" t="s">
        <v>514</v>
      </c>
      <c r="BB306">
        <v>0</v>
      </c>
      <c r="BC306">
        <v>0</v>
      </c>
      <c r="BD306" t="s">
        <v>199</v>
      </c>
      <c r="BE306" t="s">
        <v>199</v>
      </c>
      <c r="BF306">
        <v>0</v>
      </c>
      <c r="BG306">
        <v>0</v>
      </c>
      <c r="BH306" t="s">
        <v>200</v>
      </c>
      <c r="BI306">
        <v>18</v>
      </c>
      <c r="BJ306">
        <v>6332952</v>
      </c>
      <c r="BK306" t="s">
        <v>201</v>
      </c>
      <c r="BL306" t="s">
        <v>190</v>
      </c>
    </row>
    <row r="307" spans="1:64" x14ac:dyDescent="0.3">
      <c r="A307">
        <v>125</v>
      </c>
      <c r="B307" t="s">
        <v>186</v>
      </c>
      <c r="C307">
        <v>3</v>
      </c>
      <c r="D307">
        <v>6338748</v>
      </c>
      <c r="E307" t="s">
        <v>213</v>
      </c>
      <c r="F307" t="s">
        <v>188</v>
      </c>
      <c r="G307">
        <v>10167669</v>
      </c>
      <c r="H307" s="35">
        <v>46135</v>
      </c>
      <c r="I307" s="35">
        <v>46135</v>
      </c>
      <c r="J307">
        <v>2026</v>
      </c>
      <c r="K307">
        <v>4</v>
      </c>
      <c r="L307" t="s">
        <v>189</v>
      </c>
      <c r="M307">
        <v>1</v>
      </c>
      <c r="N307" t="s">
        <v>203</v>
      </c>
      <c r="O307" t="s">
        <v>191</v>
      </c>
      <c r="P307" t="s">
        <v>199</v>
      </c>
      <c r="Q307" t="s">
        <v>199</v>
      </c>
      <c r="R307">
        <v>17</v>
      </c>
      <c r="S307">
        <v>23</v>
      </c>
      <c r="T307">
        <v>36908</v>
      </c>
      <c r="U307">
        <v>3</v>
      </c>
      <c r="V307" t="s">
        <v>215</v>
      </c>
      <c r="W307" t="s">
        <v>67</v>
      </c>
      <c r="X307" t="s">
        <v>28</v>
      </c>
      <c r="Y307" t="s">
        <v>30</v>
      </c>
      <c r="Z307" t="s">
        <v>30</v>
      </c>
      <c r="AA307">
        <v>11</v>
      </c>
      <c r="AB307">
        <v>925050</v>
      </c>
      <c r="AC307" t="s">
        <v>479</v>
      </c>
      <c r="AD307" t="s">
        <v>480</v>
      </c>
      <c r="AE307">
        <v>2</v>
      </c>
      <c r="AF307">
        <v>48</v>
      </c>
      <c r="AG307">
        <v>72.72</v>
      </c>
      <c r="AH307">
        <v>0</v>
      </c>
      <c r="AI307">
        <v>0</v>
      </c>
      <c r="AJ307">
        <v>0</v>
      </c>
      <c r="AK307">
        <v>628.29999999999995</v>
      </c>
      <c r="AL307">
        <v>3490.56</v>
      </c>
      <c r="AM307">
        <v>4119</v>
      </c>
      <c r="AN307">
        <v>199</v>
      </c>
      <c r="AO307" t="s">
        <v>218</v>
      </c>
      <c r="AP307" t="s">
        <v>219</v>
      </c>
      <c r="AQ307">
        <v>10</v>
      </c>
      <c r="AR307">
        <v>117</v>
      </c>
      <c r="AS307" t="s">
        <v>94</v>
      </c>
      <c r="AT307">
        <v>65104</v>
      </c>
      <c r="AU307" t="s">
        <v>283</v>
      </c>
      <c r="AV307" t="s">
        <v>95</v>
      </c>
      <c r="AW307" t="s">
        <v>70</v>
      </c>
      <c r="AX307" t="s">
        <v>71</v>
      </c>
      <c r="AY307" t="s">
        <v>220</v>
      </c>
      <c r="AZ307" t="s">
        <v>221</v>
      </c>
      <c r="BA307" t="s">
        <v>515</v>
      </c>
      <c r="BB307">
        <v>0</v>
      </c>
      <c r="BC307">
        <v>0</v>
      </c>
      <c r="BD307" t="s">
        <v>199</v>
      </c>
      <c r="BE307" t="s">
        <v>199</v>
      </c>
      <c r="BF307">
        <v>0</v>
      </c>
      <c r="BG307">
        <v>0</v>
      </c>
      <c r="BH307" t="s">
        <v>200</v>
      </c>
      <c r="BI307">
        <v>13</v>
      </c>
      <c r="BJ307">
        <v>6338748</v>
      </c>
      <c r="BK307" t="s">
        <v>201</v>
      </c>
      <c r="BL307" t="s">
        <v>190</v>
      </c>
    </row>
    <row r="308" spans="1:64" x14ac:dyDescent="0.3">
      <c r="A308">
        <v>125</v>
      </c>
      <c r="B308" t="s">
        <v>186</v>
      </c>
      <c r="C308">
        <v>3</v>
      </c>
      <c r="D308">
        <v>6338748</v>
      </c>
      <c r="E308" t="s">
        <v>213</v>
      </c>
      <c r="F308" t="s">
        <v>188</v>
      </c>
      <c r="G308">
        <v>10167669</v>
      </c>
      <c r="H308" s="35">
        <v>46135</v>
      </c>
      <c r="I308" s="35">
        <v>46135</v>
      </c>
      <c r="J308">
        <v>2026</v>
      </c>
      <c r="K308">
        <v>4</v>
      </c>
      <c r="L308" t="s">
        <v>189</v>
      </c>
      <c r="M308">
        <v>1</v>
      </c>
      <c r="N308" t="s">
        <v>203</v>
      </c>
      <c r="O308" t="s">
        <v>191</v>
      </c>
      <c r="P308" t="s">
        <v>199</v>
      </c>
      <c r="Q308" t="s">
        <v>199</v>
      </c>
      <c r="R308">
        <v>17</v>
      </c>
      <c r="S308">
        <v>23</v>
      </c>
      <c r="T308">
        <v>36908</v>
      </c>
      <c r="U308">
        <v>3</v>
      </c>
      <c r="V308" t="s">
        <v>215</v>
      </c>
      <c r="W308" t="s">
        <v>67</v>
      </c>
      <c r="X308" t="s">
        <v>28</v>
      </c>
      <c r="Y308" t="s">
        <v>30</v>
      </c>
      <c r="Z308" t="s">
        <v>30</v>
      </c>
      <c r="AA308">
        <v>11</v>
      </c>
      <c r="AB308">
        <v>910123</v>
      </c>
      <c r="AC308" t="s">
        <v>516</v>
      </c>
      <c r="AD308" t="s">
        <v>517</v>
      </c>
      <c r="AE308">
        <v>1</v>
      </c>
      <c r="AF308">
        <v>24</v>
      </c>
      <c r="AG308">
        <v>28.23</v>
      </c>
      <c r="AH308">
        <v>0</v>
      </c>
      <c r="AI308">
        <v>0</v>
      </c>
      <c r="AJ308">
        <v>0</v>
      </c>
      <c r="AK308">
        <v>121.95</v>
      </c>
      <c r="AL308">
        <v>677.52</v>
      </c>
      <c r="AM308">
        <v>799</v>
      </c>
      <c r="AN308">
        <v>199</v>
      </c>
      <c r="AO308" t="s">
        <v>218</v>
      </c>
      <c r="AP308" t="s">
        <v>219</v>
      </c>
      <c r="AQ308">
        <v>10</v>
      </c>
      <c r="AR308">
        <v>173</v>
      </c>
      <c r="AS308" t="s">
        <v>110</v>
      </c>
      <c r="AT308">
        <v>65105</v>
      </c>
      <c r="AU308" t="s">
        <v>257</v>
      </c>
      <c r="AV308" t="s">
        <v>111</v>
      </c>
      <c r="AW308" t="s">
        <v>70</v>
      </c>
      <c r="AX308" t="s">
        <v>71</v>
      </c>
      <c r="AY308" t="s">
        <v>220</v>
      </c>
      <c r="AZ308" t="s">
        <v>221</v>
      </c>
      <c r="BA308" t="s">
        <v>515</v>
      </c>
      <c r="BB308">
        <v>0</v>
      </c>
      <c r="BC308">
        <v>0</v>
      </c>
      <c r="BD308" t="s">
        <v>199</v>
      </c>
      <c r="BE308" t="s">
        <v>199</v>
      </c>
      <c r="BF308">
        <v>0</v>
      </c>
      <c r="BG308">
        <v>0</v>
      </c>
      <c r="BH308" t="s">
        <v>200</v>
      </c>
      <c r="BI308">
        <v>13</v>
      </c>
      <c r="BJ308">
        <v>6338748</v>
      </c>
      <c r="BK308" t="s">
        <v>201</v>
      </c>
      <c r="BL308" t="s">
        <v>190</v>
      </c>
    </row>
    <row r="309" spans="1:64" x14ac:dyDescent="0.3">
      <c r="A309">
        <v>125</v>
      </c>
      <c r="B309" t="s">
        <v>186</v>
      </c>
      <c r="C309">
        <v>3</v>
      </c>
      <c r="D309">
        <v>6338748</v>
      </c>
      <c r="E309" t="s">
        <v>213</v>
      </c>
      <c r="F309" t="s">
        <v>188</v>
      </c>
      <c r="G309">
        <v>10167669</v>
      </c>
      <c r="H309" s="35">
        <v>46135</v>
      </c>
      <c r="I309" s="35">
        <v>46135</v>
      </c>
      <c r="J309">
        <v>2026</v>
      </c>
      <c r="K309">
        <v>4</v>
      </c>
      <c r="L309" t="s">
        <v>189</v>
      </c>
      <c r="M309">
        <v>1</v>
      </c>
      <c r="N309" t="s">
        <v>203</v>
      </c>
      <c r="O309" t="s">
        <v>191</v>
      </c>
      <c r="P309" t="s">
        <v>199</v>
      </c>
      <c r="Q309" t="s">
        <v>199</v>
      </c>
      <c r="R309">
        <v>17</v>
      </c>
      <c r="S309">
        <v>23</v>
      </c>
      <c r="T309">
        <v>36908</v>
      </c>
      <c r="U309">
        <v>3</v>
      </c>
      <c r="V309" t="s">
        <v>215</v>
      </c>
      <c r="W309" t="s">
        <v>67</v>
      </c>
      <c r="X309" t="s">
        <v>28</v>
      </c>
      <c r="Y309" t="s">
        <v>30</v>
      </c>
      <c r="Z309" t="s">
        <v>30</v>
      </c>
      <c r="AA309">
        <v>11</v>
      </c>
      <c r="AB309">
        <v>930188</v>
      </c>
      <c r="AC309" t="s">
        <v>374</v>
      </c>
      <c r="AD309" t="s">
        <v>375</v>
      </c>
      <c r="AE309">
        <v>0.13333333333333</v>
      </c>
      <c r="AF309">
        <v>2</v>
      </c>
      <c r="AG309">
        <v>56.36</v>
      </c>
      <c r="AH309">
        <v>0</v>
      </c>
      <c r="AI309">
        <v>0</v>
      </c>
      <c r="AJ309">
        <v>0</v>
      </c>
      <c r="AK309">
        <v>20.29</v>
      </c>
      <c r="AL309">
        <v>112.72</v>
      </c>
      <c r="AM309">
        <v>133</v>
      </c>
      <c r="AN309">
        <v>199</v>
      </c>
      <c r="AO309" t="s">
        <v>218</v>
      </c>
      <c r="AP309" t="s">
        <v>219</v>
      </c>
      <c r="AQ309">
        <v>10</v>
      </c>
      <c r="AR309">
        <v>206</v>
      </c>
      <c r="AS309" t="s">
        <v>83</v>
      </c>
      <c r="AT309">
        <v>0</v>
      </c>
      <c r="AU309" t="s">
        <v>199</v>
      </c>
      <c r="AV309" t="s">
        <v>82</v>
      </c>
      <c r="AW309" t="s">
        <v>70</v>
      </c>
      <c r="AX309" t="s">
        <v>71</v>
      </c>
      <c r="AY309" t="s">
        <v>220</v>
      </c>
      <c r="AZ309" t="s">
        <v>221</v>
      </c>
      <c r="BA309" t="s">
        <v>515</v>
      </c>
      <c r="BB309">
        <v>0</v>
      </c>
      <c r="BC309">
        <v>0</v>
      </c>
      <c r="BD309" t="s">
        <v>199</v>
      </c>
      <c r="BE309" t="s">
        <v>199</v>
      </c>
      <c r="BF309">
        <v>0</v>
      </c>
      <c r="BG309">
        <v>0</v>
      </c>
      <c r="BH309" t="s">
        <v>200</v>
      </c>
      <c r="BI309">
        <v>13</v>
      </c>
      <c r="BJ309">
        <v>6338748</v>
      </c>
      <c r="BK309" t="s">
        <v>201</v>
      </c>
      <c r="BL309" t="s">
        <v>190</v>
      </c>
    </row>
    <row r="310" spans="1:64" x14ac:dyDescent="0.3">
      <c r="A310">
        <v>125</v>
      </c>
      <c r="B310" t="s">
        <v>186</v>
      </c>
      <c r="C310">
        <v>3</v>
      </c>
      <c r="D310">
        <v>6338748</v>
      </c>
      <c r="E310" t="s">
        <v>213</v>
      </c>
      <c r="F310" t="s">
        <v>188</v>
      </c>
      <c r="G310">
        <v>10167669</v>
      </c>
      <c r="H310" s="35">
        <v>46135</v>
      </c>
      <c r="I310" s="35">
        <v>46135</v>
      </c>
      <c r="J310">
        <v>2026</v>
      </c>
      <c r="K310">
        <v>4</v>
      </c>
      <c r="L310" t="s">
        <v>189</v>
      </c>
      <c r="M310">
        <v>1</v>
      </c>
      <c r="N310" t="s">
        <v>203</v>
      </c>
      <c r="O310" t="s">
        <v>191</v>
      </c>
      <c r="P310" t="s">
        <v>199</v>
      </c>
      <c r="Q310" t="s">
        <v>199</v>
      </c>
      <c r="R310">
        <v>17</v>
      </c>
      <c r="S310">
        <v>23</v>
      </c>
      <c r="T310">
        <v>36908</v>
      </c>
      <c r="U310">
        <v>3</v>
      </c>
      <c r="V310" t="s">
        <v>215</v>
      </c>
      <c r="W310" t="s">
        <v>67</v>
      </c>
      <c r="X310" t="s">
        <v>28</v>
      </c>
      <c r="Y310" t="s">
        <v>30</v>
      </c>
      <c r="Z310" t="s">
        <v>30</v>
      </c>
      <c r="AA310">
        <v>11</v>
      </c>
      <c r="AB310">
        <v>800793</v>
      </c>
      <c r="AC310" t="s">
        <v>361</v>
      </c>
      <c r="AD310" t="s">
        <v>362</v>
      </c>
      <c r="AE310">
        <v>0.04</v>
      </c>
      <c r="AF310">
        <v>1</v>
      </c>
      <c r="AG310">
        <v>151.58000000000001</v>
      </c>
      <c r="AH310">
        <v>0</v>
      </c>
      <c r="AI310">
        <v>0</v>
      </c>
      <c r="AJ310">
        <v>0</v>
      </c>
      <c r="AK310">
        <v>27.28</v>
      </c>
      <c r="AL310">
        <v>151.58000000000001</v>
      </c>
      <c r="AM310">
        <v>179</v>
      </c>
      <c r="AN310">
        <v>199</v>
      </c>
      <c r="AO310" t="s">
        <v>218</v>
      </c>
      <c r="AP310" t="s">
        <v>219</v>
      </c>
      <c r="AQ310">
        <v>10</v>
      </c>
      <c r="AR310">
        <v>207</v>
      </c>
      <c r="AS310" t="s">
        <v>81</v>
      </c>
      <c r="AT310">
        <v>65103</v>
      </c>
      <c r="AU310" t="s">
        <v>266</v>
      </c>
      <c r="AV310" t="s">
        <v>82</v>
      </c>
      <c r="AW310" t="s">
        <v>70</v>
      </c>
      <c r="AX310" t="s">
        <v>71</v>
      </c>
      <c r="AY310" t="s">
        <v>220</v>
      </c>
      <c r="AZ310" t="s">
        <v>221</v>
      </c>
      <c r="BA310" t="s">
        <v>515</v>
      </c>
      <c r="BB310">
        <v>0</v>
      </c>
      <c r="BC310">
        <v>0</v>
      </c>
      <c r="BD310" t="s">
        <v>199</v>
      </c>
      <c r="BE310" t="s">
        <v>199</v>
      </c>
      <c r="BF310">
        <v>0</v>
      </c>
      <c r="BG310">
        <v>0</v>
      </c>
      <c r="BH310" t="s">
        <v>200</v>
      </c>
      <c r="BI310">
        <v>13</v>
      </c>
      <c r="BJ310">
        <v>6338748</v>
      </c>
      <c r="BK310" t="s">
        <v>201</v>
      </c>
      <c r="BL310" t="s">
        <v>190</v>
      </c>
    </row>
    <row r="311" spans="1:64" x14ac:dyDescent="0.3">
      <c r="A311">
        <v>125</v>
      </c>
      <c r="B311" t="s">
        <v>186</v>
      </c>
      <c r="C311">
        <v>3</v>
      </c>
      <c r="D311">
        <v>6338748</v>
      </c>
      <c r="E311" t="s">
        <v>213</v>
      </c>
      <c r="F311" t="s">
        <v>188</v>
      </c>
      <c r="G311">
        <v>10167669</v>
      </c>
      <c r="H311" s="35">
        <v>46135</v>
      </c>
      <c r="I311" s="35">
        <v>46135</v>
      </c>
      <c r="J311">
        <v>2026</v>
      </c>
      <c r="K311">
        <v>4</v>
      </c>
      <c r="L311" t="s">
        <v>189</v>
      </c>
      <c r="M311">
        <v>1</v>
      </c>
      <c r="N311" t="s">
        <v>203</v>
      </c>
      <c r="O311" t="s">
        <v>191</v>
      </c>
      <c r="P311" t="s">
        <v>199</v>
      </c>
      <c r="Q311" t="s">
        <v>199</v>
      </c>
      <c r="R311">
        <v>17</v>
      </c>
      <c r="S311">
        <v>23</v>
      </c>
      <c r="T311">
        <v>36908</v>
      </c>
      <c r="U311">
        <v>3</v>
      </c>
      <c r="V311" t="s">
        <v>215</v>
      </c>
      <c r="W311" t="s">
        <v>67</v>
      </c>
      <c r="X311" t="s">
        <v>28</v>
      </c>
      <c r="Y311" t="s">
        <v>30</v>
      </c>
      <c r="Z311" t="s">
        <v>30</v>
      </c>
      <c r="AA311">
        <v>11</v>
      </c>
      <c r="AB311">
        <v>930112</v>
      </c>
      <c r="AC311" t="s">
        <v>391</v>
      </c>
      <c r="AD311" t="s">
        <v>392</v>
      </c>
      <c r="AE311">
        <v>0.08</v>
      </c>
      <c r="AF311">
        <v>2</v>
      </c>
      <c r="AG311">
        <v>152.53</v>
      </c>
      <c r="AH311">
        <v>0</v>
      </c>
      <c r="AI311">
        <v>0</v>
      </c>
      <c r="AJ311">
        <v>0</v>
      </c>
      <c r="AK311">
        <v>54.91</v>
      </c>
      <c r="AL311">
        <v>305.06</v>
      </c>
      <c r="AM311">
        <v>360</v>
      </c>
      <c r="AN311">
        <v>199</v>
      </c>
      <c r="AO311" t="s">
        <v>218</v>
      </c>
      <c r="AP311" t="s">
        <v>219</v>
      </c>
      <c r="AQ311">
        <v>10</v>
      </c>
      <c r="AR311">
        <v>207</v>
      </c>
      <c r="AS311" t="s">
        <v>81</v>
      </c>
      <c r="AT311">
        <v>0</v>
      </c>
      <c r="AU311" t="s">
        <v>199</v>
      </c>
      <c r="AV311" t="s">
        <v>82</v>
      </c>
      <c r="AW311" t="s">
        <v>70</v>
      </c>
      <c r="AX311" t="s">
        <v>71</v>
      </c>
      <c r="AY311" t="s">
        <v>220</v>
      </c>
      <c r="AZ311" t="s">
        <v>221</v>
      </c>
      <c r="BA311" t="s">
        <v>515</v>
      </c>
      <c r="BB311">
        <v>0</v>
      </c>
      <c r="BC311">
        <v>0</v>
      </c>
      <c r="BD311" t="s">
        <v>199</v>
      </c>
      <c r="BE311" t="s">
        <v>199</v>
      </c>
      <c r="BF311">
        <v>0</v>
      </c>
      <c r="BG311">
        <v>0</v>
      </c>
      <c r="BH311" t="s">
        <v>200</v>
      </c>
      <c r="BI311">
        <v>13</v>
      </c>
      <c r="BJ311">
        <v>6338748</v>
      </c>
      <c r="BK311" t="s">
        <v>201</v>
      </c>
      <c r="BL311" t="s">
        <v>190</v>
      </c>
    </row>
    <row r="312" spans="1:64" x14ac:dyDescent="0.3">
      <c r="A312">
        <v>125</v>
      </c>
      <c r="B312" t="s">
        <v>186</v>
      </c>
      <c r="C312">
        <v>3</v>
      </c>
      <c r="D312">
        <v>6338748</v>
      </c>
      <c r="E312" t="s">
        <v>213</v>
      </c>
      <c r="F312" t="s">
        <v>188</v>
      </c>
      <c r="G312">
        <v>10167669</v>
      </c>
      <c r="H312" s="35">
        <v>46135</v>
      </c>
      <c r="I312" s="35">
        <v>46135</v>
      </c>
      <c r="J312">
        <v>2026</v>
      </c>
      <c r="K312">
        <v>4</v>
      </c>
      <c r="L312" t="s">
        <v>189</v>
      </c>
      <c r="M312">
        <v>1</v>
      </c>
      <c r="N312" t="s">
        <v>203</v>
      </c>
      <c r="O312" t="s">
        <v>191</v>
      </c>
      <c r="P312" t="s">
        <v>199</v>
      </c>
      <c r="Q312" t="s">
        <v>199</v>
      </c>
      <c r="R312">
        <v>17</v>
      </c>
      <c r="S312">
        <v>23</v>
      </c>
      <c r="T312">
        <v>36908</v>
      </c>
      <c r="U312">
        <v>3</v>
      </c>
      <c r="V312" t="s">
        <v>215</v>
      </c>
      <c r="W312" t="s">
        <v>67</v>
      </c>
      <c r="X312" t="s">
        <v>28</v>
      </c>
      <c r="Y312" t="s">
        <v>30</v>
      </c>
      <c r="Z312" t="s">
        <v>30</v>
      </c>
      <c r="AA312">
        <v>11</v>
      </c>
      <c r="AB312">
        <v>930113</v>
      </c>
      <c r="AC312" t="s">
        <v>358</v>
      </c>
      <c r="AD312" t="s">
        <v>359</v>
      </c>
      <c r="AE312">
        <v>0.04</v>
      </c>
      <c r="AF312">
        <v>1</v>
      </c>
      <c r="AG312">
        <v>152.53</v>
      </c>
      <c r="AH312">
        <v>0</v>
      </c>
      <c r="AI312">
        <v>0</v>
      </c>
      <c r="AJ312">
        <v>0</v>
      </c>
      <c r="AK312">
        <v>27.46</v>
      </c>
      <c r="AL312">
        <v>152.53</v>
      </c>
      <c r="AM312">
        <v>180</v>
      </c>
      <c r="AN312">
        <v>199</v>
      </c>
      <c r="AO312" t="s">
        <v>218</v>
      </c>
      <c r="AP312" t="s">
        <v>219</v>
      </c>
      <c r="AQ312">
        <v>10</v>
      </c>
      <c r="AR312">
        <v>207</v>
      </c>
      <c r="AS312" t="s">
        <v>81</v>
      </c>
      <c r="AT312">
        <v>0</v>
      </c>
      <c r="AU312" t="s">
        <v>199</v>
      </c>
      <c r="AV312" t="s">
        <v>82</v>
      </c>
      <c r="AW312" t="s">
        <v>70</v>
      </c>
      <c r="AX312" t="s">
        <v>71</v>
      </c>
      <c r="AY312" t="s">
        <v>220</v>
      </c>
      <c r="AZ312" t="s">
        <v>221</v>
      </c>
      <c r="BA312" t="s">
        <v>515</v>
      </c>
      <c r="BB312">
        <v>0</v>
      </c>
      <c r="BC312">
        <v>0</v>
      </c>
      <c r="BD312" t="s">
        <v>199</v>
      </c>
      <c r="BE312" t="s">
        <v>199</v>
      </c>
      <c r="BF312">
        <v>0</v>
      </c>
      <c r="BG312">
        <v>0</v>
      </c>
      <c r="BH312" t="s">
        <v>200</v>
      </c>
      <c r="BI312">
        <v>13</v>
      </c>
      <c r="BJ312">
        <v>6338748</v>
      </c>
      <c r="BK312" t="s">
        <v>201</v>
      </c>
      <c r="BL312" t="s">
        <v>190</v>
      </c>
    </row>
    <row r="313" spans="1:64" x14ac:dyDescent="0.3">
      <c r="A313">
        <v>125</v>
      </c>
      <c r="B313" t="s">
        <v>186</v>
      </c>
      <c r="C313">
        <v>3</v>
      </c>
      <c r="D313">
        <v>6338748</v>
      </c>
      <c r="E313" t="s">
        <v>213</v>
      </c>
      <c r="F313" t="s">
        <v>188</v>
      </c>
      <c r="G313">
        <v>10167669</v>
      </c>
      <c r="H313" s="35">
        <v>46135</v>
      </c>
      <c r="I313" s="35">
        <v>46135</v>
      </c>
      <c r="J313">
        <v>2026</v>
      </c>
      <c r="K313">
        <v>4</v>
      </c>
      <c r="L313" t="s">
        <v>189</v>
      </c>
      <c r="M313">
        <v>1</v>
      </c>
      <c r="N313" t="s">
        <v>203</v>
      </c>
      <c r="O313" t="s">
        <v>191</v>
      </c>
      <c r="P313" t="s">
        <v>199</v>
      </c>
      <c r="Q313" t="s">
        <v>199</v>
      </c>
      <c r="R313">
        <v>17</v>
      </c>
      <c r="S313">
        <v>23</v>
      </c>
      <c r="T313">
        <v>36908</v>
      </c>
      <c r="U313">
        <v>3</v>
      </c>
      <c r="V313" t="s">
        <v>215</v>
      </c>
      <c r="W313" t="s">
        <v>67</v>
      </c>
      <c r="X313" t="s">
        <v>28</v>
      </c>
      <c r="Y313" t="s">
        <v>30</v>
      </c>
      <c r="Z313" t="s">
        <v>30</v>
      </c>
      <c r="AA313">
        <v>11</v>
      </c>
      <c r="AB313">
        <v>800792</v>
      </c>
      <c r="AC313" t="s">
        <v>304</v>
      </c>
      <c r="AD313" t="s">
        <v>305</v>
      </c>
      <c r="AE313">
        <v>0.08</v>
      </c>
      <c r="AF313">
        <v>2</v>
      </c>
      <c r="AG313">
        <v>151.58000000000001</v>
      </c>
      <c r="AH313">
        <v>0</v>
      </c>
      <c r="AI313">
        <v>0</v>
      </c>
      <c r="AJ313">
        <v>0</v>
      </c>
      <c r="AK313">
        <v>54.57</v>
      </c>
      <c r="AL313">
        <v>303.16000000000003</v>
      </c>
      <c r="AM313">
        <v>358</v>
      </c>
      <c r="AN313">
        <v>199</v>
      </c>
      <c r="AO313" t="s">
        <v>218</v>
      </c>
      <c r="AP313" t="s">
        <v>219</v>
      </c>
      <c r="AQ313">
        <v>10</v>
      </c>
      <c r="AR313">
        <v>207</v>
      </c>
      <c r="AS313" t="s">
        <v>81</v>
      </c>
      <c r="AT313">
        <v>65103</v>
      </c>
      <c r="AU313" t="s">
        <v>266</v>
      </c>
      <c r="AV313" t="s">
        <v>82</v>
      </c>
      <c r="AW313" t="s">
        <v>70</v>
      </c>
      <c r="AX313" t="s">
        <v>71</v>
      </c>
      <c r="AY313" t="s">
        <v>220</v>
      </c>
      <c r="AZ313" t="s">
        <v>221</v>
      </c>
      <c r="BA313" t="s">
        <v>515</v>
      </c>
      <c r="BB313">
        <v>0</v>
      </c>
      <c r="BC313">
        <v>0</v>
      </c>
      <c r="BD313" t="s">
        <v>199</v>
      </c>
      <c r="BE313" t="s">
        <v>199</v>
      </c>
      <c r="BF313">
        <v>0</v>
      </c>
      <c r="BG313">
        <v>0</v>
      </c>
      <c r="BH313" t="s">
        <v>200</v>
      </c>
      <c r="BI313">
        <v>13</v>
      </c>
      <c r="BJ313">
        <v>6338748</v>
      </c>
      <c r="BK313" t="s">
        <v>201</v>
      </c>
      <c r="BL313" t="s">
        <v>190</v>
      </c>
    </row>
    <row r="314" spans="1:64" x14ac:dyDescent="0.3">
      <c r="A314">
        <v>125</v>
      </c>
      <c r="B314" t="s">
        <v>186</v>
      </c>
      <c r="C314">
        <v>3</v>
      </c>
      <c r="D314">
        <v>6338748</v>
      </c>
      <c r="E314" t="s">
        <v>213</v>
      </c>
      <c r="F314" t="s">
        <v>188</v>
      </c>
      <c r="G314">
        <v>10167669</v>
      </c>
      <c r="H314" s="35">
        <v>46135</v>
      </c>
      <c r="I314" s="35">
        <v>46135</v>
      </c>
      <c r="J314">
        <v>2026</v>
      </c>
      <c r="K314">
        <v>4</v>
      </c>
      <c r="L314" t="s">
        <v>189</v>
      </c>
      <c r="M314">
        <v>1</v>
      </c>
      <c r="N314" t="s">
        <v>203</v>
      </c>
      <c r="O314" t="s">
        <v>191</v>
      </c>
      <c r="P314" t="s">
        <v>199</v>
      </c>
      <c r="Q314" t="s">
        <v>199</v>
      </c>
      <c r="R314">
        <v>17</v>
      </c>
      <c r="S314">
        <v>23</v>
      </c>
      <c r="T314">
        <v>36908</v>
      </c>
      <c r="U314">
        <v>3</v>
      </c>
      <c r="V314" t="s">
        <v>215</v>
      </c>
      <c r="W314" t="s">
        <v>67</v>
      </c>
      <c r="X314" t="s">
        <v>28</v>
      </c>
      <c r="Y314" t="s">
        <v>30</v>
      </c>
      <c r="Z314" t="s">
        <v>30</v>
      </c>
      <c r="AA314">
        <v>11</v>
      </c>
      <c r="AB314">
        <v>930022</v>
      </c>
      <c r="AC314" t="s">
        <v>518</v>
      </c>
      <c r="AD314" t="s">
        <v>519</v>
      </c>
      <c r="AE314">
        <v>6.25E-2</v>
      </c>
      <c r="AF314">
        <v>1</v>
      </c>
      <c r="AG314">
        <v>90.18</v>
      </c>
      <c r="AH314">
        <v>0</v>
      </c>
      <c r="AI314">
        <v>0</v>
      </c>
      <c r="AJ314">
        <v>0</v>
      </c>
      <c r="AK314">
        <v>16.23</v>
      </c>
      <c r="AL314">
        <v>90.18</v>
      </c>
      <c r="AM314">
        <v>106</v>
      </c>
      <c r="AN314">
        <v>199</v>
      </c>
      <c r="AO314" t="s">
        <v>218</v>
      </c>
      <c r="AP314" t="s">
        <v>219</v>
      </c>
      <c r="AQ314">
        <v>10</v>
      </c>
      <c r="AR314">
        <v>208</v>
      </c>
      <c r="AS314" t="s">
        <v>92</v>
      </c>
      <c r="AT314">
        <v>0</v>
      </c>
      <c r="AU314" t="s">
        <v>199</v>
      </c>
      <c r="AV314" t="s">
        <v>82</v>
      </c>
      <c r="AW314" t="s">
        <v>70</v>
      </c>
      <c r="AX314" t="s">
        <v>71</v>
      </c>
      <c r="AY314" t="s">
        <v>220</v>
      </c>
      <c r="AZ314" t="s">
        <v>221</v>
      </c>
      <c r="BA314" t="s">
        <v>515</v>
      </c>
      <c r="BB314">
        <v>0</v>
      </c>
      <c r="BC314">
        <v>0</v>
      </c>
      <c r="BD314" t="s">
        <v>199</v>
      </c>
      <c r="BE314" t="s">
        <v>199</v>
      </c>
      <c r="BF314">
        <v>0</v>
      </c>
      <c r="BG314">
        <v>0</v>
      </c>
      <c r="BH314" t="s">
        <v>200</v>
      </c>
      <c r="BI314">
        <v>13</v>
      </c>
      <c r="BJ314">
        <v>6338748</v>
      </c>
      <c r="BK314" t="s">
        <v>201</v>
      </c>
      <c r="BL314" t="s">
        <v>190</v>
      </c>
    </row>
    <row r="315" spans="1:64" x14ac:dyDescent="0.3">
      <c r="A315">
        <v>125</v>
      </c>
      <c r="B315" t="s">
        <v>186</v>
      </c>
      <c r="C315">
        <v>3</v>
      </c>
      <c r="D315">
        <v>6338748</v>
      </c>
      <c r="E315" t="s">
        <v>213</v>
      </c>
      <c r="F315" t="s">
        <v>188</v>
      </c>
      <c r="G315">
        <v>10167669</v>
      </c>
      <c r="H315" s="35">
        <v>46135</v>
      </c>
      <c r="I315" s="35">
        <v>46135</v>
      </c>
      <c r="J315">
        <v>2026</v>
      </c>
      <c r="K315">
        <v>4</v>
      </c>
      <c r="L315" t="s">
        <v>189</v>
      </c>
      <c r="M315">
        <v>1</v>
      </c>
      <c r="N315" t="s">
        <v>203</v>
      </c>
      <c r="O315" t="s">
        <v>191</v>
      </c>
      <c r="P315" t="s">
        <v>199</v>
      </c>
      <c r="Q315" t="s">
        <v>199</v>
      </c>
      <c r="R315">
        <v>17</v>
      </c>
      <c r="S315">
        <v>23</v>
      </c>
      <c r="T315">
        <v>36908</v>
      </c>
      <c r="U315">
        <v>3</v>
      </c>
      <c r="V315" t="s">
        <v>215</v>
      </c>
      <c r="W315" t="s">
        <v>67</v>
      </c>
      <c r="X315" t="s">
        <v>28</v>
      </c>
      <c r="Y315" t="s">
        <v>30</v>
      </c>
      <c r="Z315" t="s">
        <v>30</v>
      </c>
      <c r="AA315">
        <v>11</v>
      </c>
      <c r="AB315">
        <v>930023</v>
      </c>
      <c r="AC315" t="s">
        <v>332</v>
      </c>
      <c r="AD315" t="s">
        <v>333</v>
      </c>
      <c r="AE315">
        <v>0.25</v>
      </c>
      <c r="AF315">
        <v>5</v>
      </c>
      <c r="AG315">
        <v>139.34</v>
      </c>
      <c r="AH315">
        <v>0</v>
      </c>
      <c r="AI315">
        <v>0</v>
      </c>
      <c r="AJ315">
        <v>0</v>
      </c>
      <c r="AK315">
        <v>125.41</v>
      </c>
      <c r="AL315">
        <v>696.7</v>
      </c>
      <c r="AM315">
        <v>822</v>
      </c>
      <c r="AN315">
        <v>199</v>
      </c>
      <c r="AO315" t="s">
        <v>218</v>
      </c>
      <c r="AP315" t="s">
        <v>219</v>
      </c>
      <c r="AQ315">
        <v>10</v>
      </c>
      <c r="AR315">
        <v>208</v>
      </c>
      <c r="AS315" t="s">
        <v>92</v>
      </c>
      <c r="AT315">
        <v>0</v>
      </c>
      <c r="AU315" t="s">
        <v>199</v>
      </c>
      <c r="AV315" t="s">
        <v>82</v>
      </c>
      <c r="AW315" t="s">
        <v>70</v>
      </c>
      <c r="AX315" t="s">
        <v>71</v>
      </c>
      <c r="AY315" t="s">
        <v>220</v>
      </c>
      <c r="AZ315" t="s">
        <v>221</v>
      </c>
      <c r="BA315" t="s">
        <v>515</v>
      </c>
      <c r="BB315">
        <v>0</v>
      </c>
      <c r="BC315">
        <v>0</v>
      </c>
      <c r="BD315" t="s">
        <v>199</v>
      </c>
      <c r="BE315" t="s">
        <v>199</v>
      </c>
      <c r="BF315">
        <v>0</v>
      </c>
      <c r="BG315">
        <v>0</v>
      </c>
      <c r="BH315" t="s">
        <v>200</v>
      </c>
      <c r="BI315">
        <v>13</v>
      </c>
      <c r="BJ315">
        <v>6338748</v>
      </c>
      <c r="BK315" t="s">
        <v>201</v>
      </c>
      <c r="BL315" t="s">
        <v>190</v>
      </c>
    </row>
    <row r="316" spans="1:64" x14ac:dyDescent="0.3">
      <c r="A316">
        <v>125</v>
      </c>
      <c r="B316" t="s">
        <v>186</v>
      </c>
      <c r="C316">
        <v>3</v>
      </c>
      <c r="D316">
        <v>6338748</v>
      </c>
      <c r="E316" t="s">
        <v>213</v>
      </c>
      <c r="F316" t="s">
        <v>188</v>
      </c>
      <c r="G316">
        <v>10167669</v>
      </c>
      <c r="H316" s="35">
        <v>46135</v>
      </c>
      <c r="I316" s="35">
        <v>46135</v>
      </c>
      <c r="J316">
        <v>2026</v>
      </c>
      <c r="K316">
        <v>4</v>
      </c>
      <c r="L316" t="s">
        <v>189</v>
      </c>
      <c r="M316">
        <v>1</v>
      </c>
      <c r="N316" t="s">
        <v>203</v>
      </c>
      <c r="O316" t="s">
        <v>191</v>
      </c>
      <c r="P316" t="s">
        <v>199</v>
      </c>
      <c r="Q316" t="s">
        <v>199</v>
      </c>
      <c r="R316">
        <v>17</v>
      </c>
      <c r="S316">
        <v>23</v>
      </c>
      <c r="T316">
        <v>36908</v>
      </c>
      <c r="U316">
        <v>3</v>
      </c>
      <c r="V316" t="s">
        <v>215</v>
      </c>
      <c r="W316" t="s">
        <v>67</v>
      </c>
      <c r="X316" t="s">
        <v>28</v>
      </c>
      <c r="Y316" t="s">
        <v>30</v>
      </c>
      <c r="Z316" t="s">
        <v>30</v>
      </c>
      <c r="AA316">
        <v>11</v>
      </c>
      <c r="AB316">
        <v>930060</v>
      </c>
      <c r="AC316" t="s">
        <v>520</v>
      </c>
      <c r="AD316" t="s">
        <v>521</v>
      </c>
      <c r="AE316">
        <v>0.04</v>
      </c>
      <c r="AF316">
        <v>1</v>
      </c>
      <c r="AG316">
        <v>154.07</v>
      </c>
      <c r="AH316">
        <v>0</v>
      </c>
      <c r="AI316">
        <v>0</v>
      </c>
      <c r="AJ316">
        <v>0</v>
      </c>
      <c r="AK316">
        <v>27.73</v>
      </c>
      <c r="AL316">
        <v>154.07</v>
      </c>
      <c r="AM316">
        <v>182</v>
      </c>
      <c r="AN316">
        <v>199</v>
      </c>
      <c r="AO316" t="s">
        <v>218</v>
      </c>
      <c r="AP316" t="s">
        <v>219</v>
      </c>
      <c r="AQ316">
        <v>10</v>
      </c>
      <c r="AR316">
        <v>207</v>
      </c>
      <c r="AS316" t="s">
        <v>81</v>
      </c>
      <c r="AT316">
        <v>0</v>
      </c>
      <c r="AU316" t="s">
        <v>199</v>
      </c>
      <c r="AV316" t="s">
        <v>82</v>
      </c>
      <c r="AW316" t="s">
        <v>70</v>
      </c>
      <c r="AX316" t="s">
        <v>71</v>
      </c>
      <c r="AY316" t="s">
        <v>220</v>
      </c>
      <c r="AZ316" t="s">
        <v>221</v>
      </c>
      <c r="BA316" t="s">
        <v>515</v>
      </c>
      <c r="BB316">
        <v>0</v>
      </c>
      <c r="BC316">
        <v>0</v>
      </c>
      <c r="BD316" t="s">
        <v>199</v>
      </c>
      <c r="BE316" t="s">
        <v>199</v>
      </c>
      <c r="BF316">
        <v>0</v>
      </c>
      <c r="BG316">
        <v>0</v>
      </c>
      <c r="BH316" t="s">
        <v>200</v>
      </c>
      <c r="BI316">
        <v>13</v>
      </c>
      <c r="BJ316">
        <v>6338748</v>
      </c>
      <c r="BK316" t="s">
        <v>201</v>
      </c>
      <c r="BL316" t="s">
        <v>190</v>
      </c>
    </row>
    <row r="317" spans="1:64" x14ac:dyDescent="0.3">
      <c r="A317">
        <v>125</v>
      </c>
      <c r="B317" t="s">
        <v>186</v>
      </c>
      <c r="C317">
        <v>3</v>
      </c>
      <c r="D317">
        <v>6338748</v>
      </c>
      <c r="E317" t="s">
        <v>213</v>
      </c>
      <c r="F317" t="s">
        <v>188</v>
      </c>
      <c r="G317">
        <v>10167669</v>
      </c>
      <c r="H317" s="35">
        <v>46135</v>
      </c>
      <c r="I317" s="35">
        <v>46135</v>
      </c>
      <c r="J317">
        <v>2026</v>
      </c>
      <c r="K317">
        <v>4</v>
      </c>
      <c r="L317" t="s">
        <v>189</v>
      </c>
      <c r="M317">
        <v>1</v>
      </c>
      <c r="N317" t="s">
        <v>203</v>
      </c>
      <c r="O317" t="s">
        <v>191</v>
      </c>
      <c r="P317" t="s">
        <v>199</v>
      </c>
      <c r="Q317" t="s">
        <v>199</v>
      </c>
      <c r="R317">
        <v>17</v>
      </c>
      <c r="S317">
        <v>23</v>
      </c>
      <c r="T317">
        <v>36908</v>
      </c>
      <c r="U317">
        <v>3</v>
      </c>
      <c r="V317" t="s">
        <v>215</v>
      </c>
      <c r="W317" t="s">
        <v>67</v>
      </c>
      <c r="X317" t="s">
        <v>28</v>
      </c>
      <c r="Y317" t="s">
        <v>30</v>
      </c>
      <c r="Z317" t="s">
        <v>30</v>
      </c>
      <c r="AA317">
        <v>11</v>
      </c>
      <c r="AB317">
        <v>930012</v>
      </c>
      <c r="AC317" t="s">
        <v>312</v>
      </c>
      <c r="AD317" t="s">
        <v>313</v>
      </c>
      <c r="AE317">
        <v>0.375</v>
      </c>
      <c r="AF317">
        <v>6</v>
      </c>
      <c r="AG317">
        <v>90.18</v>
      </c>
      <c r="AH317">
        <v>0</v>
      </c>
      <c r="AI317">
        <v>0</v>
      </c>
      <c r="AJ317">
        <v>0</v>
      </c>
      <c r="AK317">
        <v>97.39</v>
      </c>
      <c r="AL317">
        <v>541.08000000000004</v>
      </c>
      <c r="AM317">
        <v>638</v>
      </c>
      <c r="AN317">
        <v>199</v>
      </c>
      <c r="AO317" t="s">
        <v>218</v>
      </c>
      <c r="AP317" t="s">
        <v>219</v>
      </c>
      <c r="AQ317">
        <v>10</v>
      </c>
      <c r="AR317">
        <v>208</v>
      </c>
      <c r="AS317" t="s">
        <v>92</v>
      </c>
      <c r="AT317">
        <v>0</v>
      </c>
      <c r="AU317" t="s">
        <v>199</v>
      </c>
      <c r="AV317" t="s">
        <v>82</v>
      </c>
      <c r="AW317" t="s">
        <v>70</v>
      </c>
      <c r="AX317" t="s">
        <v>71</v>
      </c>
      <c r="AY317" t="s">
        <v>220</v>
      </c>
      <c r="AZ317" t="s">
        <v>221</v>
      </c>
      <c r="BA317" t="s">
        <v>515</v>
      </c>
      <c r="BB317">
        <v>0</v>
      </c>
      <c r="BC317">
        <v>0</v>
      </c>
      <c r="BD317" t="s">
        <v>199</v>
      </c>
      <c r="BE317" t="s">
        <v>199</v>
      </c>
      <c r="BF317">
        <v>0</v>
      </c>
      <c r="BG317">
        <v>0</v>
      </c>
      <c r="BH317" t="s">
        <v>200</v>
      </c>
      <c r="BI317">
        <v>13</v>
      </c>
      <c r="BJ317">
        <v>6338748</v>
      </c>
      <c r="BK317" t="s">
        <v>201</v>
      </c>
      <c r="BL317" t="s">
        <v>190</v>
      </c>
    </row>
    <row r="318" spans="1:64" x14ac:dyDescent="0.3">
      <c r="A318">
        <v>125</v>
      </c>
      <c r="B318" t="s">
        <v>186</v>
      </c>
      <c r="C318">
        <v>3</v>
      </c>
      <c r="D318">
        <v>6338748</v>
      </c>
      <c r="E318" t="s">
        <v>213</v>
      </c>
      <c r="F318" t="s">
        <v>188</v>
      </c>
      <c r="G318">
        <v>10167669</v>
      </c>
      <c r="H318" s="35">
        <v>46135</v>
      </c>
      <c r="I318" s="35">
        <v>46135</v>
      </c>
      <c r="J318">
        <v>2026</v>
      </c>
      <c r="K318">
        <v>4</v>
      </c>
      <c r="L318" t="s">
        <v>189</v>
      </c>
      <c r="M318">
        <v>1</v>
      </c>
      <c r="N318" t="s">
        <v>203</v>
      </c>
      <c r="O318" t="s">
        <v>191</v>
      </c>
      <c r="P318" t="s">
        <v>199</v>
      </c>
      <c r="Q318" t="s">
        <v>199</v>
      </c>
      <c r="R318">
        <v>17</v>
      </c>
      <c r="S318">
        <v>23</v>
      </c>
      <c r="T318">
        <v>36908</v>
      </c>
      <c r="U318">
        <v>3</v>
      </c>
      <c r="V318" t="s">
        <v>215</v>
      </c>
      <c r="W318" t="s">
        <v>67</v>
      </c>
      <c r="X318" t="s">
        <v>28</v>
      </c>
      <c r="Y318" t="s">
        <v>30</v>
      </c>
      <c r="Z318" t="s">
        <v>30</v>
      </c>
      <c r="AA318">
        <v>11</v>
      </c>
      <c r="AB318">
        <v>930026</v>
      </c>
      <c r="AC318" t="s">
        <v>522</v>
      </c>
      <c r="AD318" t="s">
        <v>523</v>
      </c>
      <c r="AE318">
        <v>5.5555555555550001E-2</v>
      </c>
      <c r="AF318">
        <v>2</v>
      </c>
      <c r="AG318">
        <v>57.58</v>
      </c>
      <c r="AH318">
        <v>0</v>
      </c>
      <c r="AI318">
        <v>0</v>
      </c>
      <c r="AJ318">
        <v>0</v>
      </c>
      <c r="AK318">
        <v>20.73</v>
      </c>
      <c r="AL318">
        <v>115.16</v>
      </c>
      <c r="AM318">
        <v>136</v>
      </c>
      <c r="AN318">
        <v>199</v>
      </c>
      <c r="AO318" t="s">
        <v>218</v>
      </c>
      <c r="AP318" t="s">
        <v>219</v>
      </c>
      <c r="AQ318">
        <v>10</v>
      </c>
      <c r="AR318">
        <v>209</v>
      </c>
      <c r="AS318" t="s">
        <v>88</v>
      </c>
      <c r="AT318">
        <v>0</v>
      </c>
      <c r="AU318" t="s">
        <v>199</v>
      </c>
      <c r="AV318" t="s">
        <v>82</v>
      </c>
      <c r="AW318" t="s">
        <v>70</v>
      </c>
      <c r="AX318" t="s">
        <v>71</v>
      </c>
      <c r="AY318" t="s">
        <v>220</v>
      </c>
      <c r="AZ318" t="s">
        <v>221</v>
      </c>
      <c r="BA318" t="s">
        <v>515</v>
      </c>
      <c r="BB318">
        <v>0</v>
      </c>
      <c r="BC318">
        <v>0</v>
      </c>
      <c r="BD318" t="s">
        <v>199</v>
      </c>
      <c r="BE318" t="s">
        <v>199</v>
      </c>
      <c r="BF318">
        <v>0</v>
      </c>
      <c r="BG318">
        <v>0</v>
      </c>
      <c r="BH318" t="s">
        <v>200</v>
      </c>
      <c r="BI318">
        <v>13</v>
      </c>
      <c r="BJ318">
        <v>6338748</v>
      </c>
      <c r="BK318" t="s">
        <v>201</v>
      </c>
      <c r="BL318" t="s">
        <v>190</v>
      </c>
    </row>
    <row r="319" spans="1:64" x14ac:dyDescent="0.3">
      <c r="A319">
        <v>125</v>
      </c>
      <c r="B319" t="s">
        <v>186</v>
      </c>
      <c r="C319">
        <v>3</v>
      </c>
      <c r="D319">
        <v>6338748</v>
      </c>
      <c r="E319" t="s">
        <v>213</v>
      </c>
      <c r="F319" t="s">
        <v>188</v>
      </c>
      <c r="G319">
        <v>10167669</v>
      </c>
      <c r="H319" s="35">
        <v>46135</v>
      </c>
      <c r="I319" s="35">
        <v>46135</v>
      </c>
      <c r="J319">
        <v>2026</v>
      </c>
      <c r="K319">
        <v>4</v>
      </c>
      <c r="L319" t="s">
        <v>189</v>
      </c>
      <c r="M319">
        <v>1</v>
      </c>
      <c r="N319" t="s">
        <v>203</v>
      </c>
      <c r="O319" t="s">
        <v>191</v>
      </c>
      <c r="P319" t="s">
        <v>199</v>
      </c>
      <c r="Q319" t="s">
        <v>199</v>
      </c>
      <c r="R319">
        <v>17</v>
      </c>
      <c r="S319">
        <v>23</v>
      </c>
      <c r="T319">
        <v>36908</v>
      </c>
      <c r="U319">
        <v>3</v>
      </c>
      <c r="V319" t="s">
        <v>215</v>
      </c>
      <c r="W319" t="s">
        <v>67</v>
      </c>
      <c r="X319" t="s">
        <v>28</v>
      </c>
      <c r="Y319" t="s">
        <v>30</v>
      </c>
      <c r="Z319" t="s">
        <v>30</v>
      </c>
      <c r="AA319">
        <v>11</v>
      </c>
      <c r="AB319">
        <v>930121</v>
      </c>
      <c r="AC319" t="s">
        <v>441</v>
      </c>
      <c r="AD319" t="s">
        <v>442</v>
      </c>
      <c r="AE319">
        <v>6.6666666666660004E-2</v>
      </c>
      <c r="AF319">
        <v>2</v>
      </c>
      <c r="AG319">
        <v>57.58</v>
      </c>
      <c r="AH319">
        <v>0</v>
      </c>
      <c r="AI319">
        <v>0</v>
      </c>
      <c r="AJ319">
        <v>0</v>
      </c>
      <c r="AK319">
        <v>20.73</v>
      </c>
      <c r="AL319">
        <v>115.16</v>
      </c>
      <c r="AM319">
        <v>136</v>
      </c>
      <c r="AN319">
        <v>199</v>
      </c>
      <c r="AO319" t="s">
        <v>218</v>
      </c>
      <c r="AP319" t="s">
        <v>219</v>
      </c>
      <c r="AQ319">
        <v>10</v>
      </c>
      <c r="AR319">
        <v>209</v>
      </c>
      <c r="AS319" t="s">
        <v>88</v>
      </c>
      <c r="AT319">
        <v>0</v>
      </c>
      <c r="AU319" t="s">
        <v>199</v>
      </c>
      <c r="AV319" t="s">
        <v>82</v>
      </c>
      <c r="AW319" t="s">
        <v>70</v>
      </c>
      <c r="AX319" t="s">
        <v>71</v>
      </c>
      <c r="AY319" t="s">
        <v>220</v>
      </c>
      <c r="AZ319" t="s">
        <v>221</v>
      </c>
      <c r="BA319" t="s">
        <v>515</v>
      </c>
      <c r="BB319">
        <v>0</v>
      </c>
      <c r="BC319">
        <v>0</v>
      </c>
      <c r="BD319" t="s">
        <v>199</v>
      </c>
      <c r="BE319" t="s">
        <v>199</v>
      </c>
      <c r="BF319">
        <v>0</v>
      </c>
      <c r="BG319">
        <v>0</v>
      </c>
      <c r="BH319" t="s">
        <v>200</v>
      </c>
      <c r="BI319">
        <v>13</v>
      </c>
      <c r="BJ319">
        <v>6338748</v>
      </c>
      <c r="BK319" t="s">
        <v>201</v>
      </c>
      <c r="BL319" t="s">
        <v>190</v>
      </c>
    </row>
    <row r="320" spans="1:64" x14ac:dyDescent="0.3">
      <c r="A320">
        <v>125</v>
      </c>
      <c r="B320" t="s">
        <v>186</v>
      </c>
      <c r="C320">
        <v>3</v>
      </c>
      <c r="D320">
        <v>6338748</v>
      </c>
      <c r="E320" t="s">
        <v>213</v>
      </c>
      <c r="F320" t="s">
        <v>188</v>
      </c>
      <c r="G320">
        <v>10167669</v>
      </c>
      <c r="H320" s="35">
        <v>46135</v>
      </c>
      <c r="I320" s="35">
        <v>46135</v>
      </c>
      <c r="J320">
        <v>2026</v>
      </c>
      <c r="K320">
        <v>4</v>
      </c>
      <c r="L320" t="s">
        <v>189</v>
      </c>
      <c r="M320">
        <v>1</v>
      </c>
      <c r="N320" t="s">
        <v>203</v>
      </c>
      <c r="O320" t="s">
        <v>191</v>
      </c>
      <c r="P320" t="s">
        <v>199</v>
      </c>
      <c r="Q320" t="s">
        <v>199</v>
      </c>
      <c r="R320">
        <v>17</v>
      </c>
      <c r="S320">
        <v>23</v>
      </c>
      <c r="T320">
        <v>36908</v>
      </c>
      <c r="U320">
        <v>3</v>
      </c>
      <c r="V320" t="s">
        <v>215</v>
      </c>
      <c r="W320" t="s">
        <v>67</v>
      </c>
      <c r="X320" t="s">
        <v>28</v>
      </c>
      <c r="Y320" t="s">
        <v>30</v>
      </c>
      <c r="Z320" t="s">
        <v>30</v>
      </c>
      <c r="AA320">
        <v>11</v>
      </c>
      <c r="AB320">
        <v>930025</v>
      </c>
      <c r="AC320" t="s">
        <v>306</v>
      </c>
      <c r="AD320" t="s">
        <v>307</v>
      </c>
      <c r="AE320">
        <v>5.5555555555550001E-2</v>
      </c>
      <c r="AF320">
        <v>2</v>
      </c>
      <c r="AG320">
        <v>57.58</v>
      </c>
      <c r="AH320">
        <v>0</v>
      </c>
      <c r="AI320">
        <v>0</v>
      </c>
      <c r="AJ320">
        <v>0</v>
      </c>
      <c r="AK320">
        <v>20.73</v>
      </c>
      <c r="AL320">
        <v>115.16</v>
      </c>
      <c r="AM320">
        <v>136</v>
      </c>
      <c r="AN320">
        <v>199</v>
      </c>
      <c r="AO320" t="s">
        <v>218</v>
      </c>
      <c r="AP320" t="s">
        <v>219</v>
      </c>
      <c r="AQ320">
        <v>10</v>
      </c>
      <c r="AR320">
        <v>209</v>
      </c>
      <c r="AS320" t="s">
        <v>88</v>
      </c>
      <c r="AT320">
        <v>0</v>
      </c>
      <c r="AU320" t="s">
        <v>199</v>
      </c>
      <c r="AV320" t="s">
        <v>82</v>
      </c>
      <c r="AW320" t="s">
        <v>70</v>
      </c>
      <c r="AX320" t="s">
        <v>71</v>
      </c>
      <c r="AY320" t="s">
        <v>220</v>
      </c>
      <c r="AZ320" t="s">
        <v>221</v>
      </c>
      <c r="BA320" t="s">
        <v>515</v>
      </c>
      <c r="BB320">
        <v>0</v>
      </c>
      <c r="BC320">
        <v>0</v>
      </c>
      <c r="BD320" t="s">
        <v>199</v>
      </c>
      <c r="BE320" t="s">
        <v>199</v>
      </c>
      <c r="BF320">
        <v>0</v>
      </c>
      <c r="BG320">
        <v>0</v>
      </c>
      <c r="BH320" t="s">
        <v>200</v>
      </c>
      <c r="BI320">
        <v>13</v>
      </c>
      <c r="BJ320">
        <v>6338748</v>
      </c>
      <c r="BK320" t="s">
        <v>201</v>
      </c>
      <c r="BL320" t="s">
        <v>190</v>
      </c>
    </row>
    <row r="321" spans="1:64" x14ac:dyDescent="0.3">
      <c r="A321">
        <v>125</v>
      </c>
      <c r="B321" t="s">
        <v>186</v>
      </c>
      <c r="C321">
        <v>3</v>
      </c>
      <c r="D321">
        <v>6338748</v>
      </c>
      <c r="E321" t="s">
        <v>213</v>
      </c>
      <c r="F321" t="s">
        <v>188</v>
      </c>
      <c r="G321">
        <v>10167669</v>
      </c>
      <c r="H321" s="35">
        <v>46135</v>
      </c>
      <c r="I321" s="35">
        <v>46135</v>
      </c>
      <c r="J321">
        <v>2026</v>
      </c>
      <c r="K321">
        <v>4</v>
      </c>
      <c r="L321" t="s">
        <v>189</v>
      </c>
      <c r="M321">
        <v>1</v>
      </c>
      <c r="N321" t="s">
        <v>203</v>
      </c>
      <c r="O321" t="s">
        <v>191</v>
      </c>
      <c r="P321" t="s">
        <v>199</v>
      </c>
      <c r="Q321" t="s">
        <v>199</v>
      </c>
      <c r="R321">
        <v>17</v>
      </c>
      <c r="S321">
        <v>23</v>
      </c>
      <c r="T321">
        <v>36908</v>
      </c>
      <c r="U321">
        <v>3</v>
      </c>
      <c r="V321" t="s">
        <v>215</v>
      </c>
      <c r="W321" t="s">
        <v>67</v>
      </c>
      <c r="X321" t="s">
        <v>28</v>
      </c>
      <c r="Y321" t="s">
        <v>30</v>
      </c>
      <c r="Z321" t="s">
        <v>30</v>
      </c>
      <c r="AA321">
        <v>11</v>
      </c>
      <c r="AB321">
        <v>611221</v>
      </c>
      <c r="AC321" t="s">
        <v>255</v>
      </c>
      <c r="AD321" t="s">
        <v>256</v>
      </c>
      <c r="AE321">
        <v>1</v>
      </c>
      <c r="AF321">
        <v>1</v>
      </c>
      <c r="AG321">
        <v>192.97</v>
      </c>
      <c r="AH321">
        <v>0</v>
      </c>
      <c r="AI321">
        <v>0</v>
      </c>
      <c r="AJ321">
        <v>0</v>
      </c>
      <c r="AK321">
        <v>34.729999999999997</v>
      </c>
      <c r="AL321">
        <v>192.97</v>
      </c>
      <c r="AM321">
        <v>228</v>
      </c>
      <c r="AN321">
        <v>199</v>
      </c>
      <c r="AO321" t="s">
        <v>218</v>
      </c>
      <c r="AP321" t="s">
        <v>219</v>
      </c>
      <c r="AQ321">
        <v>10</v>
      </c>
      <c r="AR321">
        <v>193</v>
      </c>
      <c r="AS321" t="s">
        <v>98</v>
      </c>
      <c r="AT321">
        <v>65105</v>
      </c>
      <c r="AU321" t="s">
        <v>257</v>
      </c>
      <c r="AV321" t="s">
        <v>99</v>
      </c>
      <c r="AW321" t="s">
        <v>70</v>
      </c>
      <c r="AX321" t="s">
        <v>71</v>
      </c>
      <c r="AY321" t="s">
        <v>220</v>
      </c>
      <c r="AZ321" t="s">
        <v>221</v>
      </c>
      <c r="BA321" t="s">
        <v>515</v>
      </c>
      <c r="BB321">
        <v>0</v>
      </c>
      <c r="BC321">
        <v>0</v>
      </c>
      <c r="BD321" t="s">
        <v>199</v>
      </c>
      <c r="BE321" t="s">
        <v>199</v>
      </c>
      <c r="BF321">
        <v>0</v>
      </c>
      <c r="BG321">
        <v>0</v>
      </c>
      <c r="BH321" t="s">
        <v>200</v>
      </c>
      <c r="BI321">
        <v>13</v>
      </c>
      <c r="BJ321">
        <v>6338748</v>
      </c>
      <c r="BK321" t="s">
        <v>201</v>
      </c>
      <c r="BL321" t="s">
        <v>190</v>
      </c>
    </row>
    <row r="322" spans="1:64" x14ac:dyDescent="0.3">
      <c r="A322">
        <v>125</v>
      </c>
      <c r="B322" t="s">
        <v>186</v>
      </c>
      <c r="C322">
        <v>3</v>
      </c>
      <c r="D322">
        <v>6338748</v>
      </c>
      <c r="E322" t="s">
        <v>213</v>
      </c>
      <c r="F322" t="s">
        <v>188</v>
      </c>
      <c r="G322">
        <v>10167669</v>
      </c>
      <c r="H322" s="35">
        <v>46135</v>
      </c>
      <c r="I322" s="35">
        <v>46135</v>
      </c>
      <c r="J322">
        <v>2026</v>
      </c>
      <c r="K322">
        <v>4</v>
      </c>
      <c r="L322" t="s">
        <v>189</v>
      </c>
      <c r="M322">
        <v>1</v>
      </c>
      <c r="N322" t="s">
        <v>203</v>
      </c>
      <c r="O322" t="s">
        <v>191</v>
      </c>
      <c r="P322" t="s">
        <v>199</v>
      </c>
      <c r="Q322" t="s">
        <v>199</v>
      </c>
      <c r="R322">
        <v>17</v>
      </c>
      <c r="S322">
        <v>23</v>
      </c>
      <c r="T322">
        <v>36908</v>
      </c>
      <c r="U322">
        <v>3</v>
      </c>
      <c r="V322" t="s">
        <v>215</v>
      </c>
      <c r="W322" t="s">
        <v>67</v>
      </c>
      <c r="X322" t="s">
        <v>28</v>
      </c>
      <c r="Y322" t="s">
        <v>30</v>
      </c>
      <c r="Z322" t="s">
        <v>30</v>
      </c>
      <c r="AA322">
        <v>11</v>
      </c>
      <c r="AB322">
        <v>611092</v>
      </c>
      <c r="AC322" t="s">
        <v>524</v>
      </c>
      <c r="AD322" t="s">
        <v>525</v>
      </c>
      <c r="AE322">
        <v>2</v>
      </c>
      <c r="AF322">
        <v>2</v>
      </c>
      <c r="AG322">
        <v>192.97</v>
      </c>
      <c r="AH322">
        <v>0</v>
      </c>
      <c r="AI322">
        <v>0</v>
      </c>
      <c r="AJ322">
        <v>0</v>
      </c>
      <c r="AK322">
        <v>69.47</v>
      </c>
      <c r="AL322">
        <v>385.94</v>
      </c>
      <c r="AM322">
        <v>455</v>
      </c>
      <c r="AN322">
        <v>199</v>
      </c>
      <c r="AO322" t="s">
        <v>218</v>
      </c>
      <c r="AP322" t="s">
        <v>219</v>
      </c>
      <c r="AQ322">
        <v>10</v>
      </c>
      <c r="AR322">
        <v>193</v>
      </c>
      <c r="AS322" t="s">
        <v>98</v>
      </c>
      <c r="AT322">
        <v>65103</v>
      </c>
      <c r="AU322" t="s">
        <v>266</v>
      </c>
      <c r="AV322" t="s">
        <v>99</v>
      </c>
      <c r="AW322" t="s">
        <v>70</v>
      </c>
      <c r="AX322" t="s">
        <v>71</v>
      </c>
      <c r="AY322" t="s">
        <v>220</v>
      </c>
      <c r="AZ322" t="s">
        <v>221</v>
      </c>
      <c r="BA322" t="s">
        <v>515</v>
      </c>
      <c r="BB322">
        <v>0</v>
      </c>
      <c r="BC322">
        <v>0</v>
      </c>
      <c r="BD322" t="s">
        <v>199</v>
      </c>
      <c r="BE322" t="s">
        <v>199</v>
      </c>
      <c r="BF322">
        <v>0</v>
      </c>
      <c r="BG322">
        <v>0</v>
      </c>
      <c r="BH322" t="s">
        <v>200</v>
      </c>
      <c r="BI322">
        <v>13</v>
      </c>
      <c r="BJ322">
        <v>6338748</v>
      </c>
      <c r="BK322" t="s">
        <v>201</v>
      </c>
      <c r="BL322" t="s">
        <v>190</v>
      </c>
    </row>
    <row r="323" spans="1:64" x14ac:dyDescent="0.3">
      <c r="A323">
        <v>125</v>
      </c>
      <c r="B323" t="s">
        <v>186</v>
      </c>
      <c r="C323">
        <v>3</v>
      </c>
      <c r="D323">
        <v>6338748</v>
      </c>
      <c r="E323" t="s">
        <v>213</v>
      </c>
      <c r="F323" t="s">
        <v>188</v>
      </c>
      <c r="G323">
        <v>10167669</v>
      </c>
      <c r="H323" s="35">
        <v>46135</v>
      </c>
      <c r="I323" s="35">
        <v>46135</v>
      </c>
      <c r="J323">
        <v>2026</v>
      </c>
      <c r="K323">
        <v>4</v>
      </c>
      <c r="L323" t="s">
        <v>189</v>
      </c>
      <c r="M323">
        <v>1</v>
      </c>
      <c r="N323" t="s">
        <v>190</v>
      </c>
      <c r="O323" t="s">
        <v>191</v>
      </c>
      <c r="P323" t="s">
        <v>199</v>
      </c>
      <c r="Q323" t="s">
        <v>199</v>
      </c>
      <c r="R323">
        <v>17</v>
      </c>
      <c r="S323">
        <v>23</v>
      </c>
      <c r="T323">
        <v>36908</v>
      </c>
      <c r="U323">
        <v>3</v>
      </c>
      <c r="V323" t="s">
        <v>215</v>
      </c>
      <c r="W323" t="s">
        <v>67</v>
      </c>
      <c r="X323" t="s">
        <v>28</v>
      </c>
      <c r="Y323" t="s">
        <v>30</v>
      </c>
      <c r="Z323" t="s">
        <v>30</v>
      </c>
      <c r="AA323">
        <v>11</v>
      </c>
      <c r="AB323">
        <v>960103</v>
      </c>
      <c r="AC323" t="s">
        <v>526</v>
      </c>
      <c r="AD323" t="s">
        <v>527</v>
      </c>
      <c r="AE323">
        <v>0.24</v>
      </c>
      <c r="AF323">
        <v>12</v>
      </c>
      <c r="AG323">
        <v>52.99</v>
      </c>
      <c r="AH323">
        <v>0</v>
      </c>
      <c r="AI323">
        <v>0</v>
      </c>
      <c r="AJ323">
        <v>0</v>
      </c>
      <c r="AK323">
        <v>114.46</v>
      </c>
      <c r="AL323">
        <v>635.88</v>
      </c>
      <c r="AM323">
        <v>750</v>
      </c>
      <c r="AN323">
        <v>199</v>
      </c>
      <c r="AO323" t="s">
        <v>218</v>
      </c>
      <c r="AP323" t="s">
        <v>219</v>
      </c>
      <c r="AQ323">
        <v>10</v>
      </c>
      <c r="AR323">
        <v>277</v>
      </c>
      <c r="AS323" t="s">
        <v>106</v>
      </c>
      <c r="AT323">
        <v>856801</v>
      </c>
      <c r="AU323" t="s">
        <v>112</v>
      </c>
      <c r="AV323" t="s">
        <v>107</v>
      </c>
      <c r="AW323" t="s">
        <v>70</v>
      </c>
      <c r="AX323" t="s">
        <v>71</v>
      </c>
      <c r="AY323" t="s">
        <v>220</v>
      </c>
      <c r="AZ323" t="s">
        <v>221</v>
      </c>
      <c r="BA323" t="s">
        <v>515</v>
      </c>
      <c r="BB323">
        <v>0</v>
      </c>
      <c r="BC323">
        <v>0</v>
      </c>
      <c r="BD323" t="s">
        <v>199</v>
      </c>
      <c r="BE323" t="s">
        <v>199</v>
      </c>
      <c r="BF323">
        <v>0</v>
      </c>
      <c r="BG323">
        <v>0</v>
      </c>
      <c r="BH323" t="s">
        <v>200</v>
      </c>
      <c r="BI323">
        <v>13</v>
      </c>
      <c r="BJ323">
        <v>6338748</v>
      </c>
      <c r="BK323" t="s">
        <v>201</v>
      </c>
      <c r="BL323" t="s">
        <v>190</v>
      </c>
    </row>
    <row r="324" spans="1:64" x14ac:dyDescent="0.3">
      <c r="A324">
        <v>125</v>
      </c>
      <c r="B324" t="s">
        <v>186</v>
      </c>
      <c r="C324">
        <v>3</v>
      </c>
      <c r="D324">
        <v>6338748</v>
      </c>
      <c r="E324" t="s">
        <v>213</v>
      </c>
      <c r="F324" t="s">
        <v>188</v>
      </c>
      <c r="G324">
        <v>10167669</v>
      </c>
      <c r="H324" s="35">
        <v>46135</v>
      </c>
      <c r="I324" s="35">
        <v>46135</v>
      </c>
      <c r="J324">
        <v>2026</v>
      </c>
      <c r="K324">
        <v>4</v>
      </c>
      <c r="L324" t="s">
        <v>189</v>
      </c>
      <c r="M324">
        <v>1</v>
      </c>
      <c r="N324" t="s">
        <v>190</v>
      </c>
      <c r="O324" t="s">
        <v>191</v>
      </c>
      <c r="P324" t="s">
        <v>199</v>
      </c>
      <c r="Q324" t="s">
        <v>199</v>
      </c>
      <c r="R324">
        <v>17</v>
      </c>
      <c r="S324">
        <v>23</v>
      </c>
      <c r="T324">
        <v>36908</v>
      </c>
      <c r="U324">
        <v>3</v>
      </c>
      <c r="V324" t="s">
        <v>215</v>
      </c>
      <c r="W324" t="s">
        <v>67</v>
      </c>
      <c r="X324" t="s">
        <v>28</v>
      </c>
      <c r="Y324" t="s">
        <v>30</v>
      </c>
      <c r="Z324" t="s">
        <v>30</v>
      </c>
      <c r="AA324">
        <v>11</v>
      </c>
      <c r="AB324">
        <v>960105</v>
      </c>
      <c r="AC324" t="s">
        <v>216</v>
      </c>
      <c r="AD324" t="s">
        <v>217</v>
      </c>
      <c r="AE324">
        <v>0.14000000000000001</v>
      </c>
      <c r="AF324">
        <v>7</v>
      </c>
      <c r="AG324">
        <v>197.11</v>
      </c>
      <c r="AH324">
        <v>0</v>
      </c>
      <c r="AI324">
        <v>0</v>
      </c>
      <c r="AJ324">
        <v>0</v>
      </c>
      <c r="AK324">
        <v>248.36</v>
      </c>
      <c r="AL324">
        <v>1379.77</v>
      </c>
      <c r="AM324">
        <v>1628</v>
      </c>
      <c r="AN324">
        <v>199</v>
      </c>
      <c r="AO324" t="s">
        <v>218</v>
      </c>
      <c r="AP324" t="s">
        <v>219</v>
      </c>
      <c r="AQ324">
        <v>10</v>
      </c>
      <c r="AR324">
        <v>277</v>
      </c>
      <c r="AS324" t="s">
        <v>106</v>
      </c>
      <c r="AT324">
        <v>856801</v>
      </c>
      <c r="AU324" t="s">
        <v>112</v>
      </c>
      <c r="AV324" t="s">
        <v>107</v>
      </c>
      <c r="AW324" t="s">
        <v>70</v>
      </c>
      <c r="AX324" t="s">
        <v>71</v>
      </c>
      <c r="AY324" t="s">
        <v>220</v>
      </c>
      <c r="AZ324" t="s">
        <v>221</v>
      </c>
      <c r="BA324" t="s">
        <v>515</v>
      </c>
      <c r="BB324">
        <v>0</v>
      </c>
      <c r="BC324">
        <v>0</v>
      </c>
      <c r="BD324" t="s">
        <v>199</v>
      </c>
      <c r="BE324" t="s">
        <v>199</v>
      </c>
      <c r="BF324">
        <v>0</v>
      </c>
      <c r="BG324">
        <v>0</v>
      </c>
      <c r="BH324" t="s">
        <v>200</v>
      </c>
      <c r="BI324">
        <v>13</v>
      </c>
      <c r="BJ324">
        <v>6338748</v>
      </c>
      <c r="BK324" t="s">
        <v>201</v>
      </c>
      <c r="BL324" t="s">
        <v>190</v>
      </c>
    </row>
    <row r="325" spans="1:64" x14ac:dyDescent="0.3">
      <c r="A325">
        <v>125</v>
      </c>
      <c r="B325" t="s">
        <v>186</v>
      </c>
      <c r="C325">
        <v>3</v>
      </c>
      <c r="D325">
        <v>6338748</v>
      </c>
      <c r="E325" t="s">
        <v>213</v>
      </c>
      <c r="F325" t="s">
        <v>188</v>
      </c>
      <c r="G325">
        <v>10167669</v>
      </c>
      <c r="H325" s="35">
        <v>46135</v>
      </c>
      <c r="I325" s="35">
        <v>46135</v>
      </c>
      <c r="J325">
        <v>2026</v>
      </c>
      <c r="K325">
        <v>4</v>
      </c>
      <c r="L325" t="s">
        <v>189</v>
      </c>
      <c r="M325">
        <v>1</v>
      </c>
      <c r="N325" t="s">
        <v>190</v>
      </c>
      <c r="O325" t="s">
        <v>191</v>
      </c>
      <c r="P325" t="s">
        <v>199</v>
      </c>
      <c r="Q325" t="s">
        <v>199</v>
      </c>
      <c r="R325">
        <v>17</v>
      </c>
      <c r="S325">
        <v>23</v>
      </c>
      <c r="T325">
        <v>36908</v>
      </c>
      <c r="U325">
        <v>3</v>
      </c>
      <c r="V325" t="s">
        <v>215</v>
      </c>
      <c r="W325" t="s">
        <v>67</v>
      </c>
      <c r="X325" t="s">
        <v>28</v>
      </c>
      <c r="Y325" t="s">
        <v>30</v>
      </c>
      <c r="Z325" t="s">
        <v>30</v>
      </c>
      <c r="AA325">
        <v>11</v>
      </c>
      <c r="AB325">
        <v>501125</v>
      </c>
      <c r="AC325" t="s">
        <v>528</v>
      </c>
      <c r="AD325" t="s">
        <v>529</v>
      </c>
      <c r="AE325">
        <v>0.5</v>
      </c>
      <c r="AF325">
        <v>6</v>
      </c>
      <c r="AG325">
        <v>93.22</v>
      </c>
      <c r="AH325">
        <v>0</v>
      </c>
      <c r="AI325">
        <v>0</v>
      </c>
      <c r="AJ325">
        <v>0</v>
      </c>
      <c r="AK325">
        <v>100.68</v>
      </c>
      <c r="AL325">
        <v>559.32000000000005</v>
      </c>
      <c r="AM325">
        <v>660</v>
      </c>
      <c r="AN325">
        <v>199</v>
      </c>
      <c r="AO325" t="s">
        <v>218</v>
      </c>
      <c r="AP325" t="s">
        <v>219</v>
      </c>
      <c r="AQ325">
        <v>10</v>
      </c>
      <c r="AR325">
        <v>168</v>
      </c>
      <c r="AS325" t="s">
        <v>112</v>
      </c>
      <c r="AT325">
        <v>856801</v>
      </c>
      <c r="AU325" t="s">
        <v>112</v>
      </c>
      <c r="AV325" t="s">
        <v>113</v>
      </c>
      <c r="AW325" t="s">
        <v>70</v>
      </c>
      <c r="AX325" t="s">
        <v>71</v>
      </c>
      <c r="AY325" t="s">
        <v>220</v>
      </c>
      <c r="AZ325" t="s">
        <v>221</v>
      </c>
      <c r="BA325" t="s">
        <v>515</v>
      </c>
      <c r="BB325">
        <v>0</v>
      </c>
      <c r="BC325">
        <v>0</v>
      </c>
      <c r="BD325" t="s">
        <v>199</v>
      </c>
      <c r="BE325" t="s">
        <v>199</v>
      </c>
      <c r="BF325">
        <v>0</v>
      </c>
      <c r="BG325">
        <v>0</v>
      </c>
      <c r="BH325" t="s">
        <v>200</v>
      </c>
      <c r="BI325">
        <v>13</v>
      </c>
      <c r="BJ325">
        <v>6338748</v>
      </c>
      <c r="BK325" t="s">
        <v>201</v>
      </c>
      <c r="BL325" t="s">
        <v>190</v>
      </c>
    </row>
    <row r="326" spans="1:64" x14ac:dyDescent="0.3">
      <c r="A326">
        <v>125</v>
      </c>
      <c r="B326" t="s">
        <v>186</v>
      </c>
      <c r="C326">
        <v>3</v>
      </c>
      <c r="D326">
        <v>6338748</v>
      </c>
      <c r="E326" t="s">
        <v>213</v>
      </c>
      <c r="F326" t="s">
        <v>188</v>
      </c>
      <c r="G326">
        <v>10167669</v>
      </c>
      <c r="H326" s="35">
        <v>46135</v>
      </c>
      <c r="I326" s="35">
        <v>46135</v>
      </c>
      <c r="J326">
        <v>2026</v>
      </c>
      <c r="K326">
        <v>4</v>
      </c>
      <c r="L326" t="s">
        <v>189</v>
      </c>
      <c r="M326">
        <v>1</v>
      </c>
      <c r="N326" t="s">
        <v>190</v>
      </c>
      <c r="O326" t="s">
        <v>191</v>
      </c>
      <c r="P326" t="s">
        <v>199</v>
      </c>
      <c r="Q326" t="s">
        <v>199</v>
      </c>
      <c r="R326">
        <v>17</v>
      </c>
      <c r="S326">
        <v>23</v>
      </c>
      <c r="T326">
        <v>36908</v>
      </c>
      <c r="U326">
        <v>3</v>
      </c>
      <c r="V326" t="s">
        <v>215</v>
      </c>
      <c r="W326" t="s">
        <v>67</v>
      </c>
      <c r="X326" t="s">
        <v>28</v>
      </c>
      <c r="Y326" t="s">
        <v>30</v>
      </c>
      <c r="Z326" t="s">
        <v>30</v>
      </c>
      <c r="AA326">
        <v>11</v>
      </c>
      <c r="AB326">
        <v>501137</v>
      </c>
      <c r="AC326" t="s">
        <v>393</v>
      </c>
      <c r="AD326" t="s">
        <v>394</v>
      </c>
      <c r="AE326">
        <v>0.2</v>
      </c>
      <c r="AF326">
        <v>24</v>
      </c>
      <c r="AG326">
        <v>12.39</v>
      </c>
      <c r="AH326">
        <v>0</v>
      </c>
      <c r="AI326">
        <v>0</v>
      </c>
      <c r="AJ326">
        <v>0</v>
      </c>
      <c r="AK326">
        <v>53.52</v>
      </c>
      <c r="AL326">
        <v>297.36</v>
      </c>
      <c r="AM326">
        <v>351</v>
      </c>
      <c r="AN326">
        <v>199</v>
      </c>
      <c r="AO326" t="s">
        <v>218</v>
      </c>
      <c r="AP326" t="s">
        <v>219</v>
      </c>
      <c r="AQ326">
        <v>10</v>
      </c>
      <c r="AR326">
        <v>168</v>
      </c>
      <c r="AS326" t="s">
        <v>112</v>
      </c>
      <c r="AT326">
        <v>856801</v>
      </c>
      <c r="AU326" t="s">
        <v>112</v>
      </c>
      <c r="AV326" t="s">
        <v>113</v>
      </c>
      <c r="AW326" t="s">
        <v>70</v>
      </c>
      <c r="AX326" t="s">
        <v>71</v>
      </c>
      <c r="AY326" t="s">
        <v>220</v>
      </c>
      <c r="AZ326" t="s">
        <v>221</v>
      </c>
      <c r="BA326" t="s">
        <v>515</v>
      </c>
      <c r="BB326">
        <v>0</v>
      </c>
      <c r="BC326">
        <v>0</v>
      </c>
      <c r="BD326" t="s">
        <v>199</v>
      </c>
      <c r="BE326" t="s">
        <v>199</v>
      </c>
      <c r="BF326">
        <v>0</v>
      </c>
      <c r="BG326">
        <v>0</v>
      </c>
      <c r="BH326" t="s">
        <v>200</v>
      </c>
      <c r="BI326">
        <v>13</v>
      </c>
      <c r="BJ326">
        <v>6338748</v>
      </c>
      <c r="BK326" t="s">
        <v>201</v>
      </c>
      <c r="BL326" t="s">
        <v>190</v>
      </c>
    </row>
    <row r="327" spans="1:64" x14ac:dyDescent="0.3">
      <c r="A327">
        <v>125</v>
      </c>
      <c r="B327" t="s">
        <v>186</v>
      </c>
      <c r="C327">
        <v>3</v>
      </c>
      <c r="D327">
        <v>6338748</v>
      </c>
      <c r="E327" t="s">
        <v>213</v>
      </c>
      <c r="F327" t="s">
        <v>188</v>
      </c>
      <c r="G327">
        <v>10167669</v>
      </c>
      <c r="H327" s="35">
        <v>46135</v>
      </c>
      <c r="I327" s="35">
        <v>46135</v>
      </c>
      <c r="J327">
        <v>2026</v>
      </c>
      <c r="K327">
        <v>4</v>
      </c>
      <c r="L327" t="s">
        <v>189</v>
      </c>
      <c r="M327">
        <v>1</v>
      </c>
      <c r="N327" t="s">
        <v>190</v>
      </c>
      <c r="O327" t="s">
        <v>191</v>
      </c>
      <c r="P327" t="s">
        <v>199</v>
      </c>
      <c r="Q327" t="s">
        <v>199</v>
      </c>
      <c r="R327">
        <v>17</v>
      </c>
      <c r="S327">
        <v>23</v>
      </c>
      <c r="T327">
        <v>36908</v>
      </c>
      <c r="U327">
        <v>3</v>
      </c>
      <c r="V327" t="s">
        <v>215</v>
      </c>
      <c r="W327" t="s">
        <v>67</v>
      </c>
      <c r="X327" t="s">
        <v>28</v>
      </c>
      <c r="Y327" t="s">
        <v>30</v>
      </c>
      <c r="Z327" t="s">
        <v>30</v>
      </c>
      <c r="AA327">
        <v>11</v>
      </c>
      <c r="AB327">
        <v>101028</v>
      </c>
      <c r="AC327" t="s">
        <v>325</v>
      </c>
      <c r="AD327" t="s">
        <v>326</v>
      </c>
      <c r="AE327">
        <v>2</v>
      </c>
      <c r="AF327">
        <v>36</v>
      </c>
      <c r="AG327">
        <v>97.42</v>
      </c>
      <c r="AH327">
        <v>0</v>
      </c>
      <c r="AI327">
        <v>0</v>
      </c>
      <c r="AJ327">
        <v>0</v>
      </c>
      <c r="AK327">
        <v>631.28</v>
      </c>
      <c r="AL327">
        <v>3507.12</v>
      </c>
      <c r="AM327">
        <v>4138</v>
      </c>
      <c r="AN327">
        <v>199</v>
      </c>
      <c r="AO327" t="s">
        <v>218</v>
      </c>
      <c r="AP327" t="s">
        <v>219</v>
      </c>
      <c r="AQ327">
        <v>10</v>
      </c>
      <c r="AR327">
        <v>105</v>
      </c>
      <c r="AS327" t="s">
        <v>85</v>
      </c>
      <c r="AT327">
        <v>677001</v>
      </c>
      <c r="AU327" t="s">
        <v>273</v>
      </c>
      <c r="AV327" t="s">
        <v>86</v>
      </c>
      <c r="AW327" t="s">
        <v>70</v>
      </c>
      <c r="AX327" t="s">
        <v>71</v>
      </c>
      <c r="AY327" t="s">
        <v>220</v>
      </c>
      <c r="AZ327" t="s">
        <v>221</v>
      </c>
      <c r="BA327" t="s">
        <v>515</v>
      </c>
      <c r="BB327">
        <v>0</v>
      </c>
      <c r="BC327">
        <v>0</v>
      </c>
      <c r="BD327" t="s">
        <v>199</v>
      </c>
      <c r="BE327" t="s">
        <v>199</v>
      </c>
      <c r="BF327">
        <v>0</v>
      </c>
      <c r="BG327">
        <v>0</v>
      </c>
      <c r="BH327" t="s">
        <v>200</v>
      </c>
      <c r="BI327">
        <v>13</v>
      </c>
      <c r="BJ327">
        <v>6338748</v>
      </c>
      <c r="BK327" t="s">
        <v>201</v>
      </c>
      <c r="BL327" t="s">
        <v>190</v>
      </c>
    </row>
    <row r="328" spans="1:64" x14ac:dyDescent="0.3">
      <c r="A328">
        <v>125</v>
      </c>
      <c r="B328" t="s">
        <v>186</v>
      </c>
      <c r="C328">
        <v>3</v>
      </c>
      <c r="D328">
        <v>6338748</v>
      </c>
      <c r="E328" t="s">
        <v>213</v>
      </c>
      <c r="F328" t="s">
        <v>188</v>
      </c>
      <c r="G328">
        <v>10167669</v>
      </c>
      <c r="H328" s="35">
        <v>46135</v>
      </c>
      <c r="I328" s="35">
        <v>46135</v>
      </c>
      <c r="J328">
        <v>2026</v>
      </c>
      <c r="K328">
        <v>4</v>
      </c>
      <c r="L328" t="s">
        <v>189</v>
      </c>
      <c r="M328">
        <v>1</v>
      </c>
      <c r="N328" t="s">
        <v>190</v>
      </c>
      <c r="O328" t="s">
        <v>191</v>
      </c>
      <c r="P328" t="s">
        <v>199</v>
      </c>
      <c r="Q328" t="s">
        <v>199</v>
      </c>
      <c r="R328">
        <v>17</v>
      </c>
      <c r="S328">
        <v>23</v>
      </c>
      <c r="T328">
        <v>36908</v>
      </c>
      <c r="U328">
        <v>3</v>
      </c>
      <c r="V328" t="s">
        <v>215</v>
      </c>
      <c r="W328" t="s">
        <v>67</v>
      </c>
      <c r="X328" t="s">
        <v>28</v>
      </c>
      <c r="Y328" t="s">
        <v>30</v>
      </c>
      <c r="Z328" t="s">
        <v>30</v>
      </c>
      <c r="AA328">
        <v>11</v>
      </c>
      <c r="AB328">
        <v>101005</v>
      </c>
      <c r="AC328" t="s">
        <v>320</v>
      </c>
      <c r="AD328" t="s">
        <v>321</v>
      </c>
      <c r="AE328">
        <v>1</v>
      </c>
      <c r="AF328">
        <v>30</v>
      </c>
      <c r="AG328">
        <v>72.680000000000007</v>
      </c>
      <c r="AH328">
        <v>0</v>
      </c>
      <c r="AI328">
        <v>0</v>
      </c>
      <c r="AJ328">
        <v>0</v>
      </c>
      <c r="AK328">
        <v>392.47</v>
      </c>
      <c r="AL328">
        <v>2180.4</v>
      </c>
      <c r="AM328">
        <v>2573</v>
      </c>
      <c r="AN328">
        <v>199</v>
      </c>
      <c r="AO328" t="s">
        <v>218</v>
      </c>
      <c r="AP328" t="s">
        <v>219</v>
      </c>
      <c r="AQ328">
        <v>10</v>
      </c>
      <c r="AR328">
        <v>105</v>
      </c>
      <c r="AS328" t="s">
        <v>85</v>
      </c>
      <c r="AT328">
        <v>677001</v>
      </c>
      <c r="AU328" t="s">
        <v>273</v>
      </c>
      <c r="AV328" t="s">
        <v>86</v>
      </c>
      <c r="AW328" t="s">
        <v>70</v>
      </c>
      <c r="AX328" t="s">
        <v>71</v>
      </c>
      <c r="AY328" t="s">
        <v>220</v>
      </c>
      <c r="AZ328" t="s">
        <v>221</v>
      </c>
      <c r="BA328" t="s">
        <v>515</v>
      </c>
      <c r="BB328">
        <v>0</v>
      </c>
      <c r="BC328">
        <v>0</v>
      </c>
      <c r="BD328" t="s">
        <v>199</v>
      </c>
      <c r="BE328" t="s">
        <v>199</v>
      </c>
      <c r="BF328">
        <v>0</v>
      </c>
      <c r="BG328">
        <v>0</v>
      </c>
      <c r="BH328" t="s">
        <v>200</v>
      </c>
      <c r="BI328">
        <v>13</v>
      </c>
      <c r="BJ328">
        <v>6338748</v>
      </c>
      <c r="BK328" t="s">
        <v>201</v>
      </c>
      <c r="BL328" t="s">
        <v>190</v>
      </c>
    </row>
    <row r="329" spans="1:64" x14ac:dyDescent="0.3">
      <c r="A329">
        <v>125</v>
      </c>
      <c r="B329" t="s">
        <v>186</v>
      </c>
      <c r="C329">
        <v>3</v>
      </c>
      <c r="D329">
        <v>6338748</v>
      </c>
      <c r="E329" t="s">
        <v>213</v>
      </c>
      <c r="F329" t="s">
        <v>188</v>
      </c>
      <c r="G329">
        <v>10167669</v>
      </c>
      <c r="H329" s="35">
        <v>46135</v>
      </c>
      <c r="I329" s="35">
        <v>46135</v>
      </c>
      <c r="J329">
        <v>2026</v>
      </c>
      <c r="K329">
        <v>4</v>
      </c>
      <c r="L329" t="s">
        <v>189</v>
      </c>
      <c r="M329">
        <v>1</v>
      </c>
      <c r="N329" t="s">
        <v>203</v>
      </c>
      <c r="O329" t="s">
        <v>191</v>
      </c>
      <c r="P329" t="s">
        <v>199</v>
      </c>
      <c r="Q329" t="s">
        <v>199</v>
      </c>
      <c r="R329">
        <v>17</v>
      </c>
      <c r="S329">
        <v>23</v>
      </c>
      <c r="T329">
        <v>36908</v>
      </c>
      <c r="U329">
        <v>3</v>
      </c>
      <c r="V329" t="s">
        <v>215</v>
      </c>
      <c r="W329" t="s">
        <v>67</v>
      </c>
      <c r="X329" t="s">
        <v>28</v>
      </c>
      <c r="Y329" t="s">
        <v>30</v>
      </c>
      <c r="Z329" t="s">
        <v>30</v>
      </c>
      <c r="AA329">
        <v>11</v>
      </c>
      <c r="AB329">
        <v>930153</v>
      </c>
      <c r="AC329" t="s">
        <v>365</v>
      </c>
      <c r="AD329" t="s">
        <v>366</v>
      </c>
      <c r="AE329">
        <v>0.08</v>
      </c>
      <c r="AF329">
        <v>2</v>
      </c>
      <c r="AG329">
        <v>151.58000000000001</v>
      </c>
      <c r="AH329">
        <v>0</v>
      </c>
      <c r="AI329">
        <v>0</v>
      </c>
      <c r="AJ329">
        <v>0</v>
      </c>
      <c r="AK329">
        <v>54.57</v>
      </c>
      <c r="AL329">
        <v>303.16000000000003</v>
      </c>
      <c r="AM329">
        <v>358</v>
      </c>
      <c r="AN329">
        <v>199</v>
      </c>
      <c r="AO329" t="s">
        <v>218</v>
      </c>
      <c r="AP329" t="s">
        <v>219</v>
      </c>
      <c r="AQ329">
        <v>10</v>
      </c>
      <c r="AR329">
        <v>207</v>
      </c>
      <c r="AS329" t="s">
        <v>81</v>
      </c>
      <c r="AT329">
        <v>65103</v>
      </c>
      <c r="AU329" t="s">
        <v>266</v>
      </c>
      <c r="AV329" t="s">
        <v>82</v>
      </c>
      <c r="AW329" t="s">
        <v>70</v>
      </c>
      <c r="AX329" t="s">
        <v>71</v>
      </c>
      <c r="AY329" t="s">
        <v>220</v>
      </c>
      <c r="AZ329" t="s">
        <v>221</v>
      </c>
      <c r="BA329" t="s">
        <v>515</v>
      </c>
      <c r="BB329">
        <v>0</v>
      </c>
      <c r="BC329">
        <v>0</v>
      </c>
      <c r="BD329" t="s">
        <v>199</v>
      </c>
      <c r="BE329" t="s">
        <v>199</v>
      </c>
      <c r="BF329">
        <v>0</v>
      </c>
      <c r="BG329">
        <v>0</v>
      </c>
      <c r="BH329" t="s">
        <v>200</v>
      </c>
      <c r="BI329">
        <v>13</v>
      </c>
      <c r="BJ329">
        <v>6338748</v>
      </c>
      <c r="BK329" t="s">
        <v>201</v>
      </c>
      <c r="BL329" t="s">
        <v>190</v>
      </c>
    </row>
    <row r="330" spans="1:64" x14ac:dyDescent="0.3">
      <c r="A330">
        <v>125</v>
      </c>
      <c r="B330" t="s">
        <v>186</v>
      </c>
      <c r="C330">
        <v>3</v>
      </c>
      <c r="D330">
        <v>6338748</v>
      </c>
      <c r="E330" t="s">
        <v>213</v>
      </c>
      <c r="F330" t="s">
        <v>188</v>
      </c>
      <c r="G330">
        <v>10167669</v>
      </c>
      <c r="H330" s="35">
        <v>46135</v>
      </c>
      <c r="I330" s="35">
        <v>46135</v>
      </c>
      <c r="J330">
        <v>2026</v>
      </c>
      <c r="K330">
        <v>4</v>
      </c>
      <c r="L330" t="s">
        <v>189</v>
      </c>
      <c r="M330">
        <v>1</v>
      </c>
      <c r="N330" t="s">
        <v>203</v>
      </c>
      <c r="O330" t="s">
        <v>191</v>
      </c>
      <c r="P330" t="s">
        <v>199</v>
      </c>
      <c r="Q330" t="s">
        <v>199</v>
      </c>
      <c r="R330">
        <v>17</v>
      </c>
      <c r="S330">
        <v>23</v>
      </c>
      <c r="T330">
        <v>36908</v>
      </c>
      <c r="U330">
        <v>3</v>
      </c>
      <c r="V330" t="s">
        <v>215</v>
      </c>
      <c r="W330" t="s">
        <v>67</v>
      </c>
      <c r="X330" t="s">
        <v>28</v>
      </c>
      <c r="Y330" t="s">
        <v>30</v>
      </c>
      <c r="Z330" t="s">
        <v>30</v>
      </c>
      <c r="AA330">
        <v>11</v>
      </c>
      <c r="AB330">
        <v>800796</v>
      </c>
      <c r="AC330" t="s">
        <v>363</v>
      </c>
      <c r="AD330" t="s">
        <v>364</v>
      </c>
      <c r="AE330">
        <v>0.04</v>
      </c>
      <c r="AF330">
        <v>1</v>
      </c>
      <c r="AG330">
        <v>151.58000000000001</v>
      </c>
      <c r="AH330">
        <v>0</v>
      </c>
      <c r="AI330">
        <v>0</v>
      </c>
      <c r="AJ330">
        <v>0</v>
      </c>
      <c r="AK330">
        <v>27.28</v>
      </c>
      <c r="AL330">
        <v>151.58000000000001</v>
      </c>
      <c r="AM330">
        <v>179</v>
      </c>
      <c r="AN330">
        <v>199</v>
      </c>
      <c r="AO330" t="s">
        <v>218</v>
      </c>
      <c r="AP330" t="s">
        <v>219</v>
      </c>
      <c r="AQ330">
        <v>10</v>
      </c>
      <c r="AR330">
        <v>207</v>
      </c>
      <c r="AS330" t="s">
        <v>81</v>
      </c>
      <c r="AT330">
        <v>65103</v>
      </c>
      <c r="AU330" t="s">
        <v>266</v>
      </c>
      <c r="AV330" t="s">
        <v>82</v>
      </c>
      <c r="AW330" t="s">
        <v>70</v>
      </c>
      <c r="AX330" t="s">
        <v>71</v>
      </c>
      <c r="AY330" t="s">
        <v>220</v>
      </c>
      <c r="AZ330" t="s">
        <v>221</v>
      </c>
      <c r="BA330" t="s">
        <v>515</v>
      </c>
      <c r="BB330">
        <v>0</v>
      </c>
      <c r="BC330">
        <v>0</v>
      </c>
      <c r="BD330" t="s">
        <v>199</v>
      </c>
      <c r="BE330" t="s">
        <v>199</v>
      </c>
      <c r="BF330">
        <v>0</v>
      </c>
      <c r="BG330">
        <v>0</v>
      </c>
      <c r="BH330" t="s">
        <v>200</v>
      </c>
      <c r="BI330">
        <v>13</v>
      </c>
      <c r="BJ330">
        <v>6338748</v>
      </c>
      <c r="BK330" t="s">
        <v>201</v>
      </c>
      <c r="BL330" t="s">
        <v>190</v>
      </c>
    </row>
    <row r="331" spans="1:64" x14ac:dyDescent="0.3">
      <c r="A331">
        <v>125</v>
      </c>
      <c r="B331" t="s">
        <v>186</v>
      </c>
      <c r="C331">
        <v>3</v>
      </c>
      <c r="D331">
        <v>6338748</v>
      </c>
      <c r="E331" t="s">
        <v>213</v>
      </c>
      <c r="F331" t="s">
        <v>188</v>
      </c>
      <c r="G331">
        <v>10167669</v>
      </c>
      <c r="H331" s="35">
        <v>46135</v>
      </c>
      <c r="I331" s="35">
        <v>46135</v>
      </c>
      <c r="J331">
        <v>2026</v>
      </c>
      <c r="K331">
        <v>4</v>
      </c>
      <c r="L331" t="s">
        <v>189</v>
      </c>
      <c r="M331">
        <v>1</v>
      </c>
      <c r="N331" t="s">
        <v>203</v>
      </c>
      <c r="O331" t="s">
        <v>191</v>
      </c>
      <c r="P331" t="s">
        <v>199</v>
      </c>
      <c r="Q331" t="s">
        <v>199</v>
      </c>
      <c r="R331">
        <v>17</v>
      </c>
      <c r="S331">
        <v>23</v>
      </c>
      <c r="T331">
        <v>36908</v>
      </c>
      <c r="U331">
        <v>3</v>
      </c>
      <c r="V331" t="s">
        <v>215</v>
      </c>
      <c r="W331" t="s">
        <v>67</v>
      </c>
      <c r="X331" t="s">
        <v>28</v>
      </c>
      <c r="Y331" t="s">
        <v>30</v>
      </c>
      <c r="Z331" t="s">
        <v>30</v>
      </c>
      <c r="AA331">
        <v>11</v>
      </c>
      <c r="AB331">
        <v>930021</v>
      </c>
      <c r="AC331" t="s">
        <v>205</v>
      </c>
      <c r="AD331" t="s">
        <v>206</v>
      </c>
      <c r="AE331">
        <v>6.25E-2</v>
      </c>
      <c r="AF331">
        <v>1</v>
      </c>
      <c r="AG331">
        <v>90.18</v>
      </c>
      <c r="AH331">
        <v>0</v>
      </c>
      <c r="AI331">
        <v>0</v>
      </c>
      <c r="AJ331">
        <v>0</v>
      </c>
      <c r="AK331">
        <v>16.23</v>
      </c>
      <c r="AL331">
        <v>90.18</v>
      </c>
      <c r="AM331">
        <v>106</v>
      </c>
      <c r="AN331">
        <v>199</v>
      </c>
      <c r="AO331" t="s">
        <v>218</v>
      </c>
      <c r="AP331" t="s">
        <v>219</v>
      </c>
      <c r="AQ331">
        <v>10</v>
      </c>
      <c r="AR331">
        <v>208</v>
      </c>
      <c r="AS331" t="s">
        <v>92</v>
      </c>
      <c r="AT331">
        <v>0</v>
      </c>
      <c r="AU331" t="s">
        <v>199</v>
      </c>
      <c r="AV331" t="s">
        <v>82</v>
      </c>
      <c r="AW331" t="s">
        <v>70</v>
      </c>
      <c r="AX331" t="s">
        <v>71</v>
      </c>
      <c r="AY331" t="s">
        <v>220</v>
      </c>
      <c r="AZ331" t="s">
        <v>221</v>
      </c>
      <c r="BA331" t="s">
        <v>515</v>
      </c>
      <c r="BB331">
        <v>0</v>
      </c>
      <c r="BC331">
        <v>0</v>
      </c>
      <c r="BD331" t="s">
        <v>199</v>
      </c>
      <c r="BE331" t="s">
        <v>199</v>
      </c>
      <c r="BF331">
        <v>0</v>
      </c>
      <c r="BG331">
        <v>0</v>
      </c>
      <c r="BH331" t="s">
        <v>200</v>
      </c>
      <c r="BI331">
        <v>13</v>
      </c>
      <c r="BJ331">
        <v>6338748</v>
      </c>
      <c r="BK331" t="s">
        <v>201</v>
      </c>
      <c r="BL331" t="s">
        <v>190</v>
      </c>
    </row>
    <row r="332" spans="1:64" x14ac:dyDescent="0.3">
      <c r="A332">
        <v>125</v>
      </c>
      <c r="B332" t="s">
        <v>186</v>
      </c>
      <c r="C332">
        <v>3</v>
      </c>
      <c r="D332">
        <v>6338748</v>
      </c>
      <c r="E332" t="s">
        <v>213</v>
      </c>
      <c r="F332" t="s">
        <v>188</v>
      </c>
      <c r="G332">
        <v>10167669</v>
      </c>
      <c r="H332" s="35">
        <v>46135</v>
      </c>
      <c r="I332" s="35">
        <v>46135</v>
      </c>
      <c r="J332">
        <v>2026</v>
      </c>
      <c r="K332">
        <v>4</v>
      </c>
      <c r="L332" t="s">
        <v>189</v>
      </c>
      <c r="M332">
        <v>1</v>
      </c>
      <c r="N332" t="s">
        <v>203</v>
      </c>
      <c r="O332" t="s">
        <v>191</v>
      </c>
      <c r="P332" t="s">
        <v>199</v>
      </c>
      <c r="Q332" t="s">
        <v>199</v>
      </c>
      <c r="R332">
        <v>17</v>
      </c>
      <c r="S332">
        <v>23</v>
      </c>
      <c r="T332">
        <v>36908</v>
      </c>
      <c r="U332">
        <v>3</v>
      </c>
      <c r="V332" t="s">
        <v>215</v>
      </c>
      <c r="W332" t="s">
        <v>67</v>
      </c>
      <c r="X332" t="s">
        <v>28</v>
      </c>
      <c r="Y332" t="s">
        <v>30</v>
      </c>
      <c r="Z332" t="s">
        <v>30</v>
      </c>
      <c r="AA332">
        <v>11</v>
      </c>
      <c r="AB332">
        <v>925059</v>
      </c>
      <c r="AC332" t="s">
        <v>530</v>
      </c>
      <c r="AD332" t="s">
        <v>531</v>
      </c>
      <c r="AE332">
        <v>0.16666666666666</v>
      </c>
      <c r="AF332">
        <v>4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199</v>
      </c>
      <c r="AO332" t="s">
        <v>218</v>
      </c>
      <c r="AP332" t="s">
        <v>219</v>
      </c>
      <c r="AQ332">
        <v>10</v>
      </c>
      <c r="AR332">
        <v>111</v>
      </c>
      <c r="AS332" t="s">
        <v>97</v>
      </c>
      <c r="AT332">
        <v>0</v>
      </c>
      <c r="AU332" t="s">
        <v>199</v>
      </c>
      <c r="AV332" t="s">
        <v>95</v>
      </c>
      <c r="AW332" t="s">
        <v>70</v>
      </c>
      <c r="AX332" t="s">
        <v>71</v>
      </c>
      <c r="AY332" t="s">
        <v>220</v>
      </c>
      <c r="AZ332" t="s">
        <v>221</v>
      </c>
      <c r="BA332" t="s">
        <v>515</v>
      </c>
      <c r="BB332">
        <v>0</v>
      </c>
      <c r="BC332">
        <v>1</v>
      </c>
      <c r="BD332">
        <v>3526</v>
      </c>
      <c r="BE332" t="s">
        <v>532</v>
      </c>
      <c r="BF332">
        <v>0</v>
      </c>
      <c r="BG332">
        <v>0</v>
      </c>
      <c r="BH332" t="s">
        <v>200</v>
      </c>
      <c r="BI332">
        <v>13</v>
      </c>
      <c r="BJ332">
        <v>6338748</v>
      </c>
      <c r="BK332" t="s">
        <v>201</v>
      </c>
      <c r="BL332" t="s">
        <v>190</v>
      </c>
    </row>
    <row r="333" spans="1:64" x14ac:dyDescent="0.3">
      <c r="A333">
        <v>125</v>
      </c>
      <c r="B333" t="s">
        <v>186</v>
      </c>
      <c r="C333">
        <v>3</v>
      </c>
      <c r="D333">
        <v>6338748</v>
      </c>
      <c r="E333" t="s">
        <v>213</v>
      </c>
      <c r="F333" t="s">
        <v>188</v>
      </c>
      <c r="G333">
        <v>10167669</v>
      </c>
      <c r="H333" s="35">
        <v>46135</v>
      </c>
      <c r="I333" s="35">
        <v>46135</v>
      </c>
      <c r="J333">
        <v>2026</v>
      </c>
      <c r="K333">
        <v>4</v>
      </c>
      <c r="L333" t="s">
        <v>189</v>
      </c>
      <c r="M333">
        <v>1</v>
      </c>
      <c r="N333" t="s">
        <v>203</v>
      </c>
      <c r="O333" t="s">
        <v>191</v>
      </c>
      <c r="P333" t="s">
        <v>199</v>
      </c>
      <c r="Q333" t="s">
        <v>199</v>
      </c>
      <c r="R333">
        <v>17</v>
      </c>
      <c r="S333">
        <v>23</v>
      </c>
      <c r="T333">
        <v>36908</v>
      </c>
      <c r="U333">
        <v>3</v>
      </c>
      <c r="V333" t="s">
        <v>215</v>
      </c>
      <c r="W333" t="s">
        <v>67</v>
      </c>
      <c r="X333" t="s">
        <v>28</v>
      </c>
      <c r="Y333" t="s">
        <v>30</v>
      </c>
      <c r="Z333" t="s">
        <v>30</v>
      </c>
      <c r="AA333">
        <v>11</v>
      </c>
      <c r="AB333">
        <v>930154</v>
      </c>
      <c r="AC333" t="s">
        <v>500</v>
      </c>
      <c r="AD333" t="s">
        <v>501</v>
      </c>
      <c r="AE333">
        <v>5.5555555555550001E-2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199</v>
      </c>
      <c r="AO333" t="s">
        <v>218</v>
      </c>
      <c r="AP333" t="s">
        <v>219</v>
      </c>
      <c r="AQ333">
        <v>10</v>
      </c>
      <c r="AR333">
        <v>208</v>
      </c>
      <c r="AS333" t="s">
        <v>92</v>
      </c>
      <c r="AT333">
        <v>65103</v>
      </c>
      <c r="AU333" t="s">
        <v>266</v>
      </c>
      <c r="AV333" t="s">
        <v>82</v>
      </c>
      <c r="AW333" t="s">
        <v>70</v>
      </c>
      <c r="AX333" t="s">
        <v>71</v>
      </c>
      <c r="AY333" t="s">
        <v>220</v>
      </c>
      <c r="AZ333" t="s">
        <v>221</v>
      </c>
      <c r="BA333" t="s">
        <v>515</v>
      </c>
      <c r="BB333">
        <v>0</v>
      </c>
      <c r="BC333">
        <v>1</v>
      </c>
      <c r="BD333">
        <v>3500</v>
      </c>
      <c r="BE333" t="s">
        <v>533</v>
      </c>
      <c r="BF333">
        <v>0</v>
      </c>
      <c r="BG333">
        <v>0</v>
      </c>
      <c r="BH333" t="s">
        <v>200</v>
      </c>
      <c r="BI333">
        <v>13</v>
      </c>
      <c r="BJ333">
        <v>6338748</v>
      </c>
      <c r="BK333" t="s">
        <v>201</v>
      </c>
      <c r="BL333" t="s">
        <v>190</v>
      </c>
    </row>
    <row r="334" spans="1:64" x14ac:dyDescent="0.3">
      <c r="A334">
        <v>242</v>
      </c>
      <c r="B334" t="s">
        <v>186</v>
      </c>
      <c r="C334">
        <v>3</v>
      </c>
      <c r="D334">
        <v>6338963</v>
      </c>
      <c r="E334" t="s">
        <v>275</v>
      </c>
      <c r="F334" t="s">
        <v>188</v>
      </c>
      <c r="G334">
        <v>10167884</v>
      </c>
      <c r="H334" s="35">
        <v>46135</v>
      </c>
      <c r="I334" s="35">
        <v>46135</v>
      </c>
      <c r="J334">
        <v>2026</v>
      </c>
      <c r="K334">
        <v>4</v>
      </c>
      <c r="L334" t="s">
        <v>189</v>
      </c>
      <c r="M334">
        <v>1</v>
      </c>
      <c r="N334" t="s">
        <v>190</v>
      </c>
      <c r="O334" t="s">
        <v>191</v>
      </c>
      <c r="P334" t="s">
        <v>199</v>
      </c>
      <c r="Q334" t="s">
        <v>199</v>
      </c>
      <c r="R334">
        <v>17</v>
      </c>
      <c r="S334">
        <v>23</v>
      </c>
      <c r="T334">
        <v>2280</v>
      </c>
      <c r="U334">
        <v>3</v>
      </c>
      <c r="V334" t="s">
        <v>193</v>
      </c>
      <c r="W334" t="s">
        <v>29</v>
      </c>
      <c r="X334" t="s">
        <v>19</v>
      </c>
      <c r="Y334" t="s">
        <v>30</v>
      </c>
      <c r="Z334" t="s">
        <v>30</v>
      </c>
      <c r="AA334">
        <v>14</v>
      </c>
      <c r="AB334">
        <v>511005</v>
      </c>
      <c r="AC334" t="s">
        <v>231</v>
      </c>
      <c r="AD334" t="s">
        <v>232</v>
      </c>
      <c r="AE334">
        <v>1</v>
      </c>
      <c r="AF334">
        <v>12</v>
      </c>
      <c r="AG334">
        <v>64.44</v>
      </c>
      <c r="AH334">
        <v>0</v>
      </c>
      <c r="AI334">
        <v>0</v>
      </c>
      <c r="AJ334">
        <v>0</v>
      </c>
      <c r="AK334">
        <v>139.19</v>
      </c>
      <c r="AL334">
        <v>773.28</v>
      </c>
      <c r="AM334">
        <v>912</v>
      </c>
      <c r="AN334">
        <v>14</v>
      </c>
      <c r="AO334" t="s">
        <v>32</v>
      </c>
      <c r="AP334" t="s">
        <v>34</v>
      </c>
      <c r="AQ334">
        <v>10</v>
      </c>
      <c r="AR334">
        <v>114</v>
      </c>
      <c r="AS334" t="s">
        <v>79</v>
      </c>
      <c r="AT334">
        <v>66102</v>
      </c>
      <c r="AU334" t="s">
        <v>227</v>
      </c>
      <c r="AV334" t="s">
        <v>80</v>
      </c>
      <c r="AW334" t="s">
        <v>23</v>
      </c>
      <c r="AX334" t="s">
        <v>24</v>
      </c>
      <c r="AY334" t="s">
        <v>33</v>
      </c>
      <c r="AZ334" t="s">
        <v>197</v>
      </c>
      <c r="BA334" t="s">
        <v>534</v>
      </c>
      <c r="BB334">
        <v>0</v>
      </c>
      <c r="BC334">
        <v>0</v>
      </c>
      <c r="BD334" t="s">
        <v>199</v>
      </c>
      <c r="BE334" t="s">
        <v>199</v>
      </c>
      <c r="BF334">
        <v>0</v>
      </c>
      <c r="BG334">
        <v>0</v>
      </c>
      <c r="BH334" t="s">
        <v>200</v>
      </c>
      <c r="BI334">
        <v>13</v>
      </c>
      <c r="BJ334">
        <v>6338963</v>
      </c>
      <c r="BK334" t="s">
        <v>201</v>
      </c>
      <c r="BL334" t="s">
        <v>190</v>
      </c>
    </row>
    <row r="335" spans="1:64" x14ac:dyDescent="0.3">
      <c r="A335">
        <v>242</v>
      </c>
      <c r="B335" t="s">
        <v>186</v>
      </c>
      <c r="C335">
        <v>3</v>
      </c>
      <c r="D335">
        <v>6338963</v>
      </c>
      <c r="E335" t="s">
        <v>275</v>
      </c>
      <c r="F335" t="s">
        <v>188</v>
      </c>
      <c r="G335">
        <v>10167884</v>
      </c>
      <c r="H335" s="35">
        <v>46135</v>
      </c>
      <c r="I335" s="35">
        <v>46135</v>
      </c>
      <c r="J335">
        <v>2026</v>
      </c>
      <c r="K335">
        <v>4</v>
      </c>
      <c r="L335" t="s">
        <v>189</v>
      </c>
      <c r="M335">
        <v>1</v>
      </c>
      <c r="N335" t="s">
        <v>190</v>
      </c>
      <c r="O335" t="s">
        <v>191</v>
      </c>
      <c r="P335" t="s">
        <v>199</v>
      </c>
      <c r="Q335" t="s">
        <v>199</v>
      </c>
      <c r="R335">
        <v>17</v>
      </c>
      <c r="S335">
        <v>23</v>
      </c>
      <c r="T335">
        <v>2280</v>
      </c>
      <c r="U335">
        <v>3</v>
      </c>
      <c r="V335" t="s">
        <v>193</v>
      </c>
      <c r="W335" t="s">
        <v>29</v>
      </c>
      <c r="X335" t="s">
        <v>19</v>
      </c>
      <c r="Y335" t="s">
        <v>30</v>
      </c>
      <c r="Z335" t="s">
        <v>30</v>
      </c>
      <c r="AA335">
        <v>14</v>
      </c>
      <c r="AB335">
        <v>201001</v>
      </c>
      <c r="AC335" t="s">
        <v>248</v>
      </c>
      <c r="AD335" t="s">
        <v>249</v>
      </c>
      <c r="AE335">
        <v>2</v>
      </c>
      <c r="AF335">
        <v>2</v>
      </c>
      <c r="AG335">
        <v>221.67</v>
      </c>
      <c r="AH335">
        <v>0</v>
      </c>
      <c r="AI335">
        <v>0</v>
      </c>
      <c r="AJ335">
        <v>0</v>
      </c>
      <c r="AK335">
        <v>79.8</v>
      </c>
      <c r="AL335">
        <v>443.34</v>
      </c>
      <c r="AM335">
        <v>523</v>
      </c>
      <c r="AN335">
        <v>14</v>
      </c>
      <c r="AO335" t="s">
        <v>32</v>
      </c>
      <c r="AP335" t="s">
        <v>34</v>
      </c>
      <c r="AQ335">
        <v>10</v>
      </c>
      <c r="AR335">
        <v>113</v>
      </c>
      <c r="AS335" t="s">
        <v>89</v>
      </c>
      <c r="AT335">
        <v>82101</v>
      </c>
      <c r="AU335" t="s">
        <v>252</v>
      </c>
      <c r="AV335" t="s">
        <v>80</v>
      </c>
      <c r="AW335" t="s">
        <v>23</v>
      </c>
      <c r="AX335" t="s">
        <v>24</v>
      </c>
      <c r="AY335" t="s">
        <v>33</v>
      </c>
      <c r="AZ335" t="s">
        <v>197</v>
      </c>
      <c r="BA335" t="s">
        <v>534</v>
      </c>
      <c r="BB335">
        <v>0</v>
      </c>
      <c r="BC335">
        <v>0</v>
      </c>
      <c r="BD335" t="s">
        <v>199</v>
      </c>
      <c r="BE335" t="s">
        <v>199</v>
      </c>
      <c r="BF335">
        <v>0</v>
      </c>
      <c r="BG335">
        <v>0</v>
      </c>
      <c r="BH335" t="s">
        <v>200</v>
      </c>
      <c r="BI335">
        <v>13</v>
      </c>
      <c r="BJ335">
        <v>6338963</v>
      </c>
      <c r="BK335" t="s">
        <v>201</v>
      </c>
      <c r="BL335" t="s">
        <v>190</v>
      </c>
    </row>
    <row r="336" spans="1:64" x14ac:dyDescent="0.3">
      <c r="A336">
        <v>223</v>
      </c>
      <c r="B336" t="s">
        <v>186</v>
      </c>
      <c r="C336">
        <v>3</v>
      </c>
      <c r="D336">
        <v>6339080</v>
      </c>
      <c r="E336" t="s">
        <v>202</v>
      </c>
      <c r="F336" t="s">
        <v>188</v>
      </c>
      <c r="G336">
        <v>10168001</v>
      </c>
      <c r="H336" s="35">
        <v>46135</v>
      </c>
      <c r="I336" s="35">
        <v>46135</v>
      </c>
      <c r="J336">
        <v>2026</v>
      </c>
      <c r="K336">
        <v>4</v>
      </c>
      <c r="L336" t="s">
        <v>189</v>
      </c>
      <c r="M336">
        <v>1</v>
      </c>
      <c r="N336" t="s">
        <v>190</v>
      </c>
      <c r="O336" t="s">
        <v>191</v>
      </c>
      <c r="P336" t="s">
        <v>199</v>
      </c>
      <c r="Q336" t="s">
        <v>199</v>
      </c>
      <c r="R336">
        <v>17</v>
      </c>
      <c r="S336">
        <v>23</v>
      </c>
      <c r="T336">
        <v>19291</v>
      </c>
      <c r="U336">
        <v>3</v>
      </c>
      <c r="V336" t="s">
        <v>261</v>
      </c>
      <c r="W336" t="s">
        <v>35</v>
      </c>
      <c r="X336" t="s">
        <v>19</v>
      </c>
      <c r="Y336" t="s">
        <v>30</v>
      </c>
      <c r="Z336" t="s">
        <v>30</v>
      </c>
      <c r="AA336">
        <v>8</v>
      </c>
      <c r="AB336">
        <v>201001</v>
      </c>
      <c r="AC336" t="s">
        <v>248</v>
      </c>
      <c r="AD336" t="s">
        <v>249</v>
      </c>
      <c r="AE336">
        <v>26</v>
      </c>
      <c r="AF336">
        <v>26</v>
      </c>
      <c r="AG336">
        <v>212.8</v>
      </c>
      <c r="AH336">
        <v>0</v>
      </c>
      <c r="AI336">
        <v>0</v>
      </c>
      <c r="AJ336">
        <v>0</v>
      </c>
      <c r="AK336">
        <v>995.9</v>
      </c>
      <c r="AL336">
        <v>5532.8</v>
      </c>
      <c r="AM336">
        <v>6529</v>
      </c>
      <c r="AN336">
        <v>8</v>
      </c>
      <c r="AO336" t="s">
        <v>37</v>
      </c>
      <c r="AP336" t="s">
        <v>39</v>
      </c>
      <c r="AQ336">
        <v>10</v>
      </c>
      <c r="AR336">
        <v>113</v>
      </c>
      <c r="AS336" t="s">
        <v>89</v>
      </c>
      <c r="AT336">
        <v>82101</v>
      </c>
      <c r="AU336" t="s">
        <v>252</v>
      </c>
      <c r="AV336" t="s">
        <v>80</v>
      </c>
      <c r="AW336" t="s">
        <v>23</v>
      </c>
      <c r="AX336" t="s">
        <v>24</v>
      </c>
      <c r="AY336" t="s">
        <v>38</v>
      </c>
      <c r="AZ336" t="s">
        <v>197</v>
      </c>
      <c r="BA336" t="s">
        <v>535</v>
      </c>
      <c r="BB336">
        <v>0</v>
      </c>
      <c r="BC336">
        <v>0</v>
      </c>
      <c r="BD336" t="s">
        <v>199</v>
      </c>
      <c r="BE336" t="s">
        <v>199</v>
      </c>
      <c r="BF336">
        <v>0</v>
      </c>
      <c r="BG336">
        <v>0</v>
      </c>
      <c r="BH336" t="s">
        <v>200</v>
      </c>
      <c r="BI336">
        <v>13</v>
      </c>
      <c r="BJ336">
        <v>6339080</v>
      </c>
      <c r="BK336" t="s">
        <v>201</v>
      </c>
      <c r="BL336" t="s">
        <v>190</v>
      </c>
    </row>
    <row r="337" spans="1:64" x14ac:dyDescent="0.3">
      <c r="A337">
        <v>223</v>
      </c>
      <c r="B337" t="s">
        <v>186</v>
      </c>
      <c r="C337">
        <v>3</v>
      </c>
      <c r="D337">
        <v>6339080</v>
      </c>
      <c r="E337" t="s">
        <v>202</v>
      </c>
      <c r="F337" t="s">
        <v>188</v>
      </c>
      <c r="G337">
        <v>10168001</v>
      </c>
      <c r="H337" s="35">
        <v>46135</v>
      </c>
      <c r="I337" s="35">
        <v>46135</v>
      </c>
      <c r="J337">
        <v>2026</v>
      </c>
      <c r="K337">
        <v>4</v>
      </c>
      <c r="L337" t="s">
        <v>189</v>
      </c>
      <c r="M337">
        <v>1</v>
      </c>
      <c r="N337" t="s">
        <v>190</v>
      </c>
      <c r="O337" t="s">
        <v>191</v>
      </c>
      <c r="P337" t="s">
        <v>199</v>
      </c>
      <c r="Q337" t="s">
        <v>199</v>
      </c>
      <c r="R337">
        <v>17</v>
      </c>
      <c r="S337">
        <v>23</v>
      </c>
      <c r="T337">
        <v>19291</v>
      </c>
      <c r="U337">
        <v>3</v>
      </c>
      <c r="V337" t="s">
        <v>261</v>
      </c>
      <c r="W337" t="s">
        <v>35</v>
      </c>
      <c r="X337" t="s">
        <v>19</v>
      </c>
      <c r="Y337" t="s">
        <v>30</v>
      </c>
      <c r="Z337" t="s">
        <v>30</v>
      </c>
      <c r="AA337">
        <v>8</v>
      </c>
      <c r="AB337">
        <v>501000</v>
      </c>
      <c r="AC337" t="s">
        <v>316</v>
      </c>
      <c r="AD337" t="s">
        <v>317</v>
      </c>
      <c r="AE337">
        <v>5</v>
      </c>
      <c r="AF337">
        <v>20</v>
      </c>
      <c r="AG337">
        <v>114.4</v>
      </c>
      <c r="AH337">
        <v>0</v>
      </c>
      <c r="AI337">
        <v>0</v>
      </c>
      <c r="AJ337">
        <v>0</v>
      </c>
      <c r="AK337">
        <v>411.84</v>
      </c>
      <c r="AL337">
        <v>2288</v>
      </c>
      <c r="AM337">
        <v>2700</v>
      </c>
      <c r="AN337">
        <v>8</v>
      </c>
      <c r="AO337" t="s">
        <v>37</v>
      </c>
      <c r="AP337" t="s">
        <v>39</v>
      </c>
      <c r="AQ337">
        <v>10</v>
      </c>
      <c r="AR337">
        <v>114</v>
      </c>
      <c r="AS337" t="s">
        <v>79</v>
      </c>
      <c r="AT337">
        <v>66101</v>
      </c>
      <c r="AU337" t="s">
        <v>318</v>
      </c>
      <c r="AV337" t="s">
        <v>80</v>
      </c>
      <c r="AW337" t="s">
        <v>23</v>
      </c>
      <c r="AX337" t="s">
        <v>24</v>
      </c>
      <c r="AY337" t="s">
        <v>38</v>
      </c>
      <c r="AZ337" t="s">
        <v>197</v>
      </c>
      <c r="BA337" t="s">
        <v>535</v>
      </c>
      <c r="BB337">
        <v>0</v>
      </c>
      <c r="BC337">
        <v>0</v>
      </c>
      <c r="BD337" t="s">
        <v>199</v>
      </c>
      <c r="BE337" t="s">
        <v>199</v>
      </c>
      <c r="BF337">
        <v>0</v>
      </c>
      <c r="BG337">
        <v>0</v>
      </c>
      <c r="BH337" t="s">
        <v>200</v>
      </c>
      <c r="BI337">
        <v>13</v>
      </c>
      <c r="BJ337">
        <v>6339080</v>
      </c>
      <c r="BK337" t="s">
        <v>201</v>
      </c>
      <c r="BL337" t="s">
        <v>190</v>
      </c>
    </row>
    <row r="338" spans="1:64" x14ac:dyDescent="0.3">
      <c r="A338">
        <v>289</v>
      </c>
      <c r="B338" t="s">
        <v>186</v>
      </c>
      <c r="C338">
        <v>3</v>
      </c>
      <c r="D338">
        <v>6339255</v>
      </c>
      <c r="E338" t="s">
        <v>379</v>
      </c>
      <c r="F338" t="s">
        <v>188</v>
      </c>
      <c r="G338">
        <v>10168176</v>
      </c>
      <c r="H338" s="35">
        <v>46135</v>
      </c>
      <c r="I338" s="35">
        <v>46135</v>
      </c>
      <c r="J338">
        <v>2026</v>
      </c>
      <c r="K338">
        <v>4</v>
      </c>
      <c r="L338" t="s">
        <v>189</v>
      </c>
      <c r="M338">
        <v>1</v>
      </c>
      <c r="N338" t="s">
        <v>190</v>
      </c>
      <c r="O338" t="s">
        <v>191</v>
      </c>
      <c r="P338" t="s">
        <v>199</v>
      </c>
      <c r="Q338" t="s">
        <v>199</v>
      </c>
      <c r="R338">
        <v>17</v>
      </c>
      <c r="S338">
        <v>23</v>
      </c>
      <c r="T338">
        <v>37594</v>
      </c>
      <c r="U338">
        <v>3</v>
      </c>
      <c r="V338" t="s">
        <v>234</v>
      </c>
      <c r="W338" t="s">
        <v>47</v>
      </c>
      <c r="X338" t="s">
        <v>19</v>
      </c>
      <c r="Y338" t="s">
        <v>30</v>
      </c>
      <c r="Z338" t="s">
        <v>30</v>
      </c>
      <c r="AA338">
        <v>72</v>
      </c>
      <c r="AB338">
        <v>101124</v>
      </c>
      <c r="AC338" t="s">
        <v>292</v>
      </c>
      <c r="AD338" t="s">
        <v>293</v>
      </c>
      <c r="AE338">
        <v>1</v>
      </c>
      <c r="AF338">
        <v>24</v>
      </c>
      <c r="AG338">
        <v>73.7</v>
      </c>
      <c r="AH338">
        <v>0</v>
      </c>
      <c r="AI338">
        <v>0</v>
      </c>
      <c r="AJ338">
        <v>0</v>
      </c>
      <c r="AK338">
        <v>318.38</v>
      </c>
      <c r="AL338">
        <v>1768.8</v>
      </c>
      <c r="AM338">
        <v>2087</v>
      </c>
      <c r="AN338">
        <v>72</v>
      </c>
      <c r="AO338" t="s">
        <v>49</v>
      </c>
      <c r="AP338" t="s">
        <v>53</v>
      </c>
      <c r="AQ338">
        <v>10</v>
      </c>
      <c r="AR338">
        <v>135</v>
      </c>
      <c r="AS338" t="s">
        <v>105</v>
      </c>
      <c r="AT338">
        <v>6770651</v>
      </c>
      <c r="AU338" t="s">
        <v>288</v>
      </c>
      <c r="AV338" t="s">
        <v>86</v>
      </c>
      <c r="AW338" t="s">
        <v>50</v>
      </c>
      <c r="AX338" t="s">
        <v>51</v>
      </c>
      <c r="AY338" t="s">
        <v>52</v>
      </c>
      <c r="AZ338" t="s">
        <v>240</v>
      </c>
      <c r="BA338" t="s">
        <v>536</v>
      </c>
      <c r="BB338">
        <v>0</v>
      </c>
      <c r="BC338">
        <v>0</v>
      </c>
      <c r="BD338" t="s">
        <v>199</v>
      </c>
      <c r="BE338" t="s">
        <v>199</v>
      </c>
      <c r="BF338">
        <v>0</v>
      </c>
      <c r="BG338">
        <v>0</v>
      </c>
      <c r="BH338" t="s">
        <v>200</v>
      </c>
      <c r="BI338">
        <v>13</v>
      </c>
      <c r="BJ338">
        <v>6339255</v>
      </c>
      <c r="BK338" t="s">
        <v>201</v>
      </c>
      <c r="BL338" t="s">
        <v>190</v>
      </c>
    </row>
    <row r="339" spans="1:64" x14ac:dyDescent="0.3">
      <c r="A339">
        <v>254</v>
      </c>
      <c r="B339" t="s">
        <v>186</v>
      </c>
      <c r="C339">
        <v>3</v>
      </c>
      <c r="D339">
        <v>6340095</v>
      </c>
      <c r="E339" t="s">
        <v>297</v>
      </c>
      <c r="F339" t="s">
        <v>188</v>
      </c>
      <c r="G339">
        <v>10169016</v>
      </c>
      <c r="H339" s="35">
        <v>46136</v>
      </c>
      <c r="I339" s="35">
        <v>46136</v>
      </c>
      <c r="J339">
        <v>2026</v>
      </c>
      <c r="K339">
        <v>4</v>
      </c>
      <c r="L339" t="s">
        <v>189</v>
      </c>
      <c r="M339">
        <v>1</v>
      </c>
      <c r="N339" t="s">
        <v>203</v>
      </c>
      <c r="O339" t="s">
        <v>191</v>
      </c>
      <c r="P339" t="s">
        <v>199</v>
      </c>
      <c r="Q339" t="s">
        <v>199</v>
      </c>
      <c r="R339">
        <v>17</v>
      </c>
      <c r="S339">
        <v>24</v>
      </c>
      <c r="T339">
        <v>5474</v>
      </c>
      <c r="U339">
        <v>3</v>
      </c>
      <c r="V339" t="s">
        <v>298</v>
      </c>
      <c r="W339" t="s">
        <v>54</v>
      </c>
      <c r="X339" t="s">
        <v>19</v>
      </c>
      <c r="Y339" t="s">
        <v>55</v>
      </c>
      <c r="Z339" t="s">
        <v>56</v>
      </c>
      <c r="AA339">
        <v>70</v>
      </c>
      <c r="AB339">
        <v>800792</v>
      </c>
      <c r="AC339" t="s">
        <v>304</v>
      </c>
      <c r="AD339" t="s">
        <v>305</v>
      </c>
      <c r="AE339">
        <v>0.16</v>
      </c>
      <c r="AF339">
        <v>4</v>
      </c>
      <c r="AG339">
        <v>153.11000000000001</v>
      </c>
      <c r="AH339">
        <v>0</v>
      </c>
      <c r="AI339">
        <v>0</v>
      </c>
      <c r="AJ339">
        <v>0</v>
      </c>
      <c r="AK339">
        <v>110.24</v>
      </c>
      <c r="AL339">
        <v>612.44000000000005</v>
      </c>
      <c r="AM339">
        <v>723</v>
      </c>
      <c r="AN339">
        <v>70</v>
      </c>
      <c r="AO339" t="s">
        <v>58</v>
      </c>
      <c r="AP339" t="s">
        <v>60</v>
      </c>
      <c r="AQ339">
        <v>10</v>
      </c>
      <c r="AR339">
        <v>207</v>
      </c>
      <c r="AS339" t="s">
        <v>81</v>
      </c>
      <c r="AT339">
        <v>65103</v>
      </c>
      <c r="AU339" t="s">
        <v>266</v>
      </c>
      <c r="AV339" t="s">
        <v>82</v>
      </c>
      <c r="AW339" t="s">
        <v>50</v>
      </c>
      <c r="AX339" t="s">
        <v>51</v>
      </c>
      <c r="AY339" t="s">
        <v>59</v>
      </c>
      <c r="AZ339" t="s">
        <v>240</v>
      </c>
      <c r="BA339" t="s">
        <v>537</v>
      </c>
      <c r="BB339">
        <v>0</v>
      </c>
      <c r="BC339">
        <v>0</v>
      </c>
      <c r="BD339" t="s">
        <v>199</v>
      </c>
      <c r="BE339" t="s">
        <v>199</v>
      </c>
      <c r="BF339">
        <v>0</v>
      </c>
      <c r="BG339">
        <v>0</v>
      </c>
      <c r="BH339" t="s">
        <v>200</v>
      </c>
      <c r="BI339">
        <v>13</v>
      </c>
      <c r="BJ339">
        <v>6340095</v>
      </c>
      <c r="BK339" t="s">
        <v>201</v>
      </c>
      <c r="BL339" t="s">
        <v>190</v>
      </c>
    </row>
    <row r="340" spans="1:64" x14ac:dyDescent="0.3">
      <c r="A340">
        <v>254</v>
      </c>
      <c r="B340" t="s">
        <v>186</v>
      </c>
      <c r="C340">
        <v>3</v>
      </c>
      <c r="D340">
        <v>6340095</v>
      </c>
      <c r="E340" t="s">
        <v>297</v>
      </c>
      <c r="F340" t="s">
        <v>188</v>
      </c>
      <c r="G340">
        <v>10169016</v>
      </c>
      <c r="H340" s="35">
        <v>46136</v>
      </c>
      <c r="I340" s="35">
        <v>46136</v>
      </c>
      <c r="J340">
        <v>2026</v>
      </c>
      <c r="K340">
        <v>4</v>
      </c>
      <c r="L340" t="s">
        <v>189</v>
      </c>
      <c r="M340">
        <v>1</v>
      </c>
      <c r="N340" t="s">
        <v>203</v>
      </c>
      <c r="O340" t="s">
        <v>191</v>
      </c>
      <c r="P340" t="s">
        <v>199</v>
      </c>
      <c r="Q340" t="s">
        <v>199</v>
      </c>
      <c r="R340">
        <v>17</v>
      </c>
      <c r="S340">
        <v>24</v>
      </c>
      <c r="T340">
        <v>5474</v>
      </c>
      <c r="U340">
        <v>3</v>
      </c>
      <c r="V340" t="s">
        <v>298</v>
      </c>
      <c r="W340" t="s">
        <v>54</v>
      </c>
      <c r="X340" t="s">
        <v>19</v>
      </c>
      <c r="Y340" t="s">
        <v>55</v>
      </c>
      <c r="Z340" t="s">
        <v>56</v>
      </c>
      <c r="AA340">
        <v>70</v>
      </c>
      <c r="AB340">
        <v>925050</v>
      </c>
      <c r="AC340" t="s">
        <v>479</v>
      </c>
      <c r="AD340" t="s">
        <v>480</v>
      </c>
      <c r="AE340">
        <v>1</v>
      </c>
      <c r="AF340">
        <v>24</v>
      </c>
      <c r="AG340">
        <v>73.45</v>
      </c>
      <c r="AH340">
        <v>0</v>
      </c>
      <c r="AI340">
        <v>0</v>
      </c>
      <c r="AJ340">
        <v>0</v>
      </c>
      <c r="AK340">
        <v>317.3</v>
      </c>
      <c r="AL340">
        <v>1762.8</v>
      </c>
      <c r="AM340">
        <v>2080</v>
      </c>
      <c r="AN340">
        <v>70</v>
      </c>
      <c r="AO340" t="s">
        <v>58</v>
      </c>
      <c r="AP340" t="s">
        <v>60</v>
      </c>
      <c r="AQ340">
        <v>10</v>
      </c>
      <c r="AR340">
        <v>117</v>
      </c>
      <c r="AS340" t="s">
        <v>94</v>
      </c>
      <c r="AT340">
        <v>65104</v>
      </c>
      <c r="AU340" t="s">
        <v>283</v>
      </c>
      <c r="AV340" t="s">
        <v>95</v>
      </c>
      <c r="AW340" t="s">
        <v>50</v>
      </c>
      <c r="AX340" t="s">
        <v>51</v>
      </c>
      <c r="AY340" t="s">
        <v>59</v>
      </c>
      <c r="AZ340" t="s">
        <v>240</v>
      </c>
      <c r="BA340" t="s">
        <v>537</v>
      </c>
      <c r="BB340">
        <v>0</v>
      </c>
      <c r="BC340">
        <v>0</v>
      </c>
      <c r="BD340" t="s">
        <v>199</v>
      </c>
      <c r="BE340" t="s">
        <v>199</v>
      </c>
      <c r="BF340">
        <v>0</v>
      </c>
      <c r="BG340">
        <v>0</v>
      </c>
      <c r="BH340" t="s">
        <v>200</v>
      </c>
      <c r="BI340">
        <v>13</v>
      </c>
      <c r="BJ340">
        <v>6340095</v>
      </c>
      <c r="BK340" t="s">
        <v>201</v>
      </c>
      <c r="BL340" t="s">
        <v>190</v>
      </c>
    </row>
    <row r="341" spans="1:64" x14ac:dyDescent="0.3">
      <c r="A341">
        <v>254</v>
      </c>
      <c r="B341" t="s">
        <v>186</v>
      </c>
      <c r="C341">
        <v>3</v>
      </c>
      <c r="D341">
        <v>6340095</v>
      </c>
      <c r="E341" t="s">
        <v>297</v>
      </c>
      <c r="F341" t="s">
        <v>188</v>
      </c>
      <c r="G341">
        <v>10169016</v>
      </c>
      <c r="H341" s="35">
        <v>46136</v>
      </c>
      <c r="I341" s="35">
        <v>46136</v>
      </c>
      <c r="J341">
        <v>2026</v>
      </c>
      <c r="K341">
        <v>4</v>
      </c>
      <c r="L341" t="s">
        <v>189</v>
      </c>
      <c r="M341">
        <v>1</v>
      </c>
      <c r="N341" t="s">
        <v>190</v>
      </c>
      <c r="O341" t="s">
        <v>191</v>
      </c>
      <c r="P341" t="s">
        <v>199</v>
      </c>
      <c r="Q341" t="s">
        <v>199</v>
      </c>
      <c r="R341">
        <v>17</v>
      </c>
      <c r="S341">
        <v>24</v>
      </c>
      <c r="T341">
        <v>5474</v>
      </c>
      <c r="U341">
        <v>3</v>
      </c>
      <c r="V341" t="s">
        <v>298</v>
      </c>
      <c r="W341" t="s">
        <v>54</v>
      </c>
      <c r="X341" t="s">
        <v>19</v>
      </c>
      <c r="Y341" t="s">
        <v>55</v>
      </c>
      <c r="Z341" t="s">
        <v>56</v>
      </c>
      <c r="AA341">
        <v>70</v>
      </c>
      <c r="AB341">
        <v>611055</v>
      </c>
      <c r="AC341" t="s">
        <v>300</v>
      </c>
      <c r="AD341" t="s">
        <v>301</v>
      </c>
      <c r="AE341">
        <v>4</v>
      </c>
      <c r="AF341">
        <v>16</v>
      </c>
      <c r="AG341">
        <v>78.319999999999993</v>
      </c>
      <c r="AH341">
        <v>0</v>
      </c>
      <c r="AI341">
        <v>0</v>
      </c>
      <c r="AJ341">
        <v>0</v>
      </c>
      <c r="AK341">
        <v>225.56</v>
      </c>
      <c r="AL341">
        <v>1253.1199999999999</v>
      </c>
      <c r="AM341">
        <v>1479</v>
      </c>
      <c r="AN341">
        <v>70</v>
      </c>
      <c r="AO341" t="s">
        <v>58</v>
      </c>
      <c r="AP341" t="s">
        <v>60</v>
      </c>
      <c r="AQ341">
        <v>10</v>
      </c>
      <c r="AR341">
        <v>114</v>
      </c>
      <c r="AS341" t="s">
        <v>79</v>
      </c>
      <c r="AT341">
        <v>66102</v>
      </c>
      <c r="AU341" t="s">
        <v>227</v>
      </c>
      <c r="AV341" t="s">
        <v>80</v>
      </c>
      <c r="AW341" t="s">
        <v>50</v>
      </c>
      <c r="AX341" t="s">
        <v>51</v>
      </c>
      <c r="AY341" t="s">
        <v>59</v>
      </c>
      <c r="AZ341" t="s">
        <v>240</v>
      </c>
      <c r="BA341" t="s">
        <v>537</v>
      </c>
      <c r="BB341">
        <v>0</v>
      </c>
      <c r="BC341">
        <v>0</v>
      </c>
      <c r="BD341" t="s">
        <v>199</v>
      </c>
      <c r="BE341" t="s">
        <v>199</v>
      </c>
      <c r="BF341">
        <v>0</v>
      </c>
      <c r="BG341">
        <v>0</v>
      </c>
      <c r="BH341" t="s">
        <v>200</v>
      </c>
      <c r="BI341">
        <v>13</v>
      </c>
      <c r="BJ341">
        <v>6340095</v>
      </c>
      <c r="BK341" t="s">
        <v>201</v>
      </c>
      <c r="BL341" t="s">
        <v>190</v>
      </c>
    </row>
    <row r="342" spans="1:64" x14ac:dyDescent="0.3">
      <c r="A342">
        <v>254</v>
      </c>
      <c r="B342" t="s">
        <v>186</v>
      </c>
      <c r="C342">
        <v>3</v>
      </c>
      <c r="D342">
        <v>6340095</v>
      </c>
      <c r="E342" t="s">
        <v>297</v>
      </c>
      <c r="F342" t="s">
        <v>188</v>
      </c>
      <c r="G342">
        <v>10169016</v>
      </c>
      <c r="H342" s="35">
        <v>46136</v>
      </c>
      <c r="I342" s="35">
        <v>46136</v>
      </c>
      <c r="J342">
        <v>2026</v>
      </c>
      <c r="K342">
        <v>4</v>
      </c>
      <c r="L342" t="s">
        <v>189</v>
      </c>
      <c r="M342">
        <v>1</v>
      </c>
      <c r="N342" t="s">
        <v>190</v>
      </c>
      <c r="O342" t="s">
        <v>191</v>
      </c>
      <c r="P342" t="s">
        <v>199</v>
      </c>
      <c r="Q342" t="s">
        <v>199</v>
      </c>
      <c r="R342">
        <v>17</v>
      </c>
      <c r="S342">
        <v>24</v>
      </c>
      <c r="T342">
        <v>5474</v>
      </c>
      <c r="U342">
        <v>3</v>
      </c>
      <c r="V342" t="s">
        <v>298</v>
      </c>
      <c r="W342" t="s">
        <v>54</v>
      </c>
      <c r="X342" t="s">
        <v>19</v>
      </c>
      <c r="Y342" t="s">
        <v>55</v>
      </c>
      <c r="Z342" t="s">
        <v>56</v>
      </c>
      <c r="AA342">
        <v>70</v>
      </c>
      <c r="AB342">
        <v>611052</v>
      </c>
      <c r="AC342" t="s">
        <v>225</v>
      </c>
      <c r="AD342" t="s">
        <v>226</v>
      </c>
      <c r="AE342">
        <v>1</v>
      </c>
      <c r="AF342">
        <v>24</v>
      </c>
      <c r="AG342">
        <v>20</v>
      </c>
      <c r="AH342">
        <v>0</v>
      </c>
      <c r="AI342">
        <v>0</v>
      </c>
      <c r="AJ342">
        <v>0</v>
      </c>
      <c r="AK342">
        <v>86.4</v>
      </c>
      <c r="AL342">
        <v>480</v>
      </c>
      <c r="AM342">
        <v>566</v>
      </c>
      <c r="AN342">
        <v>70</v>
      </c>
      <c r="AO342" t="s">
        <v>58</v>
      </c>
      <c r="AP342" t="s">
        <v>60</v>
      </c>
      <c r="AQ342">
        <v>10</v>
      </c>
      <c r="AR342">
        <v>114</v>
      </c>
      <c r="AS342" t="s">
        <v>79</v>
      </c>
      <c r="AT342">
        <v>66102</v>
      </c>
      <c r="AU342" t="s">
        <v>227</v>
      </c>
      <c r="AV342" t="s">
        <v>80</v>
      </c>
      <c r="AW342" t="s">
        <v>50</v>
      </c>
      <c r="AX342" t="s">
        <v>51</v>
      </c>
      <c r="AY342" t="s">
        <v>59</v>
      </c>
      <c r="AZ342" t="s">
        <v>240</v>
      </c>
      <c r="BA342" t="s">
        <v>537</v>
      </c>
      <c r="BB342">
        <v>0</v>
      </c>
      <c r="BC342">
        <v>0</v>
      </c>
      <c r="BD342" t="s">
        <v>199</v>
      </c>
      <c r="BE342" t="s">
        <v>199</v>
      </c>
      <c r="BF342">
        <v>0</v>
      </c>
      <c r="BG342">
        <v>0</v>
      </c>
      <c r="BH342" t="s">
        <v>200</v>
      </c>
      <c r="BI342">
        <v>13</v>
      </c>
      <c r="BJ342">
        <v>6340095</v>
      </c>
      <c r="BK342" t="s">
        <v>201</v>
      </c>
      <c r="BL342" t="s">
        <v>190</v>
      </c>
    </row>
    <row r="343" spans="1:64" x14ac:dyDescent="0.3">
      <c r="A343">
        <v>254</v>
      </c>
      <c r="B343" t="s">
        <v>186</v>
      </c>
      <c r="C343">
        <v>3</v>
      </c>
      <c r="D343">
        <v>6340095</v>
      </c>
      <c r="E343" t="s">
        <v>297</v>
      </c>
      <c r="F343" t="s">
        <v>188</v>
      </c>
      <c r="G343">
        <v>10169016</v>
      </c>
      <c r="H343" s="35">
        <v>46136</v>
      </c>
      <c r="I343" s="35">
        <v>46136</v>
      </c>
      <c r="J343">
        <v>2026</v>
      </c>
      <c r="K343">
        <v>4</v>
      </c>
      <c r="L343" t="s">
        <v>189</v>
      </c>
      <c r="M343">
        <v>1</v>
      </c>
      <c r="N343" t="s">
        <v>190</v>
      </c>
      <c r="O343" t="s">
        <v>191</v>
      </c>
      <c r="P343" t="s">
        <v>199</v>
      </c>
      <c r="Q343" t="s">
        <v>199</v>
      </c>
      <c r="R343">
        <v>17</v>
      </c>
      <c r="S343">
        <v>24</v>
      </c>
      <c r="T343">
        <v>5474</v>
      </c>
      <c r="U343">
        <v>3</v>
      </c>
      <c r="V343" t="s">
        <v>298</v>
      </c>
      <c r="W343" t="s">
        <v>54</v>
      </c>
      <c r="X343" t="s">
        <v>19</v>
      </c>
      <c r="Y343" t="s">
        <v>55</v>
      </c>
      <c r="Z343" t="s">
        <v>56</v>
      </c>
      <c r="AA343">
        <v>70</v>
      </c>
      <c r="AB343">
        <v>103001</v>
      </c>
      <c r="AC343" t="s">
        <v>286</v>
      </c>
      <c r="AD343" t="s">
        <v>287</v>
      </c>
      <c r="AE343">
        <v>1</v>
      </c>
      <c r="AF343">
        <v>48</v>
      </c>
      <c r="AG343">
        <v>21.36</v>
      </c>
      <c r="AH343">
        <v>0</v>
      </c>
      <c r="AI343">
        <v>0</v>
      </c>
      <c r="AJ343">
        <v>0</v>
      </c>
      <c r="AK343">
        <v>184.55</v>
      </c>
      <c r="AL343">
        <v>1025.28</v>
      </c>
      <c r="AM343">
        <v>1210</v>
      </c>
      <c r="AN343">
        <v>70</v>
      </c>
      <c r="AO343" t="s">
        <v>58</v>
      </c>
      <c r="AP343" t="s">
        <v>60</v>
      </c>
      <c r="AQ343">
        <v>10</v>
      </c>
      <c r="AR343">
        <v>107</v>
      </c>
      <c r="AS343" t="s">
        <v>96</v>
      </c>
      <c r="AT343">
        <v>6770651</v>
      </c>
      <c r="AU343" t="s">
        <v>288</v>
      </c>
      <c r="AV343" t="s">
        <v>86</v>
      </c>
      <c r="AW343" t="s">
        <v>50</v>
      </c>
      <c r="AX343" t="s">
        <v>51</v>
      </c>
      <c r="AY343" t="s">
        <v>59</v>
      </c>
      <c r="AZ343" t="s">
        <v>240</v>
      </c>
      <c r="BA343" t="s">
        <v>537</v>
      </c>
      <c r="BB343">
        <v>0</v>
      </c>
      <c r="BC343">
        <v>0</v>
      </c>
      <c r="BD343" t="s">
        <v>199</v>
      </c>
      <c r="BE343" t="s">
        <v>199</v>
      </c>
      <c r="BF343">
        <v>0</v>
      </c>
      <c r="BG343">
        <v>0</v>
      </c>
      <c r="BH343" t="s">
        <v>200</v>
      </c>
      <c r="BI343">
        <v>13</v>
      </c>
      <c r="BJ343">
        <v>6340095</v>
      </c>
      <c r="BK343" t="s">
        <v>201</v>
      </c>
      <c r="BL343" t="s">
        <v>190</v>
      </c>
    </row>
    <row r="344" spans="1:64" x14ac:dyDescent="0.3">
      <c r="A344">
        <v>254</v>
      </c>
      <c r="B344" t="s">
        <v>186</v>
      </c>
      <c r="C344">
        <v>3</v>
      </c>
      <c r="D344">
        <v>6340095</v>
      </c>
      <c r="E344" t="s">
        <v>297</v>
      </c>
      <c r="F344" t="s">
        <v>188</v>
      </c>
      <c r="G344">
        <v>10169016</v>
      </c>
      <c r="H344" s="35">
        <v>46136</v>
      </c>
      <c r="I344" s="35">
        <v>46136</v>
      </c>
      <c r="J344">
        <v>2026</v>
      </c>
      <c r="K344">
        <v>4</v>
      </c>
      <c r="L344" t="s">
        <v>189</v>
      </c>
      <c r="M344">
        <v>1</v>
      </c>
      <c r="N344" t="s">
        <v>190</v>
      </c>
      <c r="O344" t="s">
        <v>191</v>
      </c>
      <c r="P344" t="s">
        <v>199</v>
      </c>
      <c r="Q344" t="s">
        <v>199</v>
      </c>
      <c r="R344">
        <v>17</v>
      </c>
      <c r="S344">
        <v>24</v>
      </c>
      <c r="T344">
        <v>5474</v>
      </c>
      <c r="U344">
        <v>3</v>
      </c>
      <c r="V344" t="s">
        <v>298</v>
      </c>
      <c r="W344" t="s">
        <v>54</v>
      </c>
      <c r="X344" t="s">
        <v>19</v>
      </c>
      <c r="Y344" t="s">
        <v>55</v>
      </c>
      <c r="Z344" t="s">
        <v>56</v>
      </c>
      <c r="AA344">
        <v>70</v>
      </c>
      <c r="AB344">
        <v>611049</v>
      </c>
      <c r="AC344" t="s">
        <v>437</v>
      </c>
      <c r="AD344" t="s">
        <v>438</v>
      </c>
      <c r="AE344">
        <v>1</v>
      </c>
      <c r="AF344">
        <v>24</v>
      </c>
      <c r="AG344">
        <v>27.76</v>
      </c>
      <c r="AH344">
        <v>0</v>
      </c>
      <c r="AI344">
        <v>0</v>
      </c>
      <c r="AJ344">
        <v>0</v>
      </c>
      <c r="AK344">
        <v>119.92</v>
      </c>
      <c r="AL344">
        <v>666.24</v>
      </c>
      <c r="AM344">
        <v>786</v>
      </c>
      <c r="AN344">
        <v>70</v>
      </c>
      <c r="AO344" t="s">
        <v>58</v>
      </c>
      <c r="AP344" t="s">
        <v>60</v>
      </c>
      <c r="AQ344">
        <v>10</v>
      </c>
      <c r="AR344">
        <v>113</v>
      </c>
      <c r="AS344" t="s">
        <v>89</v>
      </c>
      <c r="AT344">
        <v>82102</v>
      </c>
      <c r="AU344" t="s">
        <v>439</v>
      </c>
      <c r="AV344" t="s">
        <v>80</v>
      </c>
      <c r="AW344" t="s">
        <v>50</v>
      </c>
      <c r="AX344" t="s">
        <v>51</v>
      </c>
      <c r="AY344" t="s">
        <v>59</v>
      </c>
      <c r="AZ344" t="s">
        <v>240</v>
      </c>
      <c r="BA344" t="s">
        <v>537</v>
      </c>
      <c r="BB344">
        <v>0</v>
      </c>
      <c r="BC344">
        <v>0</v>
      </c>
      <c r="BD344" t="s">
        <v>199</v>
      </c>
      <c r="BE344" t="s">
        <v>199</v>
      </c>
      <c r="BF344">
        <v>0</v>
      </c>
      <c r="BG344">
        <v>0</v>
      </c>
      <c r="BH344" t="s">
        <v>200</v>
      </c>
      <c r="BI344">
        <v>13</v>
      </c>
      <c r="BJ344">
        <v>6340095</v>
      </c>
      <c r="BK344" t="s">
        <v>201</v>
      </c>
      <c r="BL344" t="s">
        <v>190</v>
      </c>
    </row>
    <row r="345" spans="1:64" x14ac:dyDescent="0.3">
      <c r="A345">
        <v>254</v>
      </c>
      <c r="B345" t="s">
        <v>186</v>
      </c>
      <c r="C345">
        <v>3</v>
      </c>
      <c r="D345">
        <v>6340095</v>
      </c>
      <c r="E345" t="s">
        <v>297</v>
      </c>
      <c r="F345" t="s">
        <v>188</v>
      </c>
      <c r="G345">
        <v>10169016</v>
      </c>
      <c r="H345" s="35">
        <v>46136</v>
      </c>
      <c r="I345" s="35">
        <v>46136</v>
      </c>
      <c r="J345">
        <v>2026</v>
      </c>
      <c r="K345">
        <v>4</v>
      </c>
      <c r="L345" t="s">
        <v>189</v>
      </c>
      <c r="M345">
        <v>1</v>
      </c>
      <c r="N345" t="s">
        <v>203</v>
      </c>
      <c r="O345" t="s">
        <v>191</v>
      </c>
      <c r="P345" t="s">
        <v>199</v>
      </c>
      <c r="Q345" t="s">
        <v>199</v>
      </c>
      <c r="R345">
        <v>17</v>
      </c>
      <c r="S345">
        <v>24</v>
      </c>
      <c r="T345">
        <v>5474</v>
      </c>
      <c r="U345">
        <v>3</v>
      </c>
      <c r="V345" t="s">
        <v>298</v>
      </c>
      <c r="W345" t="s">
        <v>54</v>
      </c>
      <c r="X345" t="s">
        <v>19</v>
      </c>
      <c r="Y345" t="s">
        <v>55</v>
      </c>
      <c r="Z345" t="s">
        <v>56</v>
      </c>
      <c r="AA345">
        <v>70</v>
      </c>
      <c r="AB345">
        <v>930023</v>
      </c>
      <c r="AC345" t="s">
        <v>332</v>
      </c>
      <c r="AD345" t="s">
        <v>333</v>
      </c>
      <c r="AE345">
        <v>0.3</v>
      </c>
      <c r="AF345">
        <v>6</v>
      </c>
      <c r="AG345">
        <v>140.75</v>
      </c>
      <c r="AH345">
        <v>0</v>
      </c>
      <c r="AI345">
        <v>0</v>
      </c>
      <c r="AJ345">
        <v>0</v>
      </c>
      <c r="AK345">
        <v>152.01</v>
      </c>
      <c r="AL345">
        <v>844.5</v>
      </c>
      <c r="AM345">
        <v>997</v>
      </c>
      <c r="AN345">
        <v>70</v>
      </c>
      <c r="AO345" t="s">
        <v>58</v>
      </c>
      <c r="AP345" t="s">
        <v>60</v>
      </c>
      <c r="AQ345">
        <v>10</v>
      </c>
      <c r="AR345">
        <v>208</v>
      </c>
      <c r="AS345" t="s">
        <v>92</v>
      </c>
      <c r="AT345">
        <v>0</v>
      </c>
      <c r="AU345" t="s">
        <v>199</v>
      </c>
      <c r="AV345" t="s">
        <v>82</v>
      </c>
      <c r="AW345" t="s">
        <v>50</v>
      </c>
      <c r="AX345" t="s">
        <v>51</v>
      </c>
      <c r="AY345" t="s">
        <v>59</v>
      </c>
      <c r="AZ345" t="s">
        <v>240</v>
      </c>
      <c r="BA345" t="s">
        <v>537</v>
      </c>
      <c r="BB345">
        <v>0</v>
      </c>
      <c r="BC345">
        <v>0</v>
      </c>
      <c r="BD345" t="s">
        <v>199</v>
      </c>
      <c r="BE345" t="s">
        <v>199</v>
      </c>
      <c r="BF345">
        <v>0</v>
      </c>
      <c r="BG345">
        <v>0</v>
      </c>
      <c r="BH345" t="s">
        <v>200</v>
      </c>
      <c r="BI345">
        <v>13</v>
      </c>
      <c r="BJ345">
        <v>6340095</v>
      </c>
      <c r="BK345" t="s">
        <v>201</v>
      </c>
      <c r="BL345" t="s">
        <v>190</v>
      </c>
    </row>
    <row r="346" spans="1:64" x14ac:dyDescent="0.3">
      <c r="A346">
        <v>254</v>
      </c>
      <c r="B346" t="s">
        <v>186</v>
      </c>
      <c r="C346">
        <v>3</v>
      </c>
      <c r="D346">
        <v>6340095</v>
      </c>
      <c r="E346" t="s">
        <v>297</v>
      </c>
      <c r="F346" t="s">
        <v>188</v>
      </c>
      <c r="G346">
        <v>10169016</v>
      </c>
      <c r="H346" s="35">
        <v>46136</v>
      </c>
      <c r="I346" s="35">
        <v>46136</v>
      </c>
      <c r="J346">
        <v>2026</v>
      </c>
      <c r="K346">
        <v>4</v>
      </c>
      <c r="L346" t="s">
        <v>189</v>
      </c>
      <c r="M346">
        <v>1</v>
      </c>
      <c r="N346" t="s">
        <v>203</v>
      </c>
      <c r="O346" t="s">
        <v>191</v>
      </c>
      <c r="P346" t="s">
        <v>199</v>
      </c>
      <c r="Q346" t="s">
        <v>199</v>
      </c>
      <c r="R346">
        <v>17</v>
      </c>
      <c r="S346">
        <v>24</v>
      </c>
      <c r="T346">
        <v>5474</v>
      </c>
      <c r="U346">
        <v>3</v>
      </c>
      <c r="V346" t="s">
        <v>298</v>
      </c>
      <c r="W346" t="s">
        <v>54</v>
      </c>
      <c r="X346" t="s">
        <v>19</v>
      </c>
      <c r="Y346" t="s">
        <v>55</v>
      </c>
      <c r="Z346" t="s">
        <v>56</v>
      </c>
      <c r="AA346">
        <v>70</v>
      </c>
      <c r="AB346">
        <v>925059</v>
      </c>
      <c r="AC346" t="s">
        <v>530</v>
      </c>
      <c r="AD346" t="s">
        <v>531</v>
      </c>
      <c r="AE346">
        <v>8.3333333333329998E-2</v>
      </c>
      <c r="AF346">
        <v>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70</v>
      </c>
      <c r="AO346" t="s">
        <v>58</v>
      </c>
      <c r="AP346" t="s">
        <v>60</v>
      </c>
      <c r="AQ346">
        <v>10</v>
      </c>
      <c r="AR346">
        <v>111</v>
      </c>
      <c r="AS346" t="s">
        <v>97</v>
      </c>
      <c r="AT346">
        <v>0</v>
      </c>
      <c r="AU346" t="s">
        <v>199</v>
      </c>
      <c r="AV346" t="s">
        <v>95</v>
      </c>
      <c r="AW346" t="s">
        <v>50</v>
      </c>
      <c r="AX346" t="s">
        <v>51</v>
      </c>
      <c r="AY346" t="s">
        <v>59</v>
      </c>
      <c r="AZ346" t="s">
        <v>240</v>
      </c>
      <c r="BA346" t="s">
        <v>537</v>
      </c>
      <c r="BB346">
        <v>0</v>
      </c>
      <c r="BC346">
        <v>1</v>
      </c>
      <c r="BD346">
        <v>3526</v>
      </c>
      <c r="BE346" t="s">
        <v>532</v>
      </c>
      <c r="BF346">
        <v>0</v>
      </c>
      <c r="BG346">
        <v>0</v>
      </c>
      <c r="BH346" t="s">
        <v>200</v>
      </c>
      <c r="BI346">
        <v>13</v>
      </c>
      <c r="BJ346">
        <v>6340095</v>
      </c>
      <c r="BK346" t="s">
        <v>201</v>
      </c>
      <c r="BL346" t="s">
        <v>190</v>
      </c>
    </row>
    <row r="347" spans="1:64" x14ac:dyDescent="0.3">
      <c r="A347">
        <v>254</v>
      </c>
      <c r="B347" t="s">
        <v>186</v>
      </c>
      <c r="C347">
        <v>3</v>
      </c>
      <c r="D347">
        <v>6340095</v>
      </c>
      <c r="E347" t="s">
        <v>297</v>
      </c>
      <c r="F347" t="s">
        <v>188</v>
      </c>
      <c r="G347">
        <v>10169016</v>
      </c>
      <c r="H347" s="35">
        <v>46136</v>
      </c>
      <c r="I347" s="35">
        <v>46136</v>
      </c>
      <c r="J347">
        <v>2026</v>
      </c>
      <c r="K347">
        <v>4</v>
      </c>
      <c r="L347" t="s">
        <v>189</v>
      </c>
      <c r="M347">
        <v>1</v>
      </c>
      <c r="N347" t="s">
        <v>190</v>
      </c>
      <c r="O347" t="s">
        <v>191</v>
      </c>
      <c r="P347" t="s">
        <v>199</v>
      </c>
      <c r="Q347" t="s">
        <v>199</v>
      </c>
      <c r="R347">
        <v>17</v>
      </c>
      <c r="S347">
        <v>24</v>
      </c>
      <c r="T347">
        <v>5474</v>
      </c>
      <c r="U347">
        <v>3</v>
      </c>
      <c r="V347" t="s">
        <v>298</v>
      </c>
      <c r="W347" t="s">
        <v>54</v>
      </c>
      <c r="X347" t="s">
        <v>19</v>
      </c>
      <c r="Y347" t="s">
        <v>55</v>
      </c>
      <c r="Z347" t="s">
        <v>56</v>
      </c>
      <c r="AA347">
        <v>70</v>
      </c>
      <c r="AB347">
        <v>103001</v>
      </c>
      <c r="AC347" t="s">
        <v>286</v>
      </c>
      <c r="AD347" t="s">
        <v>287</v>
      </c>
      <c r="AE347">
        <v>0.1875</v>
      </c>
      <c r="AF347">
        <v>9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70</v>
      </c>
      <c r="AO347" t="s">
        <v>58</v>
      </c>
      <c r="AP347" t="s">
        <v>60</v>
      </c>
      <c r="AQ347">
        <v>10</v>
      </c>
      <c r="AR347">
        <v>107</v>
      </c>
      <c r="AS347" t="s">
        <v>96</v>
      </c>
      <c r="AT347">
        <v>6770651</v>
      </c>
      <c r="AU347" t="s">
        <v>288</v>
      </c>
      <c r="AV347" t="s">
        <v>86</v>
      </c>
      <c r="AW347" t="s">
        <v>50</v>
      </c>
      <c r="AX347" t="s">
        <v>51</v>
      </c>
      <c r="AY347" t="s">
        <v>59</v>
      </c>
      <c r="AZ347" t="s">
        <v>240</v>
      </c>
      <c r="BA347" t="s">
        <v>537</v>
      </c>
      <c r="BB347">
        <v>0</v>
      </c>
      <c r="BC347">
        <v>1</v>
      </c>
      <c r="BD347">
        <v>3535</v>
      </c>
      <c r="BE347" t="s">
        <v>538</v>
      </c>
      <c r="BF347">
        <v>0</v>
      </c>
      <c r="BG347">
        <v>0</v>
      </c>
      <c r="BH347" t="s">
        <v>200</v>
      </c>
      <c r="BI347">
        <v>13</v>
      </c>
      <c r="BJ347">
        <v>6340095</v>
      </c>
      <c r="BK347" t="s">
        <v>201</v>
      </c>
      <c r="BL347" t="s">
        <v>190</v>
      </c>
    </row>
    <row r="348" spans="1:64" x14ac:dyDescent="0.3">
      <c r="A348">
        <v>223</v>
      </c>
      <c r="B348" t="s">
        <v>186</v>
      </c>
      <c r="C348">
        <v>3</v>
      </c>
      <c r="D348">
        <v>6342027</v>
      </c>
      <c r="E348" t="s">
        <v>202</v>
      </c>
      <c r="F348" t="s">
        <v>188</v>
      </c>
      <c r="G348">
        <v>10170948</v>
      </c>
      <c r="H348" s="35">
        <v>46137</v>
      </c>
      <c r="I348" s="35">
        <v>46137</v>
      </c>
      <c r="J348">
        <v>2026</v>
      </c>
      <c r="K348">
        <v>4</v>
      </c>
      <c r="L348" t="s">
        <v>189</v>
      </c>
      <c r="M348">
        <v>1</v>
      </c>
      <c r="N348" t="s">
        <v>190</v>
      </c>
      <c r="O348" t="s">
        <v>191</v>
      </c>
      <c r="P348" t="s">
        <v>199</v>
      </c>
      <c r="Q348" t="s">
        <v>199</v>
      </c>
      <c r="R348">
        <v>17</v>
      </c>
      <c r="S348">
        <v>25</v>
      </c>
      <c r="T348">
        <v>1019</v>
      </c>
      <c r="U348">
        <v>3</v>
      </c>
      <c r="V348" t="s">
        <v>270</v>
      </c>
      <c r="W348" t="s">
        <v>46</v>
      </c>
      <c r="X348" t="s">
        <v>19</v>
      </c>
      <c r="Y348" t="s">
        <v>41</v>
      </c>
      <c r="Z348" t="s">
        <v>41</v>
      </c>
      <c r="AA348">
        <v>60</v>
      </c>
      <c r="AB348">
        <v>101028</v>
      </c>
      <c r="AC348" t="s">
        <v>325</v>
      </c>
      <c r="AD348" t="s">
        <v>326</v>
      </c>
      <c r="AE348">
        <v>1</v>
      </c>
      <c r="AF348">
        <v>18</v>
      </c>
      <c r="AG348">
        <v>98.4</v>
      </c>
      <c r="AH348">
        <v>0</v>
      </c>
      <c r="AI348">
        <v>0</v>
      </c>
      <c r="AJ348">
        <v>0</v>
      </c>
      <c r="AK348">
        <v>318.82</v>
      </c>
      <c r="AL348">
        <v>1771.2</v>
      </c>
      <c r="AM348">
        <v>2090</v>
      </c>
      <c r="AN348">
        <v>60</v>
      </c>
      <c r="AO348" t="s">
        <v>43</v>
      </c>
      <c r="AP348" t="s">
        <v>45</v>
      </c>
      <c r="AQ348">
        <v>10</v>
      </c>
      <c r="AR348">
        <v>105</v>
      </c>
      <c r="AS348" t="s">
        <v>85</v>
      </c>
      <c r="AT348">
        <v>677001</v>
      </c>
      <c r="AU348" t="s">
        <v>273</v>
      </c>
      <c r="AV348" t="s">
        <v>86</v>
      </c>
      <c r="AW348" t="s">
        <v>23</v>
      </c>
      <c r="AX348" t="s">
        <v>24</v>
      </c>
      <c r="AY348" t="s">
        <v>44</v>
      </c>
      <c r="AZ348" t="s">
        <v>197</v>
      </c>
      <c r="BA348" t="s">
        <v>539</v>
      </c>
      <c r="BB348">
        <v>0</v>
      </c>
      <c r="BC348">
        <v>0</v>
      </c>
      <c r="BD348" t="s">
        <v>199</v>
      </c>
      <c r="BE348" t="s">
        <v>199</v>
      </c>
      <c r="BF348">
        <v>0</v>
      </c>
      <c r="BG348">
        <v>0</v>
      </c>
      <c r="BH348" t="s">
        <v>200</v>
      </c>
      <c r="BI348">
        <v>13</v>
      </c>
      <c r="BJ348">
        <v>6342027</v>
      </c>
      <c r="BK348" t="s">
        <v>201</v>
      </c>
      <c r="BL348" t="s">
        <v>190</v>
      </c>
    </row>
    <row r="349" spans="1:64" x14ac:dyDescent="0.3">
      <c r="A349">
        <v>223</v>
      </c>
      <c r="B349" t="s">
        <v>186</v>
      </c>
      <c r="C349">
        <v>3</v>
      </c>
      <c r="D349">
        <v>6343784</v>
      </c>
      <c r="E349" t="s">
        <v>202</v>
      </c>
      <c r="F349" t="s">
        <v>188</v>
      </c>
      <c r="G349">
        <v>10172705</v>
      </c>
      <c r="H349" s="35">
        <v>46139</v>
      </c>
      <c r="I349" s="35">
        <v>46139</v>
      </c>
      <c r="J349">
        <v>2026</v>
      </c>
      <c r="K349">
        <v>4</v>
      </c>
      <c r="L349" t="s">
        <v>189</v>
      </c>
      <c r="M349">
        <v>1</v>
      </c>
      <c r="N349" t="s">
        <v>190</v>
      </c>
      <c r="O349" t="s">
        <v>191</v>
      </c>
      <c r="P349" t="s">
        <v>199</v>
      </c>
      <c r="Q349" t="s">
        <v>199</v>
      </c>
      <c r="R349">
        <v>18</v>
      </c>
      <c r="S349">
        <v>27</v>
      </c>
      <c r="T349">
        <v>12191</v>
      </c>
      <c r="U349">
        <v>3</v>
      </c>
      <c r="V349" t="s">
        <v>204</v>
      </c>
      <c r="W349" t="s">
        <v>27</v>
      </c>
      <c r="X349" t="s">
        <v>28</v>
      </c>
      <c r="Y349" t="s">
        <v>20</v>
      </c>
      <c r="Z349" t="s">
        <v>20</v>
      </c>
      <c r="AA349">
        <v>91</v>
      </c>
      <c r="AB349">
        <v>800088</v>
      </c>
      <c r="AC349" t="s">
        <v>276</v>
      </c>
      <c r="AD349" t="s">
        <v>277</v>
      </c>
      <c r="AE349">
        <v>1</v>
      </c>
      <c r="AF349">
        <v>8</v>
      </c>
      <c r="AG349">
        <v>364.41</v>
      </c>
      <c r="AH349">
        <v>0</v>
      </c>
      <c r="AI349">
        <v>0</v>
      </c>
      <c r="AJ349">
        <v>0</v>
      </c>
      <c r="AK349">
        <v>524.75</v>
      </c>
      <c r="AL349">
        <v>2915.28</v>
      </c>
      <c r="AM349">
        <v>3440</v>
      </c>
      <c r="AN349">
        <v>91</v>
      </c>
      <c r="AO349" t="s">
        <v>22</v>
      </c>
      <c r="AP349" t="s">
        <v>26</v>
      </c>
      <c r="AQ349">
        <v>10</v>
      </c>
      <c r="AR349">
        <v>105</v>
      </c>
      <c r="AS349" t="s">
        <v>85</v>
      </c>
      <c r="AT349">
        <v>677001</v>
      </c>
      <c r="AU349" t="s">
        <v>273</v>
      </c>
      <c r="AV349" t="s">
        <v>86</v>
      </c>
      <c r="AW349" t="s">
        <v>23</v>
      </c>
      <c r="AX349" t="s">
        <v>24</v>
      </c>
      <c r="AY349" t="s">
        <v>25</v>
      </c>
      <c r="AZ349" t="s">
        <v>197</v>
      </c>
      <c r="BA349" t="s">
        <v>540</v>
      </c>
      <c r="BB349">
        <v>0</v>
      </c>
      <c r="BC349">
        <v>0</v>
      </c>
      <c r="BD349" t="s">
        <v>199</v>
      </c>
      <c r="BE349" t="s">
        <v>199</v>
      </c>
      <c r="BF349">
        <v>0</v>
      </c>
      <c r="BG349">
        <v>0</v>
      </c>
      <c r="BH349" t="s">
        <v>200</v>
      </c>
      <c r="BI349">
        <v>13</v>
      </c>
      <c r="BJ349">
        <v>6343784</v>
      </c>
      <c r="BK349" t="s">
        <v>201</v>
      </c>
      <c r="BL349" t="s">
        <v>190</v>
      </c>
    </row>
    <row r="350" spans="1:64" x14ac:dyDescent="0.3">
      <c r="A350">
        <v>223</v>
      </c>
      <c r="B350" t="s">
        <v>186</v>
      </c>
      <c r="C350">
        <v>3</v>
      </c>
      <c r="D350">
        <v>6343786</v>
      </c>
      <c r="E350" t="s">
        <v>202</v>
      </c>
      <c r="F350" t="s">
        <v>188</v>
      </c>
      <c r="G350">
        <v>10172707</v>
      </c>
      <c r="H350" s="35">
        <v>46139</v>
      </c>
      <c r="I350" s="35">
        <v>46139</v>
      </c>
      <c r="J350">
        <v>2026</v>
      </c>
      <c r="K350">
        <v>4</v>
      </c>
      <c r="L350" t="s">
        <v>189</v>
      </c>
      <c r="M350">
        <v>1</v>
      </c>
      <c r="N350" t="s">
        <v>203</v>
      </c>
      <c r="O350" t="s">
        <v>191</v>
      </c>
      <c r="P350" t="s">
        <v>199</v>
      </c>
      <c r="Q350" t="s">
        <v>199</v>
      </c>
      <c r="R350">
        <v>18</v>
      </c>
      <c r="S350">
        <v>27</v>
      </c>
      <c r="T350">
        <v>14167</v>
      </c>
      <c r="U350">
        <v>3</v>
      </c>
      <c r="V350" t="s">
        <v>208</v>
      </c>
      <c r="W350" t="s">
        <v>18</v>
      </c>
      <c r="X350" t="s">
        <v>19</v>
      </c>
      <c r="Y350" t="s">
        <v>20</v>
      </c>
      <c r="Z350" t="s">
        <v>20</v>
      </c>
      <c r="AA350">
        <v>91</v>
      </c>
      <c r="AB350">
        <v>800791</v>
      </c>
      <c r="AC350" t="s">
        <v>262</v>
      </c>
      <c r="AD350" t="s">
        <v>263</v>
      </c>
      <c r="AE350">
        <v>0.2</v>
      </c>
      <c r="AF350">
        <v>5</v>
      </c>
      <c r="AG350">
        <v>153.11000000000001</v>
      </c>
      <c r="AH350">
        <v>0</v>
      </c>
      <c r="AI350">
        <v>0</v>
      </c>
      <c r="AJ350">
        <v>0</v>
      </c>
      <c r="AK350">
        <v>137.80000000000001</v>
      </c>
      <c r="AL350">
        <v>765.55</v>
      </c>
      <c r="AM350">
        <v>903</v>
      </c>
      <c r="AN350">
        <v>91</v>
      </c>
      <c r="AO350" t="s">
        <v>22</v>
      </c>
      <c r="AP350" t="s">
        <v>26</v>
      </c>
      <c r="AQ350">
        <v>10</v>
      </c>
      <c r="AR350">
        <v>207</v>
      </c>
      <c r="AS350" t="s">
        <v>81</v>
      </c>
      <c r="AT350">
        <v>65103</v>
      </c>
      <c r="AU350" t="s">
        <v>266</v>
      </c>
      <c r="AV350" t="s">
        <v>82</v>
      </c>
      <c r="AW350" t="s">
        <v>23</v>
      </c>
      <c r="AX350" t="s">
        <v>24</v>
      </c>
      <c r="AY350" t="s">
        <v>25</v>
      </c>
      <c r="AZ350" t="s">
        <v>197</v>
      </c>
      <c r="BA350" t="s">
        <v>541</v>
      </c>
      <c r="BB350">
        <v>0</v>
      </c>
      <c r="BC350">
        <v>0</v>
      </c>
      <c r="BD350" t="s">
        <v>199</v>
      </c>
      <c r="BE350" t="s">
        <v>199</v>
      </c>
      <c r="BF350">
        <v>0</v>
      </c>
      <c r="BG350">
        <v>0</v>
      </c>
      <c r="BH350" t="s">
        <v>200</v>
      </c>
      <c r="BI350">
        <v>13</v>
      </c>
      <c r="BJ350">
        <v>6343786</v>
      </c>
      <c r="BK350" t="s">
        <v>201</v>
      </c>
      <c r="BL350" t="s">
        <v>190</v>
      </c>
    </row>
    <row r="351" spans="1:64" x14ac:dyDescent="0.3">
      <c r="A351">
        <v>223</v>
      </c>
      <c r="B351" t="s">
        <v>186</v>
      </c>
      <c r="C351">
        <v>3</v>
      </c>
      <c r="D351">
        <v>6343786</v>
      </c>
      <c r="E351" t="s">
        <v>202</v>
      </c>
      <c r="F351" t="s">
        <v>188</v>
      </c>
      <c r="G351">
        <v>10172707</v>
      </c>
      <c r="H351" s="35">
        <v>46139</v>
      </c>
      <c r="I351" s="35">
        <v>46139</v>
      </c>
      <c r="J351">
        <v>2026</v>
      </c>
      <c r="K351">
        <v>4</v>
      </c>
      <c r="L351" t="s">
        <v>189</v>
      </c>
      <c r="M351">
        <v>1</v>
      </c>
      <c r="N351" t="s">
        <v>190</v>
      </c>
      <c r="O351" t="s">
        <v>191</v>
      </c>
      <c r="P351" t="s">
        <v>199</v>
      </c>
      <c r="Q351" t="s">
        <v>199</v>
      </c>
      <c r="R351">
        <v>18</v>
      </c>
      <c r="S351">
        <v>27</v>
      </c>
      <c r="T351">
        <v>14167</v>
      </c>
      <c r="U351">
        <v>3</v>
      </c>
      <c r="V351" t="s">
        <v>208</v>
      </c>
      <c r="W351" t="s">
        <v>18</v>
      </c>
      <c r="X351" t="s">
        <v>19</v>
      </c>
      <c r="Y351" t="s">
        <v>20</v>
      </c>
      <c r="Z351" t="s">
        <v>20</v>
      </c>
      <c r="AA351">
        <v>91</v>
      </c>
      <c r="AB351">
        <v>800088</v>
      </c>
      <c r="AC351" t="s">
        <v>276</v>
      </c>
      <c r="AD351" t="s">
        <v>277</v>
      </c>
      <c r="AE351">
        <v>0.625</v>
      </c>
      <c r="AF351">
        <v>5</v>
      </c>
      <c r="AG351">
        <v>364.41</v>
      </c>
      <c r="AH351">
        <v>0</v>
      </c>
      <c r="AI351">
        <v>0</v>
      </c>
      <c r="AJ351">
        <v>0</v>
      </c>
      <c r="AK351">
        <v>327.97</v>
      </c>
      <c r="AL351">
        <v>1822.05</v>
      </c>
      <c r="AM351">
        <v>2150</v>
      </c>
      <c r="AN351">
        <v>91</v>
      </c>
      <c r="AO351" t="s">
        <v>22</v>
      </c>
      <c r="AP351" t="s">
        <v>26</v>
      </c>
      <c r="AQ351">
        <v>10</v>
      </c>
      <c r="AR351">
        <v>105</v>
      </c>
      <c r="AS351" t="s">
        <v>85</v>
      </c>
      <c r="AT351">
        <v>677001</v>
      </c>
      <c r="AU351" t="s">
        <v>273</v>
      </c>
      <c r="AV351" t="s">
        <v>86</v>
      </c>
      <c r="AW351" t="s">
        <v>23</v>
      </c>
      <c r="AX351" t="s">
        <v>24</v>
      </c>
      <c r="AY351" t="s">
        <v>25</v>
      </c>
      <c r="AZ351" t="s">
        <v>197</v>
      </c>
      <c r="BA351" t="s">
        <v>541</v>
      </c>
      <c r="BB351">
        <v>0</v>
      </c>
      <c r="BC351">
        <v>0</v>
      </c>
      <c r="BD351" t="s">
        <v>199</v>
      </c>
      <c r="BE351" t="s">
        <v>199</v>
      </c>
      <c r="BF351">
        <v>0</v>
      </c>
      <c r="BG351">
        <v>0</v>
      </c>
      <c r="BH351" t="s">
        <v>200</v>
      </c>
      <c r="BI351">
        <v>13</v>
      </c>
      <c r="BJ351">
        <v>6343786</v>
      </c>
      <c r="BK351" t="s">
        <v>201</v>
      </c>
      <c r="BL351" t="s">
        <v>190</v>
      </c>
    </row>
    <row r="352" spans="1:64" x14ac:dyDescent="0.3">
      <c r="A352">
        <v>223</v>
      </c>
      <c r="B352" t="s">
        <v>186</v>
      </c>
      <c r="C352">
        <v>3</v>
      </c>
      <c r="D352">
        <v>6343786</v>
      </c>
      <c r="E352" t="s">
        <v>202</v>
      </c>
      <c r="F352" t="s">
        <v>188</v>
      </c>
      <c r="G352">
        <v>10172707</v>
      </c>
      <c r="H352" s="35">
        <v>46139</v>
      </c>
      <c r="I352" s="35">
        <v>46139</v>
      </c>
      <c r="J352">
        <v>2026</v>
      </c>
      <c r="K352">
        <v>4</v>
      </c>
      <c r="L352" t="s">
        <v>189</v>
      </c>
      <c r="M352">
        <v>1</v>
      </c>
      <c r="N352" t="s">
        <v>190</v>
      </c>
      <c r="O352" t="s">
        <v>191</v>
      </c>
      <c r="P352" t="s">
        <v>199</v>
      </c>
      <c r="Q352" t="s">
        <v>199</v>
      </c>
      <c r="R352">
        <v>18</v>
      </c>
      <c r="S352">
        <v>27</v>
      </c>
      <c r="T352">
        <v>14167</v>
      </c>
      <c r="U352">
        <v>3</v>
      </c>
      <c r="V352" t="s">
        <v>208</v>
      </c>
      <c r="W352" t="s">
        <v>18</v>
      </c>
      <c r="X352" t="s">
        <v>19</v>
      </c>
      <c r="Y352" t="s">
        <v>20</v>
      </c>
      <c r="Z352" t="s">
        <v>20</v>
      </c>
      <c r="AA352">
        <v>91</v>
      </c>
      <c r="AB352">
        <v>101038</v>
      </c>
      <c r="AC352" t="s">
        <v>271</v>
      </c>
      <c r="AD352" t="s">
        <v>272</v>
      </c>
      <c r="AE352">
        <v>0.2</v>
      </c>
      <c r="AF352">
        <v>2</v>
      </c>
      <c r="AG352">
        <v>364.41</v>
      </c>
      <c r="AH352">
        <v>0</v>
      </c>
      <c r="AI352">
        <v>0</v>
      </c>
      <c r="AJ352">
        <v>0</v>
      </c>
      <c r="AK352">
        <v>131.19</v>
      </c>
      <c r="AL352">
        <v>728.82</v>
      </c>
      <c r="AM352">
        <v>860</v>
      </c>
      <c r="AN352">
        <v>91</v>
      </c>
      <c r="AO352" t="s">
        <v>22</v>
      </c>
      <c r="AP352" t="s">
        <v>26</v>
      </c>
      <c r="AQ352">
        <v>10</v>
      </c>
      <c r="AR352">
        <v>105</v>
      </c>
      <c r="AS352" t="s">
        <v>85</v>
      </c>
      <c r="AT352">
        <v>677001</v>
      </c>
      <c r="AU352" t="s">
        <v>273</v>
      </c>
      <c r="AV352" t="s">
        <v>86</v>
      </c>
      <c r="AW352" t="s">
        <v>23</v>
      </c>
      <c r="AX352" t="s">
        <v>24</v>
      </c>
      <c r="AY352" t="s">
        <v>25</v>
      </c>
      <c r="AZ352" t="s">
        <v>197</v>
      </c>
      <c r="BA352" t="s">
        <v>541</v>
      </c>
      <c r="BB352">
        <v>0</v>
      </c>
      <c r="BC352">
        <v>0</v>
      </c>
      <c r="BD352" t="s">
        <v>199</v>
      </c>
      <c r="BE352" t="s">
        <v>199</v>
      </c>
      <c r="BF352">
        <v>0</v>
      </c>
      <c r="BG352">
        <v>0</v>
      </c>
      <c r="BH352" t="s">
        <v>200</v>
      </c>
      <c r="BI352">
        <v>13</v>
      </c>
      <c r="BJ352">
        <v>6343786</v>
      </c>
      <c r="BK352" t="s">
        <v>201</v>
      </c>
      <c r="BL352" t="s">
        <v>190</v>
      </c>
    </row>
    <row r="353" spans="1:64" x14ac:dyDescent="0.3">
      <c r="A353">
        <v>289</v>
      </c>
      <c r="B353" t="s">
        <v>186</v>
      </c>
      <c r="C353">
        <v>3</v>
      </c>
      <c r="D353">
        <v>6348413</v>
      </c>
      <c r="E353" t="s">
        <v>379</v>
      </c>
      <c r="F353" t="s">
        <v>188</v>
      </c>
      <c r="G353">
        <v>10177334</v>
      </c>
      <c r="H353" s="35">
        <v>46142</v>
      </c>
      <c r="I353" s="35">
        <v>46142</v>
      </c>
      <c r="J353">
        <v>2026</v>
      </c>
      <c r="K353">
        <v>4</v>
      </c>
      <c r="L353" t="s">
        <v>189</v>
      </c>
      <c r="M353">
        <v>1</v>
      </c>
      <c r="N353" t="s">
        <v>190</v>
      </c>
      <c r="O353" t="s">
        <v>191</v>
      </c>
      <c r="P353" t="s">
        <v>199</v>
      </c>
      <c r="Q353" t="s">
        <v>199</v>
      </c>
      <c r="R353">
        <v>18</v>
      </c>
      <c r="S353">
        <v>30</v>
      </c>
      <c r="T353">
        <v>37594</v>
      </c>
      <c r="U353">
        <v>3</v>
      </c>
      <c r="V353" t="s">
        <v>234</v>
      </c>
      <c r="W353" t="s">
        <v>47</v>
      </c>
      <c r="X353" t="s">
        <v>19</v>
      </c>
      <c r="Y353" t="s">
        <v>30</v>
      </c>
      <c r="Z353" t="s">
        <v>30</v>
      </c>
      <c r="AA353">
        <v>72</v>
      </c>
      <c r="AB353">
        <v>103001</v>
      </c>
      <c r="AC353" t="s">
        <v>286</v>
      </c>
      <c r="AD353" t="s">
        <v>287</v>
      </c>
      <c r="AE353">
        <v>0.375</v>
      </c>
      <c r="AF353">
        <v>18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72</v>
      </c>
      <c r="AO353" t="s">
        <v>49</v>
      </c>
      <c r="AP353" t="s">
        <v>53</v>
      </c>
      <c r="AQ353">
        <v>10</v>
      </c>
      <c r="AR353">
        <v>107</v>
      </c>
      <c r="AS353" t="s">
        <v>96</v>
      </c>
      <c r="AT353">
        <v>6770651</v>
      </c>
      <c r="AU353" t="s">
        <v>288</v>
      </c>
      <c r="AV353" t="s">
        <v>86</v>
      </c>
      <c r="AW353" t="s">
        <v>50</v>
      </c>
      <c r="AX353" t="s">
        <v>51</v>
      </c>
      <c r="AY353" t="s">
        <v>52</v>
      </c>
      <c r="AZ353" t="s">
        <v>240</v>
      </c>
      <c r="BA353" t="s">
        <v>542</v>
      </c>
      <c r="BB353">
        <v>0</v>
      </c>
      <c r="BC353">
        <v>1</v>
      </c>
      <c r="BD353">
        <v>3535</v>
      </c>
      <c r="BE353" t="s">
        <v>538</v>
      </c>
      <c r="BF353">
        <v>0</v>
      </c>
      <c r="BG353">
        <v>0</v>
      </c>
      <c r="BH353" t="s">
        <v>200</v>
      </c>
      <c r="BI353">
        <v>13</v>
      </c>
      <c r="BJ353">
        <v>6348413</v>
      </c>
      <c r="BK353" t="s">
        <v>201</v>
      </c>
      <c r="BL353" t="s">
        <v>190</v>
      </c>
    </row>
    <row r="354" spans="1:64" x14ac:dyDescent="0.3">
      <c r="A354">
        <v>289</v>
      </c>
      <c r="B354" t="s">
        <v>186</v>
      </c>
      <c r="C354">
        <v>3</v>
      </c>
      <c r="D354">
        <v>6348413</v>
      </c>
      <c r="E354" t="s">
        <v>379</v>
      </c>
      <c r="F354" t="s">
        <v>188</v>
      </c>
      <c r="G354">
        <v>10177334</v>
      </c>
      <c r="H354" s="35">
        <v>46142</v>
      </c>
      <c r="I354" s="35">
        <v>46142</v>
      </c>
      <c r="J354">
        <v>2026</v>
      </c>
      <c r="K354">
        <v>4</v>
      </c>
      <c r="L354" t="s">
        <v>189</v>
      </c>
      <c r="M354">
        <v>1</v>
      </c>
      <c r="N354" t="s">
        <v>190</v>
      </c>
      <c r="O354" t="s">
        <v>191</v>
      </c>
      <c r="P354" t="s">
        <v>199</v>
      </c>
      <c r="Q354" t="s">
        <v>199</v>
      </c>
      <c r="R354">
        <v>18</v>
      </c>
      <c r="S354">
        <v>30</v>
      </c>
      <c r="T354">
        <v>37594</v>
      </c>
      <c r="U354">
        <v>3</v>
      </c>
      <c r="V354" t="s">
        <v>234</v>
      </c>
      <c r="W354" t="s">
        <v>47</v>
      </c>
      <c r="X354" t="s">
        <v>19</v>
      </c>
      <c r="Y354" t="s">
        <v>30</v>
      </c>
      <c r="Z354" t="s">
        <v>30</v>
      </c>
      <c r="AA354">
        <v>72</v>
      </c>
      <c r="AB354">
        <v>103001</v>
      </c>
      <c r="AC354" t="s">
        <v>286</v>
      </c>
      <c r="AD354" t="s">
        <v>287</v>
      </c>
      <c r="AE354">
        <v>2</v>
      </c>
      <c r="AF354">
        <v>96</v>
      </c>
      <c r="AG354">
        <v>21.36</v>
      </c>
      <c r="AH354">
        <v>0</v>
      </c>
      <c r="AI354">
        <v>0</v>
      </c>
      <c r="AJ354">
        <v>0</v>
      </c>
      <c r="AK354">
        <v>369.1</v>
      </c>
      <c r="AL354">
        <v>2050.56</v>
      </c>
      <c r="AM354">
        <v>2420</v>
      </c>
      <c r="AN354">
        <v>72</v>
      </c>
      <c r="AO354" t="s">
        <v>49</v>
      </c>
      <c r="AP354" t="s">
        <v>53</v>
      </c>
      <c r="AQ354">
        <v>10</v>
      </c>
      <c r="AR354">
        <v>107</v>
      </c>
      <c r="AS354" t="s">
        <v>96</v>
      </c>
      <c r="AT354">
        <v>6770651</v>
      </c>
      <c r="AU354" t="s">
        <v>288</v>
      </c>
      <c r="AV354" t="s">
        <v>86</v>
      </c>
      <c r="AW354" t="s">
        <v>50</v>
      </c>
      <c r="AX354" t="s">
        <v>51</v>
      </c>
      <c r="AY354" t="s">
        <v>52</v>
      </c>
      <c r="AZ354" t="s">
        <v>240</v>
      </c>
      <c r="BA354" t="s">
        <v>542</v>
      </c>
      <c r="BB354">
        <v>0</v>
      </c>
      <c r="BC354">
        <v>0</v>
      </c>
      <c r="BD354" t="s">
        <v>199</v>
      </c>
      <c r="BE354" t="s">
        <v>199</v>
      </c>
      <c r="BF354">
        <v>0</v>
      </c>
      <c r="BG354">
        <v>0</v>
      </c>
      <c r="BH354" t="s">
        <v>200</v>
      </c>
      <c r="BI354">
        <v>13</v>
      </c>
      <c r="BJ354">
        <v>6348413</v>
      </c>
      <c r="BK354" t="s">
        <v>201</v>
      </c>
      <c r="BL354" t="s">
        <v>190</v>
      </c>
    </row>
    <row r="355" spans="1:64" x14ac:dyDescent="0.3">
      <c r="A355">
        <v>289</v>
      </c>
      <c r="B355" t="s">
        <v>186</v>
      </c>
      <c r="C355">
        <v>3</v>
      </c>
      <c r="D355">
        <v>6348413</v>
      </c>
      <c r="E355" t="s">
        <v>379</v>
      </c>
      <c r="F355" t="s">
        <v>188</v>
      </c>
      <c r="G355">
        <v>10177334</v>
      </c>
      <c r="H355" s="35">
        <v>46142</v>
      </c>
      <c r="I355" s="35">
        <v>46142</v>
      </c>
      <c r="J355">
        <v>2026</v>
      </c>
      <c r="K355">
        <v>4</v>
      </c>
      <c r="L355" t="s">
        <v>189</v>
      </c>
      <c r="M355">
        <v>1</v>
      </c>
      <c r="N355" t="s">
        <v>190</v>
      </c>
      <c r="O355" t="s">
        <v>191</v>
      </c>
      <c r="P355" t="s">
        <v>199</v>
      </c>
      <c r="Q355" t="s">
        <v>199</v>
      </c>
      <c r="R355">
        <v>18</v>
      </c>
      <c r="S355">
        <v>30</v>
      </c>
      <c r="T355">
        <v>37594</v>
      </c>
      <c r="U355">
        <v>3</v>
      </c>
      <c r="V355" t="s">
        <v>234</v>
      </c>
      <c r="W355" t="s">
        <v>47</v>
      </c>
      <c r="X355" t="s">
        <v>19</v>
      </c>
      <c r="Y355" t="s">
        <v>30</v>
      </c>
      <c r="Z355" t="s">
        <v>30</v>
      </c>
      <c r="AA355">
        <v>72</v>
      </c>
      <c r="AB355">
        <v>611055</v>
      </c>
      <c r="AC355" t="s">
        <v>300</v>
      </c>
      <c r="AD355" t="s">
        <v>301</v>
      </c>
      <c r="AE355">
        <v>2</v>
      </c>
      <c r="AF355">
        <v>8</v>
      </c>
      <c r="AG355">
        <v>78.319999999999993</v>
      </c>
      <c r="AH355">
        <v>0</v>
      </c>
      <c r="AI355">
        <v>0</v>
      </c>
      <c r="AJ355">
        <v>0</v>
      </c>
      <c r="AK355">
        <v>112.78</v>
      </c>
      <c r="AL355">
        <v>626.55999999999995</v>
      </c>
      <c r="AM355">
        <v>739</v>
      </c>
      <c r="AN355">
        <v>72</v>
      </c>
      <c r="AO355" t="s">
        <v>49</v>
      </c>
      <c r="AP355" t="s">
        <v>53</v>
      </c>
      <c r="AQ355">
        <v>10</v>
      </c>
      <c r="AR355">
        <v>114</v>
      </c>
      <c r="AS355" t="s">
        <v>79</v>
      </c>
      <c r="AT355">
        <v>66102</v>
      </c>
      <c r="AU355" t="s">
        <v>227</v>
      </c>
      <c r="AV355" t="s">
        <v>80</v>
      </c>
      <c r="AW355" t="s">
        <v>50</v>
      </c>
      <c r="AX355" t="s">
        <v>51</v>
      </c>
      <c r="AY355" t="s">
        <v>52</v>
      </c>
      <c r="AZ355" t="s">
        <v>240</v>
      </c>
      <c r="BA355" t="s">
        <v>542</v>
      </c>
      <c r="BB355">
        <v>0</v>
      </c>
      <c r="BC355">
        <v>0</v>
      </c>
      <c r="BD355" t="s">
        <v>199</v>
      </c>
      <c r="BE355" t="s">
        <v>199</v>
      </c>
      <c r="BF355">
        <v>0</v>
      </c>
      <c r="BG355">
        <v>0</v>
      </c>
      <c r="BH355" t="s">
        <v>200</v>
      </c>
      <c r="BI355">
        <v>13</v>
      </c>
      <c r="BJ355">
        <v>6348413</v>
      </c>
      <c r="BK355" t="s">
        <v>201</v>
      </c>
      <c r="BL355" t="s">
        <v>190</v>
      </c>
    </row>
    <row r="356" spans="1:64" x14ac:dyDescent="0.3">
      <c r="A356">
        <v>125</v>
      </c>
      <c r="B356" t="s">
        <v>186</v>
      </c>
      <c r="C356">
        <v>3</v>
      </c>
      <c r="D356">
        <v>6348493</v>
      </c>
      <c r="E356" t="s">
        <v>213</v>
      </c>
      <c r="F356" t="s">
        <v>188</v>
      </c>
      <c r="G356">
        <v>10177414</v>
      </c>
      <c r="H356" s="35">
        <v>46142</v>
      </c>
      <c r="I356" s="35">
        <v>46142</v>
      </c>
      <c r="J356">
        <v>2026</v>
      </c>
      <c r="K356">
        <v>4</v>
      </c>
      <c r="L356" t="s">
        <v>189</v>
      </c>
      <c r="M356">
        <v>1</v>
      </c>
      <c r="N356" t="s">
        <v>190</v>
      </c>
      <c r="O356" t="s">
        <v>191</v>
      </c>
      <c r="P356" t="s">
        <v>199</v>
      </c>
      <c r="Q356" t="s">
        <v>199</v>
      </c>
      <c r="R356">
        <v>18</v>
      </c>
      <c r="S356">
        <v>30</v>
      </c>
      <c r="T356">
        <v>36908</v>
      </c>
      <c r="U356">
        <v>3</v>
      </c>
      <c r="V356" t="s">
        <v>215</v>
      </c>
      <c r="W356" t="s">
        <v>67</v>
      </c>
      <c r="X356" t="s">
        <v>28</v>
      </c>
      <c r="Y356" t="s">
        <v>30</v>
      </c>
      <c r="Z356" t="s">
        <v>30</v>
      </c>
      <c r="AA356">
        <v>11</v>
      </c>
      <c r="AB356">
        <v>101038</v>
      </c>
      <c r="AC356" t="s">
        <v>271</v>
      </c>
      <c r="AD356" t="s">
        <v>272</v>
      </c>
      <c r="AE356">
        <v>1</v>
      </c>
      <c r="AF356">
        <v>10</v>
      </c>
      <c r="AG356">
        <v>357.12</v>
      </c>
      <c r="AH356">
        <v>0</v>
      </c>
      <c r="AI356">
        <v>0</v>
      </c>
      <c r="AJ356">
        <v>0</v>
      </c>
      <c r="AK356">
        <v>642.82000000000005</v>
      </c>
      <c r="AL356">
        <v>3571.2</v>
      </c>
      <c r="AM356">
        <v>4214</v>
      </c>
      <c r="AN356">
        <v>199</v>
      </c>
      <c r="AO356" t="s">
        <v>218</v>
      </c>
      <c r="AP356" t="s">
        <v>219</v>
      </c>
      <c r="AQ356">
        <v>10</v>
      </c>
      <c r="AR356">
        <v>105</v>
      </c>
      <c r="AS356" t="s">
        <v>85</v>
      </c>
      <c r="AT356">
        <v>677001</v>
      </c>
      <c r="AU356" t="s">
        <v>273</v>
      </c>
      <c r="AV356" t="s">
        <v>86</v>
      </c>
      <c r="AW356" t="s">
        <v>70</v>
      </c>
      <c r="AX356" t="s">
        <v>71</v>
      </c>
      <c r="AY356" t="s">
        <v>220</v>
      </c>
      <c r="AZ356" t="s">
        <v>221</v>
      </c>
      <c r="BA356" t="s">
        <v>543</v>
      </c>
      <c r="BB356">
        <v>0</v>
      </c>
      <c r="BC356">
        <v>0</v>
      </c>
      <c r="BD356" t="s">
        <v>199</v>
      </c>
      <c r="BE356" t="s">
        <v>199</v>
      </c>
      <c r="BF356">
        <v>0</v>
      </c>
      <c r="BG356">
        <v>0</v>
      </c>
      <c r="BH356" t="s">
        <v>200</v>
      </c>
      <c r="BI356">
        <v>13</v>
      </c>
      <c r="BJ356">
        <v>6348493</v>
      </c>
      <c r="BK356" t="s">
        <v>201</v>
      </c>
      <c r="BL356" t="s">
        <v>190</v>
      </c>
    </row>
    <row r="357" spans="1:64" x14ac:dyDescent="0.3">
      <c r="A357">
        <v>125</v>
      </c>
      <c r="B357" t="s">
        <v>186</v>
      </c>
      <c r="C357">
        <v>3</v>
      </c>
      <c r="D357">
        <v>6348493</v>
      </c>
      <c r="E357" t="s">
        <v>213</v>
      </c>
      <c r="F357" t="s">
        <v>188</v>
      </c>
      <c r="G357">
        <v>10177414</v>
      </c>
      <c r="H357" s="35">
        <v>46142</v>
      </c>
      <c r="I357" s="35">
        <v>46142</v>
      </c>
      <c r="J357">
        <v>2026</v>
      </c>
      <c r="K357">
        <v>4</v>
      </c>
      <c r="L357" t="s">
        <v>189</v>
      </c>
      <c r="M357">
        <v>1</v>
      </c>
      <c r="N357" t="s">
        <v>190</v>
      </c>
      <c r="O357" t="s">
        <v>191</v>
      </c>
      <c r="P357" t="s">
        <v>199</v>
      </c>
      <c r="Q357" t="s">
        <v>199</v>
      </c>
      <c r="R357">
        <v>18</v>
      </c>
      <c r="S357">
        <v>30</v>
      </c>
      <c r="T357">
        <v>36908</v>
      </c>
      <c r="U357">
        <v>3</v>
      </c>
      <c r="V357" t="s">
        <v>215</v>
      </c>
      <c r="W357" t="s">
        <v>67</v>
      </c>
      <c r="X357" t="s">
        <v>28</v>
      </c>
      <c r="Y357" t="s">
        <v>30</v>
      </c>
      <c r="Z357" t="s">
        <v>30</v>
      </c>
      <c r="AA357">
        <v>11</v>
      </c>
      <c r="AB357">
        <v>800089</v>
      </c>
      <c r="AC357" t="s">
        <v>295</v>
      </c>
      <c r="AD357" t="s">
        <v>296</v>
      </c>
      <c r="AE357">
        <v>1</v>
      </c>
      <c r="AF357">
        <v>8</v>
      </c>
      <c r="AG357">
        <v>357.12</v>
      </c>
      <c r="AH357">
        <v>0</v>
      </c>
      <c r="AI357">
        <v>0</v>
      </c>
      <c r="AJ357">
        <v>0</v>
      </c>
      <c r="AK357">
        <v>514.25</v>
      </c>
      <c r="AL357">
        <v>2856.96</v>
      </c>
      <c r="AM357">
        <v>3371</v>
      </c>
      <c r="AN357">
        <v>199</v>
      </c>
      <c r="AO357" t="s">
        <v>218</v>
      </c>
      <c r="AP357" t="s">
        <v>219</v>
      </c>
      <c r="AQ357">
        <v>10</v>
      </c>
      <c r="AR357">
        <v>105</v>
      </c>
      <c r="AS357" t="s">
        <v>85</v>
      </c>
      <c r="AT357">
        <v>677001</v>
      </c>
      <c r="AU357" t="s">
        <v>273</v>
      </c>
      <c r="AV357" t="s">
        <v>86</v>
      </c>
      <c r="AW357" t="s">
        <v>70</v>
      </c>
      <c r="AX357" t="s">
        <v>71</v>
      </c>
      <c r="AY357" t="s">
        <v>220</v>
      </c>
      <c r="AZ357" t="s">
        <v>221</v>
      </c>
      <c r="BA357" t="s">
        <v>543</v>
      </c>
      <c r="BB357">
        <v>0</v>
      </c>
      <c r="BC357">
        <v>0</v>
      </c>
      <c r="BD357" t="s">
        <v>199</v>
      </c>
      <c r="BE357" t="s">
        <v>199</v>
      </c>
      <c r="BF357">
        <v>0</v>
      </c>
      <c r="BG357">
        <v>0</v>
      </c>
      <c r="BH357" t="s">
        <v>200</v>
      </c>
      <c r="BI357">
        <v>13</v>
      </c>
      <c r="BJ357">
        <v>6348493</v>
      </c>
      <c r="BK357" t="s">
        <v>201</v>
      </c>
      <c r="BL357" t="s">
        <v>190</v>
      </c>
    </row>
    <row r="358" spans="1:64" x14ac:dyDescent="0.3">
      <c r="A358">
        <v>125</v>
      </c>
      <c r="B358" t="s">
        <v>186</v>
      </c>
      <c r="C358">
        <v>3</v>
      </c>
      <c r="D358">
        <v>6348493</v>
      </c>
      <c r="E358" t="s">
        <v>213</v>
      </c>
      <c r="F358" t="s">
        <v>188</v>
      </c>
      <c r="G358">
        <v>10177414</v>
      </c>
      <c r="H358" s="35">
        <v>46142</v>
      </c>
      <c r="I358" s="35">
        <v>46142</v>
      </c>
      <c r="J358">
        <v>2026</v>
      </c>
      <c r="K358">
        <v>4</v>
      </c>
      <c r="L358" t="s">
        <v>189</v>
      </c>
      <c r="M358">
        <v>1</v>
      </c>
      <c r="N358" t="s">
        <v>190</v>
      </c>
      <c r="O358" t="s">
        <v>191</v>
      </c>
      <c r="P358" t="s">
        <v>199</v>
      </c>
      <c r="Q358" t="s">
        <v>199</v>
      </c>
      <c r="R358">
        <v>18</v>
      </c>
      <c r="S358">
        <v>30</v>
      </c>
      <c r="T358">
        <v>36908</v>
      </c>
      <c r="U358">
        <v>3</v>
      </c>
      <c r="V358" t="s">
        <v>215</v>
      </c>
      <c r="W358" t="s">
        <v>67</v>
      </c>
      <c r="X358" t="s">
        <v>28</v>
      </c>
      <c r="Y358" t="s">
        <v>30</v>
      </c>
      <c r="Z358" t="s">
        <v>30</v>
      </c>
      <c r="AA358">
        <v>11</v>
      </c>
      <c r="AB358">
        <v>800088</v>
      </c>
      <c r="AC358" t="s">
        <v>276</v>
      </c>
      <c r="AD358" t="s">
        <v>277</v>
      </c>
      <c r="AE358">
        <v>1</v>
      </c>
      <c r="AF358">
        <v>8</v>
      </c>
      <c r="AG358">
        <v>357.12</v>
      </c>
      <c r="AH358">
        <v>0</v>
      </c>
      <c r="AI358">
        <v>0</v>
      </c>
      <c r="AJ358">
        <v>0</v>
      </c>
      <c r="AK358">
        <v>514.25</v>
      </c>
      <c r="AL358">
        <v>2856.96</v>
      </c>
      <c r="AM358">
        <v>3371</v>
      </c>
      <c r="AN358">
        <v>199</v>
      </c>
      <c r="AO358" t="s">
        <v>218</v>
      </c>
      <c r="AP358" t="s">
        <v>219</v>
      </c>
      <c r="AQ358">
        <v>10</v>
      </c>
      <c r="AR358">
        <v>105</v>
      </c>
      <c r="AS358" t="s">
        <v>85</v>
      </c>
      <c r="AT358">
        <v>677001</v>
      </c>
      <c r="AU358" t="s">
        <v>273</v>
      </c>
      <c r="AV358" t="s">
        <v>86</v>
      </c>
      <c r="AW358" t="s">
        <v>70</v>
      </c>
      <c r="AX358" t="s">
        <v>71</v>
      </c>
      <c r="AY358" t="s">
        <v>220</v>
      </c>
      <c r="AZ358" t="s">
        <v>221</v>
      </c>
      <c r="BA358" t="s">
        <v>543</v>
      </c>
      <c r="BB358">
        <v>0</v>
      </c>
      <c r="BC358">
        <v>0</v>
      </c>
      <c r="BD358" t="s">
        <v>199</v>
      </c>
      <c r="BE358" t="s">
        <v>199</v>
      </c>
      <c r="BF358">
        <v>0</v>
      </c>
      <c r="BG358">
        <v>0</v>
      </c>
      <c r="BH358" t="s">
        <v>200</v>
      </c>
      <c r="BI358">
        <v>13</v>
      </c>
      <c r="BJ358">
        <v>6348493</v>
      </c>
      <c r="BK358" t="s">
        <v>201</v>
      </c>
      <c r="BL358" t="s">
        <v>190</v>
      </c>
    </row>
    <row r="359" spans="1:64" x14ac:dyDescent="0.3">
      <c r="A359">
        <v>125</v>
      </c>
      <c r="B359" t="s">
        <v>186</v>
      </c>
      <c r="C359">
        <v>3</v>
      </c>
      <c r="D359">
        <v>6348493</v>
      </c>
      <c r="E359" t="s">
        <v>213</v>
      </c>
      <c r="F359" t="s">
        <v>188</v>
      </c>
      <c r="G359">
        <v>10177414</v>
      </c>
      <c r="H359" s="35">
        <v>46142</v>
      </c>
      <c r="I359" s="35">
        <v>46142</v>
      </c>
      <c r="J359">
        <v>2026</v>
      </c>
      <c r="K359">
        <v>4</v>
      </c>
      <c r="L359" t="s">
        <v>189</v>
      </c>
      <c r="M359">
        <v>1</v>
      </c>
      <c r="N359" t="s">
        <v>190</v>
      </c>
      <c r="O359" t="s">
        <v>191</v>
      </c>
      <c r="P359" t="s">
        <v>199</v>
      </c>
      <c r="Q359" t="s">
        <v>199</v>
      </c>
      <c r="R359">
        <v>18</v>
      </c>
      <c r="S359">
        <v>30</v>
      </c>
      <c r="T359">
        <v>36908</v>
      </c>
      <c r="U359">
        <v>3</v>
      </c>
      <c r="V359" t="s">
        <v>215</v>
      </c>
      <c r="W359" t="s">
        <v>67</v>
      </c>
      <c r="X359" t="s">
        <v>28</v>
      </c>
      <c r="Y359" t="s">
        <v>30</v>
      </c>
      <c r="Z359" t="s">
        <v>30</v>
      </c>
      <c r="AA359">
        <v>11</v>
      </c>
      <c r="AB359">
        <v>201001</v>
      </c>
      <c r="AC359" t="s">
        <v>248</v>
      </c>
      <c r="AD359" t="s">
        <v>249</v>
      </c>
      <c r="AE359">
        <v>100</v>
      </c>
      <c r="AF359">
        <v>100</v>
      </c>
      <c r="AG359">
        <v>208.37</v>
      </c>
      <c r="AH359">
        <v>0</v>
      </c>
      <c r="AI359">
        <v>0</v>
      </c>
      <c r="AJ359">
        <v>0</v>
      </c>
      <c r="AK359">
        <v>3750.66</v>
      </c>
      <c r="AL359">
        <v>20837</v>
      </c>
      <c r="AM359">
        <v>24588</v>
      </c>
      <c r="AN359">
        <v>199</v>
      </c>
      <c r="AO359" t="s">
        <v>218</v>
      </c>
      <c r="AP359" t="s">
        <v>219</v>
      </c>
      <c r="AQ359">
        <v>10</v>
      </c>
      <c r="AR359">
        <v>113</v>
      </c>
      <c r="AS359" t="s">
        <v>89</v>
      </c>
      <c r="AT359">
        <v>82101</v>
      </c>
      <c r="AU359" t="s">
        <v>252</v>
      </c>
      <c r="AV359" t="s">
        <v>80</v>
      </c>
      <c r="AW359" t="s">
        <v>70</v>
      </c>
      <c r="AX359" t="s">
        <v>71</v>
      </c>
      <c r="AY359" t="s">
        <v>220</v>
      </c>
      <c r="AZ359" t="s">
        <v>221</v>
      </c>
      <c r="BA359" t="s">
        <v>543</v>
      </c>
      <c r="BB359">
        <v>0</v>
      </c>
      <c r="BC359">
        <v>0</v>
      </c>
      <c r="BD359" t="s">
        <v>199</v>
      </c>
      <c r="BE359" t="s">
        <v>199</v>
      </c>
      <c r="BF359">
        <v>0</v>
      </c>
      <c r="BG359">
        <v>0</v>
      </c>
      <c r="BH359" t="s">
        <v>200</v>
      </c>
      <c r="BI359">
        <v>13</v>
      </c>
      <c r="BJ359">
        <v>6348493</v>
      </c>
      <c r="BK359" t="s">
        <v>201</v>
      </c>
      <c r="BL359" t="s">
        <v>190</v>
      </c>
    </row>
    <row r="360" spans="1:64" x14ac:dyDescent="0.3">
      <c r="A360">
        <v>125</v>
      </c>
      <c r="B360" t="s">
        <v>186</v>
      </c>
      <c r="C360">
        <v>3</v>
      </c>
      <c r="D360">
        <v>6348493</v>
      </c>
      <c r="E360" t="s">
        <v>213</v>
      </c>
      <c r="F360" t="s">
        <v>188</v>
      </c>
      <c r="G360">
        <v>10177414</v>
      </c>
      <c r="H360" s="35">
        <v>46142</v>
      </c>
      <c r="I360" s="35">
        <v>46142</v>
      </c>
      <c r="J360">
        <v>2026</v>
      </c>
      <c r="K360">
        <v>4</v>
      </c>
      <c r="L360" t="s">
        <v>189</v>
      </c>
      <c r="M360">
        <v>1</v>
      </c>
      <c r="N360" t="s">
        <v>190</v>
      </c>
      <c r="O360" t="s">
        <v>191</v>
      </c>
      <c r="P360" t="s">
        <v>199</v>
      </c>
      <c r="Q360" t="s">
        <v>199</v>
      </c>
      <c r="R360">
        <v>18</v>
      </c>
      <c r="S360">
        <v>30</v>
      </c>
      <c r="T360">
        <v>36908</v>
      </c>
      <c r="U360">
        <v>3</v>
      </c>
      <c r="V360" t="s">
        <v>215</v>
      </c>
      <c r="W360" t="s">
        <v>67</v>
      </c>
      <c r="X360" t="s">
        <v>28</v>
      </c>
      <c r="Y360" t="s">
        <v>30</v>
      </c>
      <c r="Z360" t="s">
        <v>30</v>
      </c>
      <c r="AA360">
        <v>11</v>
      </c>
      <c r="AB360">
        <v>101034</v>
      </c>
      <c r="AC360" t="s">
        <v>329</v>
      </c>
      <c r="AD360" t="s">
        <v>330</v>
      </c>
      <c r="AE360">
        <v>1</v>
      </c>
      <c r="AF360">
        <v>10</v>
      </c>
      <c r="AG360">
        <v>228.39</v>
      </c>
      <c r="AH360">
        <v>0</v>
      </c>
      <c r="AI360">
        <v>0</v>
      </c>
      <c r="AJ360">
        <v>0</v>
      </c>
      <c r="AK360">
        <v>411.1</v>
      </c>
      <c r="AL360">
        <v>2283.9</v>
      </c>
      <c r="AM360">
        <v>2695</v>
      </c>
      <c r="AN360">
        <v>199</v>
      </c>
      <c r="AO360" t="s">
        <v>218</v>
      </c>
      <c r="AP360" t="s">
        <v>219</v>
      </c>
      <c r="AQ360">
        <v>10</v>
      </c>
      <c r="AR360">
        <v>136</v>
      </c>
      <c r="AS360" t="s">
        <v>87</v>
      </c>
      <c r="AT360">
        <v>677001</v>
      </c>
      <c r="AU360" t="s">
        <v>273</v>
      </c>
      <c r="AV360" t="s">
        <v>86</v>
      </c>
      <c r="AW360" t="s">
        <v>70</v>
      </c>
      <c r="AX360" t="s">
        <v>71</v>
      </c>
      <c r="AY360" t="s">
        <v>220</v>
      </c>
      <c r="AZ360" t="s">
        <v>221</v>
      </c>
      <c r="BA360" t="s">
        <v>543</v>
      </c>
      <c r="BB360">
        <v>0</v>
      </c>
      <c r="BC360">
        <v>0</v>
      </c>
      <c r="BD360" t="s">
        <v>199</v>
      </c>
      <c r="BE360" t="s">
        <v>199</v>
      </c>
      <c r="BF360">
        <v>0</v>
      </c>
      <c r="BG360">
        <v>0</v>
      </c>
      <c r="BH360" t="s">
        <v>200</v>
      </c>
      <c r="BI360">
        <v>13</v>
      </c>
      <c r="BJ360">
        <v>6348493</v>
      </c>
      <c r="BK360" t="s">
        <v>201</v>
      </c>
      <c r="BL360" t="s">
        <v>190</v>
      </c>
    </row>
    <row r="361" spans="1:64" x14ac:dyDescent="0.3">
      <c r="A361">
        <v>254</v>
      </c>
      <c r="B361" t="s">
        <v>186</v>
      </c>
      <c r="C361">
        <v>3</v>
      </c>
      <c r="D361">
        <v>6349143</v>
      </c>
      <c r="E361" t="s">
        <v>297</v>
      </c>
      <c r="F361" t="s">
        <v>188</v>
      </c>
      <c r="G361">
        <v>10178064</v>
      </c>
      <c r="H361" s="35">
        <v>46142</v>
      </c>
      <c r="I361" s="35">
        <v>46142</v>
      </c>
      <c r="J361">
        <v>2026</v>
      </c>
      <c r="K361">
        <v>4</v>
      </c>
      <c r="L361" t="s">
        <v>189</v>
      </c>
      <c r="M361">
        <v>1</v>
      </c>
      <c r="N361" t="s">
        <v>203</v>
      </c>
      <c r="O361" t="s">
        <v>191</v>
      </c>
      <c r="P361" t="s">
        <v>199</v>
      </c>
      <c r="Q361" t="s">
        <v>199</v>
      </c>
      <c r="R361">
        <v>18</v>
      </c>
      <c r="S361">
        <v>30</v>
      </c>
      <c r="T361">
        <v>5474</v>
      </c>
      <c r="U361">
        <v>3</v>
      </c>
      <c r="V361" t="s">
        <v>298</v>
      </c>
      <c r="W361" t="s">
        <v>54</v>
      </c>
      <c r="X361" t="s">
        <v>19</v>
      </c>
      <c r="Y361" t="s">
        <v>55</v>
      </c>
      <c r="Z361" t="s">
        <v>56</v>
      </c>
      <c r="AA361">
        <v>70</v>
      </c>
      <c r="AB361">
        <v>925064</v>
      </c>
      <c r="AC361" t="s">
        <v>281</v>
      </c>
      <c r="AD361" t="s">
        <v>282</v>
      </c>
      <c r="AE361">
        <v>1</v>
      </c>
      <c r="AF361">
        <v>50</v>
      </c>
      <c r="AG361">
        <v>32.86</v>
      </c>
      <c r="AH361">
        <v>0</v>
      </c>
      <c r="AI361">
        <v>0</v>
      </c>
      <c r="AJ361">
        <v>0</v>
      </c>
      <c r="AK361">
        <v>295.74</v>
      </c>
      <c r="AL361">
        <v>1643</v>
      </c>
      <c r="AM361">
        <v>1939</v>
      </c>
      <c r="AN361">
        <v>70</v>
      </c>
      <c r="AO361" t="s">
        <v>58</v>
      </c>
      <c r="AP361" t="s">
        <v>60</v>
      </c>
      <c r="AQ361">
        <v>10</v>
      </c>
      <c r="AR361">
        <v>117</v>
      </c>
      <c r="AS361" t="s">
        <v>94</v>
      </c>
      <c r="AT361">
        <v>65104</v>
      </c>
      <c r="AU361" t="s">
        <v>283</v>
      </c>
      <c r="AV361" t="s">
        <v>95</v>
      </c>
      <c r="AW361" t="s">
        <v>50</v>
      </c>
      <c r="AX361" t="s">
        <v>51</v>
      </c>
      <c r="AY361" t="s">
        <v>59</v>
      </c>
      <c r="AZ361" t="s">
        <v>240</v>
      </c>
      <c r="BA361" t="s">
        <v>544</v>
      </c>
      <c r="BB361">
        <v>0</v>
      </c>
      <c r="BC361">
        <v>0</v>
      </c>
      <c r="BD361" t="s">
        <v>199</v>
      </c>
      <c r="BE361" t="s">
        <v>199</v>
      </c>
      <c r="BF361">
        <v>0</v>
      </c>
      <c r="BG361">
        <v>0</v>
      </c>
      <c r="BH361" t="s">
        <v>200</v>
      </c>
      <c r="BI361">
        <v>13</v>
      </c>
      <c r="BJ361">
        <v>6349143</v>
      </c>
      <c r="BK361" t="s">
        <v>201</v>
      </c>
      <c r="BL361" t="s">
        <v>190</v>
      </c>
    </row>
    <row r="362" spans="1:64" x14ac:dyDescent="0.3">
      <c r="A362">
        <v>269</v>
      </c>
      <c r="B362" t="s">
        <v>186</v>
      </c>
      <c r="C362">
        <v>3</v>
      </c>
      <c r="D362">
        <v>6353228</v>
      </c>
      <c r="E362" t="s">
        <v>545</v>
      </c>
      <c r="F362" t="s">
        <v>188</v>
      </c>
      <c r="G362">
        <v>10182149</v>
      </c>
      <c r="H362" s="35">
        <v>46146</v>
      </c>
      <c r="I362" s="35">
        <v>46146</v>
      </c>
      <c r="J362">
        <v>2026</v>
      </c>
      <c r="K362">
        <v>5</v>
      </c>
      <c r="L362" t="s">
        <v>189</v>
      </c>
      <c r="M362">
        <v>1</v>
      </c>
      <c r="N362" t="s">
        <v>190</v>
      </c>
      <c r="O362" t="s">
        <v>191</v>
      </c>
      <c r="P362" t="s">
        <v>199</v>
      </c>
      <c r="Q362" t="s">
        <v>199</v>
      </c>
      <c r="R362">
        <v>19</v>
      </c>
      <c r="S362">
        <v>4</v>
      </c>
      <c r="T362">
        <v>36908</v>
      </c>
      <c r="U362">
        <v>3</v>
      </c>
      <c r="V362" t="s">
        <v>215</v>
      </c>
      <c r="W362" t="s">
        <v>67</v>
      </c>
      <c r="X362" t="s">
        <v>28</v>
      </c>
      <c r="Y362" t="s">
        <v>30</v>
      </c>
      <c r="Z362" t="s">
        <v>30</v>
      </c>
      <c r="AA362">
        <v>11</v>
      </c>
      <c r="AB362">
        <v>101038</v>
      </c>
      <c r="AC362" t="s">
        <v>271</v>
      </c>
      <c r="AD362" t="s">
        <v>272</v>
      </c>
      <c r="AE362">
        <v>0.4</v>
      </c>
      <c r="AF362">
        <v>4</v>
      </c>
      <c r="AG362">
        <v>364.41</v>
      </c>
      <c r="AH362">
        <v>0</v>
      </c>
      <c r="AI362">
        <v>0</v>
      </c>
      <c r="AJ362">
        <v>0</v>
      </c>
      <c r="AK362">
        <v>262.38</v>
      </c>
      <c r="AL362">
        <v>1457.64</v>
      </c>
      <c r="AM362">
        <v>1720</v>
      </c>
      <c r="AN362">
        <v>199</v>
      </c>
      <c r="AO362" t="s">
        <v>218</v>
      </c>
      <c r="AP362" t="s">
        <v>219</v>
      </c>
      <c r="AQ362">
        <v>10</v>
      </c>
      <c r="AR362">
        <v>105</v>
      </c>
      <c r="AS362" t="s">
        <v>85</v>
      </c>
      <c r="AT362">
        <v>677001</v>
      </c>
      <c r="AU362" t="s">
        <v>273</v>
      </c>
      <c r="AV362" t="s">
        <v>86</v>
      </c>
      <c r="AW362" t="s">
        <v>70</v>
      </c>
      <c r="AX362" t="s">
        <v>71</v>
      </c>
      <c r="AY362" t="s">
        <v>220</v>
      </c>
      <c r="AZ362" t="s">
        <v>221</v>
      </c>
      <c r="BA362" t="s">
        <v>546</v>
      </c>
      <c r="BB362">
        <v>0</v>
      </c>
      <c r="BC362">
        <v>0</v>
      </c>
      <c r="BD362" t="s">
        <v>199</v>
      </c>
      <c r="BE362" t="s">
        <v>199</v>
      </c>
      <c r="BF362">
        <v>0</v>
      </c>
      <c r="BG362">
        <v>0</v>
      </c>
      <c r="BH362" t="s">
        <v>200</v>
      </c>
      <c r="BI362">
        <v>13</v>
      </c>
      <c r="BJ362">
        <v>6353228</v>
      </c>
      <c r="BK362" t="s">
        <v>201</v>
      </c>
      <c r="BL362" t="s">
        <v>190</v>
      </c>
    </row>
    <row r="363" spans="1:64" x14ac:dyDescent="0.3">
      <c r="A363">
        <v>269</v>
      </c>
      <c r="B363" t="s">
        <v>186</v>
      </c>
      <c r="C363">
        <v>3</v>
      </c>
      <c r="D363">
        <v>6353228</v>
      </c>
      <c r="E363" t="s">
        <v>545</v>
      </c>
      <c r="F363" t="s">
        <v>188</v>
      </c>
      <c r="G363">
        <v>10182149</v>
      </c>
      <c r="H363" s="35">
        <v>46146</v>
      </c>
      <c r="I363" s="35">
        <v>46146</v>
      </c>
      <c r="J363">
        <v>2026</v>
      </c>
      <c r="K363">
        <v>5</v>
      </c>
      <c r="L363" t="s">
        <v>189</v>
      </c>
      <c r="M363">
        <v>1</v>
      </c>
      <c r="N363" t="s">
        <v>190</v>
      </c>
      <c r="O363" t="s">
        <v>191</v>
      </c>
      <c r="P363" t="s">
        <v>199</v>
      </c>
      <c r="Q363" t="s">
        <v>199</v>
      </c>
      <c r="R363">
        <v>19</v>
      </c>
      <c r="S363">
        <v>4</v>
      </c>
      <c r="T363">
        <v>36908</v>
      </c>
      <c r="U363">
        <v>3</v>
      </c>
      <c r="V363" t="s">
        <v>215</v>
      </c>
      <c r="W363" t="s">
        <v>67</v>
      </c>
      <c r="X363" t="s">
        <v>28</v>
      </c>
      <c r="Y363" t="s">
        <v>30</v>
      </c>
      <c r="Z363" t="s">
        <v>30</v>
      </c>
      <c r="AA363">
        <v>11</v>
      </c>
      <c r="AB363">
        <v>800089</v>
      </c>
      <c r="AC363" t="s">
        <v>295</v>
      </c>
      <c r="AD363" t="s">
        <v>296</v>
      </c>
      <c r="AE363">
        <v>0.375</v>
      </c>
      <c r="AF363">
        <v>3</v>
      </c>
      <c r="AG363">
        <v>364.41</v>
      </c>
      <c r="AH363">
        <v>0</v>
      </c>
      <c r="AI363">
        <v>0</v>
      </c>
      <c r="AJ363">
        <v>0</v>
      </c>
      <c r="AK363">
        <v>196.78</v>
      </c>
      <c r="AL363">
        <v>1093.23</v>
      </c>
      <c r="AM363">
        <v>1290</v>
      </c>
      <c r="AN363">
        <v>199</v>
      </c>
      <c r="AO363" t="s">
        <v>218</v>
      </c>
      <c r="AP363" t="s">
        <v>219</v>
      </c>
      <c r="AQ363">
        <v>10</v>
      </c>
      <c r="AR363">
        <v>105</v>
      </c>
      <c r="AS363" t="s">
        <v>85</v>
      </c>
      <c r="AT363">
        <v>677001</v>
      </c>
      <c r="AU363" t="s">
        <v>273</v>
      </c>
      <c r="AV363" t="s">
        <v>86</v>
      </c>
      <c r="AW363" t="s">
        <v>70</v>
      </c>
      <c r="AX363" t="s">
        <v>71</v>
      </c>
      <c r="AY363" t="s">
        <v>220</v>
      </c>
      <c r="AZ363" t="s">
        <v>221</v>
      </c>
      <c r="BA363" t="s">
        <v>546</v>
      </c>
      <c r="BB363">
        <v>0</v>
      </c>
      <c r="BC363">
        <v>0</v>
      </c>
      <c r="BD363" t="s">
        <v>199</v>
      </c>
      <c r="BE363" t="s">
        <v>199</v>
      </c>
      <c r="BF363">
        <v>0</v>
      </c>
      <c r="BG363">
        <v>0</v>
      </c>
      <c r="BH363" t="s">
        <v>200</v>
      </c>
      <c r="BI363">
        <v>13</v>
      </c>
      <c r="BJ363">
        <v>6353228</v>
      </c>
      <c r="BK363" t="s">
        <v>201</v>
      </c>
      <c r="BL363" t="s">
        <v>190</v>
      </c>
    </row>
    <row r="364" spans="1:64" x14ac:dyDescent="0.3">
      <c r="A364">
        <v>269</v>
      </c>
      <c r="B364" t="s">
        <v>186</v>
      </c>
      <c r="C364">
        <v>3</v>
      </c>
      <c r="D364">
        <v>6353228</v>
      </c>
      <c r="E364" t="s">
        <v>545</v>
      </c>
      <c r="F364" t="s">
        <v>188</v>
      </c>
      <c r="G364">
        <v>10182149</v>
      </c>
      <c r="H364" s="35">
        <v>46146</v>
      </c>
      <c r="I364" s="35">
        <v>46146</v>
      </c>
      <c r="J364">
        <v>2026</v>
      </c>
      <c r="K364">
        <v>5</v>
      </c>
      <c r="L364" t="s">
        <v>189</v>
      </c>
      <c r="M364">
        <v>1</v>
      </c>
      <c r="N364" t="s">
        <v>190</v>
      </c>
      <c r="O364" t="s">
        <v>191</v>
      </c>
      <c r="P364" t="s">
        <v>199</v>
      </c>
      <c r="Q364" t="s">
        <v>199</v>
      </c>
      <c r="R364">
        <v>19</v>
      </c>
      <c r="S364">
        <v>4</v>
      </c>
      <c r="T364">
        <v>36908</v>
      </c>
      <c r="U364">
        <v>3</v>
      </c>
      <c r="V364" t="s">
        <v>215</v>
      </c>
      <c r="W364" t="s">
        <v>67</v>
      </c>
      <c r="X364" t="s">
        <v>28</v>
      </c>
      <c r="Y364" t="s">
        <v>30</v>
      </c>
      <c r="Z364" t="s">
        <v>30</v>
      </c>
      <c r="AA364">
        <v>11</v>
      </c>
      <c r="AB364">
        <v>800088</v>
      </c>
      <c r="AC364" t="s">
        <v>276</v>
      </c>
      <c r="AD364" t="s">
        <v>277</v>
      </c>
      <c r="AE364">
        <v>0.375</v>
      </c>
      <c r="AF364">
        <v>3</v>
      </c>
      <c r="AG364">
        <v>364.41</v>
      </c>
      <c r="AH364">
        <v>0</v>
      </c>
      <c r="AI364">
        <v>0</v>
      </c>
      <c r="AJ364">
        <v>0</v>
      </c>
      <c r="AK364">
        <v>196.78</v>
      </c>
      <c r="AL364">
        <v>1093.23</v>
      </c>
      <c r="AM364">
        <v>1290</v>
      </c>
      <c r="AN364">
        <v>199</v>
      </c>
      <c r="AO364" t="s">
        <v>218</v>
      </c>
      <c r="AP364" t="s">
        <v>219</v>
      </c>
      <c r="AQ364">
        <v>10</v>
      </c>
      <c r="AR364">
        <v>105</v>
      </c>
      <c r="AS364" t="s">
        <v>85</v>
      </c>
      <c r="AT364">
        <v>677001</v>
      </c>
      <c r="AU364" t="s">
        <v>273</v>
      </c>
      <c r="AV364" t="s">
        <v>86</v>
      </c>
      <c r="AW364" t="s">
        <v>70</v>
      </c>
      <c r="AX364" t="s">
        <v>71</v>
      </c>
      <c r="AY364" t="s">
        <v>220</v>
      </c>
      <c r="AZ364" t="s">
        <v>221</v>
      </c>
      <c r="BA364" t="s">
        <v>546</v>
      </c>
      <c r="BB364">
        <v>0</v>
      </c>
      <c r="BC364">
        <v>0</v>
      </c>
      <c r="BD364" t="s">
        <v>199</v>
      </c>
      <c r="BE364" t="s">
        <v>199</v>
      </c>
      <c r="BF364">
        <v>0</v>
      </c>
      <c r="BG364">
        <v>0</v>
      </c>
      <c r="BH364" t="s">
        <v>200</v>
      </c>
      <c r="BI364">
        <v>13</v>
      </c>
      <c r="BJ364">
        <v>6353228</v>
      </c>
      <c r="BK364" t="s">
        <v>201</v>
      </c>
      <c r="BL364" t="s">
        <v>190</v>
      </c>
    </row>
    <row r="365" spans="1:64" x14ac:dyDescent="0.3">
      <c r="A365">
        <v>269</v>
      </c>
      <c r="B365" t="s">
        <v>186</v>
      </c>
      <c r="C365">
        <v>3</v>
      </c>
      <c r="D365">
        <v>6353228</v>
      </c>
      <c r="E365" t="s">
        <v>545</v>
      </c>
      <c r="F365" t="s">
        <v>188</v>
      </c>
      <c r="G365">
        <v>10182149</v>
      </c>
      <c r="H365" s="35">
        <v>46146</v>
      </c>
      <c r="I365" s="35">
        <v>46146</v>
      </c>
      <c r="J365">
        <v>2026</v>
      </c>
      <c r="K365">
        <v>5</v>
      </c>
      <c r="L365" t="s">
        <v>189</v>
      </c>
      <c r="M365">
        <v>1</v>
      </c>
      <c r="N365" t="s">
        <v>203</v>
      </c>
      <c r="O365" t="s">
        <v>191</v>
      </c>
      <c r="P365" t="s">
        <v>199</v>
      </c>
      <c r="Q365" t="s">
        <v>199</v>
      </c>
      <c r="R365">
        <v>19</v>
      </c>
      <c r="S365">
        <v>4</v>
      </c>
      <c r="T365">
        <v>36908</v>
      </c>
      <c r="U365">
        <v>3</v>
      </c>
      <c r="V365" t="s">
        <v>215</v>
      </c>
      <c r="W365" t="s">
        <v>67</v>
      </c>
      <c r="X365" t="s">
        <v>28</v>
      </c>
      <c r="Y365" t="s">
        <v>30</v>
      </c>
      <c r="Z365" t="s">
        <v>30</v>
      </c>
      <c r="AA365">
        <v>11</v>
      </c>
      <c r="AB365">
        <v>800792</v>
      </c>
      <c r="AC365" t="s">
        <v>304</v>
      </c>
      <c r="AD365" t="s">
        <v>305</v>
      </c>
      <c r="AE365">
        <v>0.04</v>
      </c>
      <c r="AF365">
        <v>1</v>
      </c>
      <c r="AG365">
        <v>153.11000000000001</v>
      </c>
      <c r="AH365">
        <v>0</v>
      </c>
      <c r="AI365">
        <v>0</v>
      </c>
      <c r="AJ365">
        <v>0</v>
      </c>
      <c r="AK365">
        <v>27.56</v>
      </c>
      <c r="AL365">
        <v>153.11000000000001</v>
      </c>
      <c r="AM365">
        <v>181</v>
      </c>
      <c r="AN365">
        <v>199</v>
      </c>
      <c r="AO365" t="s">
        <v>218</v>
      </c>
      <c r="AP365" t="s">
        <v>219</v>
      </c>
      <c r="AQ365">
        <v>10</v>
      </c>
      <c r="AR365">
        <v>207</v>
      </c>
      <c r="AS365" t="s">
        <v>81</v>
      </c>
      <c r="AT365">
        <v>65103</v>
      </c>
      <c r="AU365" t="s">
        <v>266</v>
      </c>
      <c r="AV365" t="s">
        <v>82</v>
      </c>
      <c r="AW365" t="s">
        <v>70</v>
      </c>
      <c r="AX365" t="s">
        <v>71</v>
      </c>
      <c r="AY365" t="s">
        <v>220</v>
      </c>
      <c r="AZ365" t="s">
        <v>221</v>
      </c>
      <c r="BA365" t="s">
        <v>546</v>
      </c>
      <c r="BB365">
        <v>0</v>
      </c>
      <c r="BC365">
        <v>0</v>
      </c>
      <c r="BD365" t="s">
        <v>199</v>
      </c>
      <c r="BE365" t="s">
        <v>199</v>
      </c>
      <c r="BF365">
        <v>0</v>
      </c>
      <c r="BG365">
        <v>0</v>
      </c>
      <c r="BH365" t="s">
        <v>200</v>
      </c>
      <c r="BI365">
        <v>13</v>
      </c>
      <c r="BJ365">
        <v>6353228</v>
      </c>
      <c r="BK365" t="s">
        <v>201</v>
      </c>
      <c r="BL365" t="s">
        <v>190</v>
      </c>
    </row>
    <row r="366" spans="1:64" x14ac:dyDescent="0.3">
      <c r="A366">
        <v>269</v>
      </c>
      <c r="B366" t="s">
        <v>186</v>
      </c>
      <c r="C366">
        <v>3</v>
      </c>
      <c r="D366">
        <v>6353228</v>
      </c>
      <c r="E366" t="s">
        <v>545</v>
      </c>
      <c r="F366" t="s">
        <v>188</v>
      </c>
      <c r="G366">
        <v>10182149</v>
      </c>
      <c r="H366" s="35">
        <v>46146</v>
      </c>
      <c r="I366" s="35">
        <v>46146</v>
      </c>
      <c r="J366">
        <v>2026</v>
      </c>
      <c r="K366">
        <v>5</v>
      </c>
      <c r="L366" t="s">
        <v>189</v>
      </c>
      <c r="M366">
        <v>1</v>
      </c>
      <c r="N366" t="s">
        <v>203</v>
      </c>
      <c r="O366" t="s">
        <v>191</v>
      </c>
      <c r="P366" t="s">
        <v>199</v>
      </c>
      <c r="Q366" t="s">
        <v>199</v>
      </c>
      <c r="R366">
        <v>19</v>
      </c>
      <c r="S366">
        <v>4</v>
      </c>
      <c r="T366">
        <v>36908</v>
      </c>
      <c r="U366">
        <v>3</v>
      </c>
      <c r="V366" t="s">
        <v>215</v>
      </c>
      <c r="W366" t="s">
        <v>67</v>
      </c>
      <c r="X366" t="s">
        <v>28</v>
      </c>
      <c r="Y366" t="s">
        <v>30</v>
      </c>
      <c r="Z366" t="s">
        <v>30</v>
      </c>
      <c r="AA366">
        <v>11</v>
      </c>
      <c r="AB366">
        <v>800793</v>
      </c>
      <c r="AC366" t="s">
        <v>361</v>
      </c>
      <c r="AD366" t="s">
        <v>362</v>
      </c>
      <c r="AE366">
        <v>0.04</v>
      </c>
      <c r="AF366">
        <v>1</v>
      </c>
      <c r="AG366">
        <v>153.11000000000001</v>
      </c>
      <c r="AH366">
        <v>0</v>
      </c>
      <c r="AI366">
        <v>0</v>
      </c>
      <c r="AJ366">
        <v>0</v>
      </c>
      <c r="AK366">
        <v>27.56</v>
      </c>
      <c r="AL366">
        <v>153.11000000000001</v>
      </c>
      <c r="AM366">
        <v>181</v>
      </c>
      <c r="AN366">
        <v>199</v>
      </c>
      <c r="AO366" t="s">
        <v>218</v>
      </c>
      <c r="AP366" t="s">
        <v>219</v>
      </c>
      <c r="AQ366">
        <v>10</v>
      </c>
      <c r="AR366">
        <v>207</v>
      </c>
      <c r="AS366" t="s">
        <v>81</v>
      </c>
      <c r="AT366">
        <v>65103</v>
      </c>
      <c r="AU366" t="s">
        <v>266</v>
      </c>
      <c r="AV366" t="s">
        <v>82</v>
      </c>
      <c r="AW366" t="s">
        <v>70</v>
      </c>
      <c r="AX366" t="s">
        <v>71</v>
      </c>
      <c r="AY366" t="s">
        <v>220</v>
      </c>
      <c r="AZ366" t="s">
        <v>221</v>
      </c>
      <c r="BA366" t="s">
        <v>546</v>
      </c>
      <c r="BB366">
        <v>0</v>
      </c>
      <c r="BC366">
        <v>0</v>
      </c>
      <c r="BD366" t="s">
        <v>199</v>
      </c>
      <c r="BE366" t="s">
        <v>199</v>
      </c>
      <c r="BF366">
        <v>0</v>
      </c>
      <c r="BG366">
        <v>0</v>
      </c>
      <c r="BH366" t="s">
        <v>200</v>
      </c>
      <c r="BI366">
        <v>13</v>
      </c>
      <c r="BJ366">
        <v>6353228</v>
      </c>
      <c r="BK366" t="s">
        <v>201</v>
      </c>
      <c r="BL366" t="s">
        <v>190</v>
      </c>
    </row>
    <row r="367" spans="1:64" x14ac:dyDescent="0.3">
      <c r="A367">
        <v>269</v>
      </c>
      <c r="B367" t="s">
        <v>186</v>
      </c>
      <c r="C367">
        <v>3</v>
      </c>
      <c r="D367">
        <v>6353228</v>
      </c>
      <c r="E367" t="s">
        <v>545</v>
      </c>
      <c r="F367" t="s">
        <v>188</v>
      </c>
      <c r="G367">
        <v>10182149</v>
      </c>
      <c r="H367" s="35">
        <v>46146</v>
      </c>
      <c r="I367" s="35">
        <v>46146</v>
      </c>
      <c r="J367">
        <v>2026</v>
      </c>
      <c r="K367">
        <v>5</v>
      </c>
      <c r="L367" t="s">
        <v>189</v>
      </c>
      <c r="M367">
        <v>1</v>
      </c>
      <c r="N367" t="s">
        <v>203</v>
      </c>
      <c r="O367" t="s">
        <v>191</v>
      </c>
      <c r="P367" t="s">
        <v>199</v>
      </c>
      <c r="Q367" t="s">
        <v>199</v>
      </c>
      <c r="R367">
        <v>19</v>
      </c>
      <c r="S367">
        <v>4</v>
      </c>
      <c r="T367">
        <v>36908</v>
      </c>
      <c r="U367">
        <v>3</v>
      </c>
      <c r="V367" t="s">
        <v>215</v>
      </c>
      <c r="W367" t="s">
        <v>67</v>
      </c>
      <c r="X367" t="s">
        <v>28</v>
      </c>
      <c r="Y367" t="s">
        <v>30</v>
      </c>
      <c r="Z367" t="s">
        <v>30</v>
      </c>
      <c r="AA367">
        <v>11</v>
      </c>
      <c r="AB367">
        <v>930153</v>
      </c>
      <c r="AC367" t="s">
        <v>365</v>
      </c>
      <c r="AD367" t="s">
        <v>366</v>
      </c>
      <c r="AE367">
        <v>0.04</v>
      </c>
      <c r="AF367">
        <v>1</v>
      </c>
      <c r="AG367">
        <v>153.11000000000001</v>
      </c>
      <c r="AH367">
        <v>0</v>
      </c>
      <c r="AI367">
        <v>0</v>
      </c>
      <c r="AJ367">
        <v>0</v>
      </c>
      <c r="AK367">
        <v>27.56</v>
      </c>
      <c r="AL367">
        <v>153.11000000000001</v>
      </c>
      <c r="AM367">
        <v>181</v>
      </c>
      <c r="AN367">
        <v>199</v>
      </c>
      <c r="AO367" t="s">
        <v>218</v>
      </c>
      <c r="AP367" t="s">
        <v>219</v>
      </c>
      <c r="AQ367">
        <v>10</v>
      </c>
      <c r="AR367">
        <v>207</v>
      </c>
      <c r="AS367" t="s">
        <v>81</v>
      </c>
      <c r="AT367">
        <v>65103</v>
      </c>
      <c r="AU367" t="s">
        <v>266</v>
      </c>
      <c r="AV367" t="s">
        <v>82</v>
      </c>
      <c r="AW367" t="s">
        <v>70</v>
      </c>
      <c r="AX367" t="s">
        <v>71</v>
      </c>
      <c r="AY367" t="s">
        <v>220</v>
      </c>
      <c r="AZ367" t="s">
        <v>221</v>
      </c>
      <c r="BA367" t="s">
        <v>546</v>
      </c>
      <c r="BB367">
        <v>0</v>
      </c>
      <c r="BC367">
        <v>0</v>
      </c>
      <c r="BD367" t="s">
        <v>199</v>
      </c>
      <c r="BE367" t="s">
        <v>199</v>
      </c>
      <c r="BF367">
        <v>0</v>
      </c>
      <c r="BG367">
        <v>0</v>
      </c>
      <c r="BH367" t="s">
        <v>200</v>
      </c>
      <c r="BI367">
        <v>13</v>
      </c>
      <c r="BJ367">
        <v>6353228</v>
      </c>
      <c r="BK367" t="s">
        <v>201</v>
      </c>
      <c r="BL367" t="s">
        <v>190</v>
      </c>
    </row>
    <row r="368" spans="1:64" x14ac:dyDescent="0.3">
      <c r="A368">
        <v>269</v>
      </c>
      <c r="B368" t="s">
        <v>186</v>
      </c>
      <c r="C368">
        <v>3</v>
      </c>
      <c r="D368">
        <v>6353228</v>
      </c>
      <c r="E368" t="s">
        <v>545</v>
      </c>
      <c r="F368" t="s">
        <v>188</v>
      </c>
      <c r="G368">
        <v>10182149</v>
      </c>
      <c r="H368" s="35">
        <v>46146</v>
      </c>
      <c r="I368" s="35">
        <v>46146</v>
      </c>
      <c r="J368">
        <v>2026</v>
      </c>
      <c r="K368">
        <v>5</v>
      </c>
      <c r="L368" t="s">
        <v>189</v>
      </c>
      <c r="M368">
        <v>1</v>
      </c>
      <c r="N368" t="s">
        <v>190</v>
      </c>
      <c r="O368" t="s">
        <v>191</v>
      </c>
      <c r="P368" t="s">
        <v>199</v>
      </c>
      <c r="Q368" t="s">
        <v>199</v>
      </c>
      <c r="R368">
        <v>19</v>
      </c>
      <c r="S368">
        <v>4</v>
      </c>
      <c r="T368">
        <v>36908</v>
      </c>
      <c r="U368">
        <v>3</v>
      </c>
      <c r="V368" t="s">
        <v>215</v>
      </c>
      <c r="W368" t="s">
        <v>67</v>
      </c>
      <c r="X368" t="s">
        <v>28</v>
      </c>
      <c r="Y368" t="s">
        <v>30</v>
      </c>
      <c r="Z368" t="s">
        <v>30</v>
      </c>
      <c r="AA368">
        <v>11</v>
      </c>
      <c r="AB368">
        <v>201001</v>
      </c>
      <c r="AC368" t="s">
        <v>248</v>
      </c>
      <c r="AD368" t="s">
        <v>249</v>
      </c>
      <c r="AE368">
        <v>2</v>
      </c>
      <c r="AF368">
        <v>2</v>
      </c>
      <c r="AG368">
        <v>221.67</v>
      </c>
      <c r="AH368">
        <v>0</v>
      </c>
      <c r="AI368">
        <v>0</v>
      </c>
      <c r="AJ368">
        <v>0</v>
      </c>
      <c r="AK368">
        <v>79.8</v>
      </c>
      <c r="AL368">
        <v>443.34</v>
      </c>
      <c r="AM368">
        <v>523</v>
      </c>
      <c r="AN368">
        <v>199</v>
      </c>
      <c r="AO368" t="s">
        <v>218</v>
      </c>
      <c r="AP368" t="s">
        <v>219</v>
      </c>
      <c r="AQ368">
        <v>10</v>
      </c>
      <c r="AR368">
        <v>113</v>
      </c>
      <c r="AS368" t="s">
        <v>89</v>
      </c>
      <c r="AT368">
        <v>82101</v>
      </c>
      <c r="AU368" t="s">
        <v>252</v>
      </c>
      <c r="AV368" t="s">
        <v>80</v>
      </c>
      <c r="AW368" t="s">
        <v>70</v>
      </c>
      <c r="AX368" t="s">
        <v>71</v>
      </c>
      <c r="AY368" t="s">
        <v>220</v>
      </c>
      <c r="AZ368" t="s">
        <v>221</v>
      </c>
      <c r="BA368" t="s">
        <v>546</v>
      </c>
      <c r="BB368">
        <v>0</v>
      </c>
      <c r="BC368">
        <v>0</v>
      </c>
      <c r="BD368" t="s">
        <v>199</v>
      </c>
      <c r="BE368" t="s">
        <v>199</v>
      </c>
      <c r="BF368">
        <v>0</v>
      </c>
      <c r="BG368">
        <v>0</v>
      </c>
      <c r="BH368" t="s">
        <v>200</v>
      </c>
      <c r="BI368">
        <v>13</v>
      </c>
      <c r="BJ368">
        <v>6353228</v>
      </c>
      <c r="BK368" t="s">
        <v>201</v>
      </c>
      <c r="BL368" t="s">
        <v>190</v>
      </c>
    </row>
    <row r="369" spans="1:64" x14ac:dyDescent="0.3">
      <c r="A369">
        <v>289</v>
      </c>
      <c r="B369" t="s">
        <v>186</v>
      </c>
      <c r="C369">
        <v>3</v>
      </c>
      <c r="D369">
        <v>6357282</v>
      </c>
      <c r="E369" t="s">
        <v>379</v>
      </c>
      <c r="F369" t="s">
        <v>188</v>
      </c>
      <c r="G369">
        <v>10186203</v>
      </c>
      <c r="H369" s="35">
        <v>46149</v>
      </c>
      <c r="I369" s="35">
        <v>46149</v>
      </c>
      <c r="J369">
        <v>2026</v>
      </c>
      <c r="K369">
        <v>5</v>
      </c>
      <c r="L369" t="s">
        <v>189</v>
      </c>
      <c r="M369">
        <v>1</v>
      </c>
      <c r="N369" t="s">
        <v>190</v>
      </c>
      <c r="O369" t="s">
        <v>191</v>
      </c>
      <c r="P369" t="s">
        <v>199</v>
      </c>
      <c r="Q369" t="s">
        <v>199</v>
      </c>
      <c r="R369">
        <v>19</v>
      </c>
      <c r="S369">
        <v>7</v>
      </c>
      <c r="T369">
        <v>37594</v>
      </c>
      <c r="U369">
        <v>3</v>
      </c>
      <c r="V369" t="s">
        <v>234</v>
      </c>
      <c r="W369" t="s">
        <v>47</v>
      </c>
      <c r="X369" t="s">
        <v>19</v>
      </c>
      <c r="Y369" t="s">
        <v>30</v>
      </c>
      <c r="Z369" t="s">
        <v>30</v>
      </c>
      <c r="AA369">
        <v>72</v>
      </c>
      <c r="AB369">
        <v>621004</v>
      </c>
      <c r="AC369" t="s">
        <v>235</v>
      </c>
      <c r="AD369" t="s">
        <v>236</v>
      </c>
      <c r="AE369">
        <v>1</v>
      </c>
      <c r="AF369">
        <v>12</v>
      </c>
      <c r="AG369">
        <v>262.93</v>
      </c>
      <c r="AH369">
        <v>0</v>
      </c>
      <c r="AI369">
        <v>0</v>
      </c>
      <c r="AJ369">
        <v>0</v>
      </c>
      <c r="AK369">
        <v>567.92999999999995</v>
      </c>
      <c r="AL369">
        <v>3155.16</v>
      </c>
      <c r="AM369">
        <v>3723</v>
      </c>
      <c r="AN369">
        <v>72</v>
      </c>
      <c r="AO369" t="s">
        <v>49</v>
      </c>
      <c r="AP369" t="s">
        <v>53</v>
      </c>
      <c r="AQ369">
        <v>10</v>
      </c>
      <c r="AR369">
        <v>138</v>
      </c>
      <c r="AS369" t="s">
        <v>90</v>
      </c>
      <c r="AT369">
        <v>73101</v>
      </c>
      <c r="AU369" t="s">
        <v>211</v>
      </c>
      <c r="AV369" t="s">
        <v>91</v>
      </c>
      <c r="AW369" t="s">
        <v>50</v>
      </c>
      <c r="AX369" t="s">
        <v>51</v>
      </c>
      <c r="AY369" t="s">
        <v>52</v>
      </c>
      <c r="AZ369" t="s">
        <v>240</v>
      </c>
      <c r="BA369" t="s">
        <v>547</v>
      </c>
      <c r="BB369">
        <v>0</v>
      </c>
      <c r="BC369">
        <v>0</v>
      </c>
      <c r="BD369" t="s">
        <v>199</v>
      </c>
      <c r="BE369" t="s">
        <v>199</v>
      </c>
      <c r="BF369">
        <v>0</v>
      </c>
      <c r="BG369">
        <v>0</v>
      </c>
      <c r="BH369" t="s">
        <v>200</v>
      </c>
      <c r="BI369">
        <v>13</v>
      </c>
      <c r="BJ369">
        <v>6357282</v>
      </c>
      <c r="BK369" t="s">
        <v>201</v>
      </c>
      <c r="BL369" t="s">
        <v>190</v>
      </c>
    </row>
    <row r="370" spans="1:64" x14ac:dyDescent="0.3">
      <c r="A370">
        <v>289</v>
      </c>
      <c r="B370" t="s">
        <v>186</v>
      </c>
      <c r="C370">
        <v>3</v>
      </c>
      <c r="D370">
        <v>6357282</v>
      </c>
      <c r="E370" t="s">
        <v>379</v>
      </c>
      <c r="F370" t="s">
        <v>188</v>
      </c>
      <c r="G370">
        <v>10186203</v>
      </c>
      <c r="H370" s="35">
        <v>46149</v>
      </c>
      <c r="I370" s="35">
        <v>46149</v>
      </c>
      <c r="J370">
        <v>2026</v>
      </c>
      <c r="K370">
        <v>5</v>
      </c>
      <c r="L370" t="s">
        <v>189</v>
      </c>
      <c r="M370">
        <v>1</v>
      </c>
      <c r="N370" t="s">
        <v>190</v>
      </c>
      <c r="O370" t="s">
        <v>191</v>
      </c>
      <c r="P370" t="s">
        <v>199</v>
      </c>
      <c r="Q370" t="s">
        <v>199</v>
      </c>
      <c r="R370">
        <v>19</v>
      </c>
      <c r="S370">
        <v>7</v>
      </c>
      <c r="T370">
        <v>37594</v>
      </c>
      <c r="U370">
        <v>3</v>
      </c>
      <c r="V370" t="s">
        <v>234</v>
      </c>
      <c r="W370" t="s">
        <v>47</v>
      </c>
      <c r="X370" t="s">
        <v>19</v>
      </c>
      <c r="Y370" t="s">
        <v>30</v>
      </c>
      <c r="Z370" t="s">
        <v>30</v>
      </c>
      <c r="AA370">
        <v>72</v>
      </c>
      <c r="AB370">
        <v>621045</v>
      </c>
      <c r="AC370" t="s">
        <v>209</v>
      </c>
      <c r="AD370" t="s">
        <v>210</v>
      </c>
      <c r="AE370">
        <v>1</v>
      </c>
      <c r="AF370">
        <v>12</v>
      </c>
      <c r="AG370">
        <v>160.33000000000001</v>
      </c>
      <c r="AH370">
        <v>0</v>
      </c>
      <c r="AI370">
        <v>0</v>
      </c>
      <c r="AJ370">
        <v>0</v>
      </c>
      <c r="AK370">
        <v>346.31</v>
      </c>
      <c r="AL370">
        <v>1923.96</v>
      </c>
      <c r="AM370">
        <v>2270</v>
      </c>
      <c r="AN370">
        <v>72</v>
      </c>
      <c r="AO370" t="s">
        <v>49</v>
      </c>
      <c r="AP370" t="s">
        <v>53</v>
      </c>
      <c r="AQ370">
        <v>10</v>
      </c>
      <c r="AR370">
        <v>138</v>
      </c>
      <c r="AS370" t="s">
        <v>90</v>
      </c>
      <c r="AT370">
        <v>73101</v>
      </c>
      <c r="AU370" t="s">
        <v>211</v>
      </c>
      <c r="AV370" t="s">
        <v>91</v>
      </c>
      <c r="AW370" t="s">
        <v>50</v>
      </c>
      <c r="AX370" t="s">
        <v>51</v>
      </c>
      <c r="AY370" t="s">
        <v>52</v>
      </c>
      <c r="AZ370" t="s">
        <v>240</v>
      </c>
      <c r="BA370" t="s">
        <v>547</v>
      </c>
      <c r="BB370">
        <v>0</v>
      </c>
      <c r="BC370">
        <v>0</v>
      </c>
      <c r="BD370" t="s">
        <v>199</v>
      </c>
      <c r="BE370" t="s">
        <v>199</v>
      </c>
      <c r="BF370">
        <v>0</v>
      </c>
      <c r="BG370">
        <v>0</v>
      </c>
      <c r="BH370" t="s">
        <v>200</v>
      </c>
      <c r="BI370">
        <v>13</v>
      </c>
      <c r="BJ370">
        <v>6357282</v>
      </c>
      <c r="BK370" t="s">
        <v>201</v>
      </c>
      <c r="BL370" t="s">
        <v>190</v>
      </c>
    </row>
    <row r="371" spans="1:64" x14ac:dyDescent="0.3">
      <c r="A371">
        <v>289</v>
      </c>
      <c r="B371" t="s">
        <v>186</v>
      </c>
      <c r="C371">
        <v>3</v>
      </c>
      <c r="D371">
        <v>6357282</v>
      </c>
      <c r="E371" t="s">
        <v>379</v>
      </c>
      <c r="F371" t="s">
        <v>188</v>
      </c>
      <c r="G371">
        <v>10186203</v>
      </c>
      <c r="H371" s="35">
        <v>46149</v>
      </c>
      <c r="I371" s="35">
        <v>46149</v>
      </c>
      <c r="J371">
        <v>2026</v>
      </c>
      <c r="K371">
        <v>5</v>
      </c>
      <c r="L371" t="s">
        <v>189</v>
      </c>
      <c r="M371">
        <v>1</v>
      </c>
      <c r="N371" t="s">
        <v>190</v>
      </c>
      <c r="O371" t="s">
        <v>191</v>
      </c>
      <c r="P371" t="s">
        <v>199</v>
      </c>
      <c r="Q371" t="s">
        <v>199</v>
      </c>
      <c r="R371">
        <v>19</v>
      </c>
      <c r="S371">
        <v>7</v>
      </c>
      <c r="T371">
        <v>37594</v>
      </c>
      <c r="U371">
        <v>3</v>
      </c>
      <c r="V371" t="s">
        <v>234</v>
      </c>
      <c r="W371" t="s">
        <v>47</v>
      </c>
      <c r="X371" t="s">
        <v>19</v>
      </c>
      <c r="Y371" t="s">
        <v>30</v>
      </c>
      <c r="Z371" t="s">
        <v>30</v>
      </c>
      <c r="AA371">
        <v>72</v>
      </c>
      <c r="AB371">
        <v>201001</v>
      </c>
      <c r="AC371" t="s">
        <v>248</v>
      </c>
      <c r="AD371" t="s">
        <v>249</v>
      </c>
      <c r="AE371">
        <v>26</v>
      </c>
      <c r="AF371">
        <v>26</v>
      </c>
      <c r="AG371">
        <v>210.59</v>
      </c>
      <c r="AH371">
        <v>0</v>
      </c>
      <c r="AI371">
        <v>0</v>
      </c>
      <c r="AJ371">
        <v>0</v>
      </c>
      <c r="AK371">
        <v>985.56</v>
      </c>
      <c r="AL371">
        <v>5475.34</v>
      </c>
      <c r="AM371">
        <v>6461</v>
      </c>
      <c r="AN371">
        <v>72</v>
      </c>
      <c r="AO371" t="s">
        <v>49</v>
      </c>
      <c r="AP371" t="s">
        <v>53</v>
      </c>
      <c r="AQ371">
        <v>10</v>
      </c>
      <c r="AR371">
        <v>113</v>
      </c>
      <c r="AS371" t="s">
        <v>89</v>
      </c>
      <c r="AT371">
        <v>82101</v>
      </c>
      <c r="AU371" t="s">
        <v>252</v>
      </c>
      <c r="AV371" t="s">
        <v>80</v>
      </c>
      <c r="AW371" t="s">
        <v>50</v>
      </c>
      <c r="AX371" t="s">
        <v>51</v>
      </c>
      <c r="AY371" t="s">
        <v>52</v>
      </c>
      <c r="AZ371" t="s">
        <v>240</v>
      </c>
      <c r="BA371" t="s">
        <v>547</v>
      </c>
      <c r="BB371">
        <v>0</v>
      </c>
      <c r="BC371">
        <v>0</v>
      </c>
      <c r="BD371" t="s">
        <v>199</v>
      </c>
      <c r="BE371" t="s">
        <v>199</v>
      </c>
      <c r="BF371">
        <v>0</v>
      </c>
      <c r="BG371">
        <v>0</v>
      </c>
      <c r="BH371" t="s">
        <v>200</v>
      </c>
      <c r="BI371">
        <v>13</v>
      </c>
      <c r="BJ371">
        <v>6357282</v>
      </c>
      <c r="BK371" t="s">
        <v>201</v>
      </c>
      <c r="BL371" t="s">
        <v>190</v>
      </c>
    </row>
    <row r="372" spans="1:64" x14ac:dyDescent="0.3">
      <c r="A372">
        <v>125</v>
      </c>
      <c r="B372" t="s">
        <v>186</v>
      </c>
      <c r="C372">
        <v>3</v>
      </c>
      <c r="D372">
        <v>6357661</v>
      </c>
      <c r="E372" t="s">
        <v>213</v>
      </c>
      <c r="F372" t="s">
        <v>188</v>
      </c>
      <c r="G372">
        <v>10186582</v>
      </c>
      <c r="H372" s="35">
        <v>46149</v>
      </c>
      <c r="I372" s="35">
        <v>46149</v>
      </c>
      <c r="J372">
        <v>2026</v>
      </c>
      <c r="K372">
        <v>5</v>
      </c>
      <c r="L372" t="s">
        <v>189</v>
      </c>
      <c r="M372">
        <v>1</v>
      </c>
      <c r="N372" t="s">
        <v>190</v>
      </c>
      <c r="O372" t="s">
        <v>191</v>
      </c>
      <c r="P372" t="s">
        <v>199</v>
      </c>
      <c r="Q372" t="s">
        <v>199</v>
      </c>
      <c r="R372">
        <v>19</v>
      </c>
      <c r="S372">
        <v>7</v>
      </c>
      <c r="T372">
        <v>36908</v>
      </c>
      <c r="U372">
        <v>3</v>
      </c>
      <c r="V372" t="s">
        <v>215</v>
      </c>
      <c r="W372" t="s">
        <v>67</v>
      </c>
      <c r="X372" t="s">
        <v>28</v>
      </c>
      <c r="Y372" t="s">
        <v>30</v>
      </c>
      <c r="Z372" t="s">
        <v>30</v>
      </c>
      <c r="AA372">
        <v>11</v>
      </c>
      <c r="AB372">
        <v>101038</v>
      </c>
      <c r="AC372" t="s">
        <v>271</v>
      </c>
      <c r="AD372" t="s">
        <v>272</v>
      </c>
      <c r="AE372">
        <v>0.5</v>
      </c>
      <c r="AF372">
        <v>5</v>
      </c>
      <c r="AG372">
        <v>364.41</v>
      </c>
      <c r="AH372">
        <v>0</v>
      </c>
      <c r="AI372">
        <v>0</v>
      </c>
      <c r="AJ372">
        <v>0</v>
      </c>
      <c r="AK372">
        <v>327.97</v>
      </c>
      <c r="AL372">
        <v>1822.05</v>
      </c>
      <c r="AM372">
        <v>2150</v>
      </c>
      <c r="AN372">
        <v>199</v>
      </c>
      <c r="AO372" t="s">
        <v>218</v>
      </c>
      <c r="AP372" t="s">
        <v>219</v>
      </c>
      <c r="AQ372">
        <v>10</v>
      </c>
      <c r="AR372">
        <v>105</v>
      </c>
      <c r="AS372" t="s">
        <v>85</v>
      </c>
      <c r="AT372">
        <v>677001</v>
      </c>
      <c r="AU372" t="s">
        <v>273</v>
      </c>
      <c r="AV372" t="s">
        <v>86</v>
      </c>
      <c r="AW372" t="s">
        <v>70</v>
      </c>
      <c r="AX372" t="s">
        <v>71</v>
      </c>
      <c r="AY372" t="s">
        <v>220</v>
      </c>
      <c r="AZ372" t="s">
        <v>221</v>
      </c>
      <c r="BA372" t="s">
        <v>548</v>
      </c>
      <c r="BB372">
        <v>0</v>
      </c>
      <c r="BC372">
        <v>0</v>
      </c>
      <c r="BD372" t="s">
        <v>199</v>
      </c>
      <c r="BE372" t="s">
        <v>199</v>
      </c>
      <c r="BF372">
        <v>0</v>
      </c>
      <c r="BG372">
        <v>0</v>
      </c>
      <c r="BH372" t="s">
        <v>200</v>
      </c>
      <c r="BI372">
        <v>13</v>
      </c>
      <c r="BJ372">
        <v>6357661</v>
      </c>
      <c r="BK372" t="s">
        <v>201</v>
      </c>
      <c r="BL372" t="s">
        <v>190</v>
      </c>
    </row>
    <row r="373" spans="1:64" x14ac:dyDescent="0.3">
      <c r="A373">
        <v>125</v>
      </c>
      <c r="B373" t="s">
        <v>186</v>
      </c>
      <c r="C373">
        <v>3</v>
      </c>
      <c r="D373">
        <v>6357661</v>
      </c>
      <c r="E373" t="s">
        <v>213</v>
      </c>
      <c r="F373" t="s">
        <v>188</v>
      </c>
      <c r="G373">
        <v>10186582</v>
      </c>
      <c r="H373" s="35">
        <v>46149</v>
      </c>
      <c r="I373" s="35">
        <v>46149</v>
      </c>
      <c r="J373">
        <v>2026</v>
      </c>
      <c r="K373">
        <v>5</v>
      </c>
      <c r="L373" t="s">
        <v>189</v>
      </c>
      <c r="M373">
        <v>1</v>
      </c>
      <c r="N373" t="s">
        <v>190</v>
      </c>
      <c r="O373" t="s">
        <v>191</v>
      </c>
      <c r="P373" t="s">
        <v>199</v>
      </c>
      <c r="Q373" t="s">
        <v>199</v>
      </c>
      <c r="R373">
        <v>19</v>
      </c>
      <c r="S373">
        <v>7</v>
      </c>
      <c r="T373">
        <v>36908</v>
      </c>
      <c r="U373">
        <v>3</v>
      </c>
      <c r="V373" t="s">
        <v>215</v>
      </c>
      <c r="W373" t="s">
        <v>67</v>
      </c>
      <c r="X373" t="s">
        <v>28</v>
      </c>
      <c r="Y373" t="s">
        <v>30</v>
      </c>
      <c r="Z373" t="s">
        <v>30</v>
      </c>
      <c r="AA373">
        <v>11</v>
      </c>
      <c r="AB373">
        <v>800089</v>
      </c>
      <c r="AC373" t="s">
        <v>295</v>
      </c>
      <c r="AD373" t="s">
        <v>296</v>
      </c>
      <c r="AE373">
        <v>0.5</v>
      </c>
      <c r="AF373">
        <v>4</v>
      </c>
      <c r="AG373">
        <v>364.41</v>
      </c>
      <c r="AH373">
        <v>0</v>
      </c>
      <c r="AI373">
        <v>0</v>
      </c>
      <c r="AJ373">
        <v>0</v>
      </c>
      <c r="AK373">
        <v>262.38</v>
      </c>
      <c r="AL373">
        <v>1457.64</v>
      </c>
      <c r="AM373">
        <v>1720</v>
      </c>
      <c r="AN373">
        <v>199</v>
      </c>
      <c r="AO373" t="s">
        <v>218</v>
      </c>
      <c r="AP373" t="s">
        <v>219</v>
      </c>
      <c r="AQ373">
        <v>10</v>
      </c>
      <c r="AR373">
        <v>105</v>
      </c>
      <c r="AS373" t="s">
        <v>85</v>
      </c>
      <c r="AT373">
        <v>677001</v>
      </c>
      <c r="AU373" t="s">
        <v>273</v>
      </c>
      <c r="AV373" t="s">
        <v>86</v>
      </c>
      <c r="AW373" t="s">
        <v>70</v>
      </c>
      <c r="AX373" t="s">
        <v>71</v>
      </c>
      <c r="AY373" t="s">
        <v>220</v>
      </c>
      <c r="AZ373" t="s">
        <v>221</v>
      </c>
      <c r="BA373" t="s">
        <v>548</v>
      </c>
      <c r="BB373">
        <v>0</v>
      </c>
      <c r="BC373">
        <v>0</v>
      </c>
      <c r="BD373" t="s">
        <v>199</v>
      </c>
      <c r="BE373" t="s">
        <v>199</v>
      </c>
      <c r="BF373">
        <v>0</v>
      </c>
      <c r="BG373">
        <v>0</v>
      </c>
      <c r="BH373" t="s">
        <v>200</v>
      </c>
      <c r="BI373">
        <v>13</v>
      </c>
      <c r="BJ373">
        <v>6357661</v>
      </c>
      <c r="BK373" t="s">
        <v>201</v>
      </c>
      <c r="BL373" t="s">
        <v>190</v>
      </c>
    </row>
    <row r="374" spans="1:64" x14ac:dyDescent="0.3">
      <c r="A374">
        <v>223</v>
      </c>
      <c r="B374" t="s">
        <v>186</v>
      </c>
      <c r="C374">
        <v>3</v>
      </c>
      <c r="D374">
        <v>6357729</v>
      </c>
      <c r="E374" t="s">
        <v>202</v>
      </c>
      <c r="F374" t="s">
        <v>188</v>
      </c>
      <c r="G374">
        <v>10186650</v>
      </c>
      <c r="H374" s="35">
        <v>46149</v>
      </c>
      <c r="I374" s="35">
        <v>46149</v>
      </c>
      <c r="J374">
        <v>2026</v>
      </c>
      <c r="K374">
        <v>5</v>
      </c>
      <c r="L374" t="s">
        <v>189</v>
      </c>
      <c r="M374">
        <v>1</v>
      </c>
      <c r="N374" t="s">
        <v>190</v>
      </c>
      <c r="O374" t="s">
        <v>191</v>
      </c>
      <c r="P374" t="s">
        <v>199</v>
      </c>
      <c r="Q374" t="s">
        <v>199</v>
      </c>
      <c r="R374">
        <v>19</v>
      </c>
      <c r="S374">
        <v>7</v>
      </c>
      <c r="T374">
        <v>19291</v>
      </c>
      <c r="U374">
        <v>3</v>
      </c>
      <c r="V374" t="s">
        <v>261</v>
      </c>
      <c r="W374" t="s">
        <v>35</v>
      </c>
      <c r="X374" t="s">
        <v>19</v>
      </c>
      <c r="Y374" t="s">
        <v>30</v>
      </c>
      <c r="Z374" t="s">
        <v>30</v>
      </c>
      <c r="AA374">
        <v>8</v>
      </c>
      <c r="AB374">
        <v>800088</v>
      </c>
      <c r="AC374" t="s">
        <v>276</v>
      </c>
      <c r="AD374" t="s">
        <v>277</v>
      </c>
      <c r="AE374">
        <v>1</v>
      </c>
      <c r="AF374">
        <v>8</v>
      </c>
      <c r="AG374">
        <v>364.41</v>
      </c>
      <c r="AH374">
        <v>0</v>
      </c>
      <c r="AI374">
        <v>0</v>
      </c>
      <c r="AJ374">
        <v>0</v>
      </c>
      <c r="AK374">
        <v>524.75</v>
      </c>
      <c r="AL374">
        <v>2915.28</v>
      </c>
      <c r="AM374">
        <v>3440</v>
      </c>
      <c r="AN374">
        <v>8</v>
      </c>
      <c r="AO374" t="s">
        <v>37</v>
      </c>
      <c r="AP374" t="s">
        <v>39</v>
      </c>
      <c r="AQ374">
        <v>10</v>
      </c>
      <c r="AR374">
        <v>105</v>
      </c>
      <c r="AS374" t="s">
        <v>85</v>
      </c>
      <c r="AT374">
        <v>677001</v>
      </c>
      <c r="AU374" t="s">
        <v>273</v>
      </c>
      <c r="AV374" t="s">
        <v>86</v>
      </c>
      <c r="AW374" t="s">
        <v>23</v>
      </c>
      <c r="AX374" t="s">
        <v>24</v>
      </c>
      <c r="AY374" t="s">
        <v>38</v>
      </c>
      <c r="AZ374" t="s">
        <v>197</v>
      </c>
      <c r="BA374" t="s">
        <v>549</v>
      </c>
      <c r="BB374">
        <v>0</v>
      </c>
      <c r="BC374">
        <v>0</v>
      </c>
      <c r="BD374" t="s">
        <v>199</v>
      </c>
      <c r="BE374" t="s">
        <v>199</v>
      </c>
      <c r="BF374">
        <v>0</v>
      </c>
      <c r="BG374">
        <v>0</v>
      </c>
      <c r="BH374" t="s">
        <v>200</v>
      </c>
      <c r="BI374">
        <v>13</v>
      </c>
      <c r="BJ374">
        <v>6357729</v>
      </c>
      <c r="BK374" t="s">
        <v>201</v>
      </c>
      <c r="BL374" t="s">
        <v>190</v>
      </c>
    </row>
    <row r="375" spans="1:64" x14ac:dyDescent="0.3">
      <c r="A375">
        <v>254</v>
      </c>
      <c r="B375" t="s">
        <v>186</v>
      </c>
      <c r="C375">
        <v>3</v>
      </c>
      <c r="D375">
        <v>6359281</v>
      </c>
      <c r="E375" t="s">
        <v>297</v>
      </c>
      <c r="F375" t="s">
        <v>188</v>
      </c>
      <c r="G375">
        <v>10188202</v>
      </c>
      <c r="H375" s="35">
        <v>46150</v>
      </c>
      <c r="I375" s="35">
        <v>46150</v>
      </c>
      <c r="J375">
        <v>2026</v>
      </c>
      <c r="K375">
        <v>5</v>
      </c>
      <c r="L375" t="s">
        <v>189</v>
      </c>
      <c r="M375">
        <v>1</v>
      </c>
      <c r="N375" t="s">
        <v>190</v>
      </c>
      <c r="O375" t="s">
        <v>191</v>
      </c>
      <c r="P375" t="s">
        <v>199</v>
      </c>
      <c r="Q375" t="s">
        <v>199</v>
      </c>
      <c r="R375">
        <v>19</v>
      </c>
      <c r="S375">
        <v>8</v>
      </c>
      <c r="T375">
        <v>5474</v>
      </c>
      <c r="U375">
        <v>3</v>
      </c>
      <c r="V375" t="s">
        <v>298</v>
      </c>
      <c r="W375" t="s">
        <v>54</v>
      </c>
      <c r="X375" t="s">
        <v>19</v>
      </c>
      <c r="Y375" t="s">
        <v>55</v>
      </c>
      <c r="Z375" t="s">
        <v>56</v>
      </c>
      <c r="AA375">
        <v>70</v>
      </c>
      <c r="AB375">
        <v>101038</v>
      </c>
      <c r="AC375" t="s">
        <v>271</v>
      </c>
      <c r="AD375" t="s">
        <v>272</v>
      </c>
      <c r="AE375">
        <v>1</v>
      </c>
      <c r="AF375">
        <v>10</v>
      </c>
      <c r="AG375">
        <v>364.41</v>
      </c>
      <c r="AH375">
        <v>0</v>
      </c>
      <c r="AI375">
        <v>0</v>
      </c>
      <c r="AJ375">
        <v>0</v>
      </c>
      <c r="AK375">
        <v>655.94</v>
      </c>
      <c r="AL375">
        <v>3644.1</v>
      </c>
      <c r="AM375">
        <v>4300</v>
      </c>
      <c r="AN375">
        <v>70</v>
      </c>
      <c r="AO375" t="s">
        <v>58</v>
      </c>
      <c r="AP375" t="s">
        <v>60</v>
      </c>
      <c r="AQ375">
        <v>10</v>
      </c>
      <c r="AR375">
        <v>105</v>
      </c>
      <c r="AS375" t="s">
        <v>85</v>
      </c>
      <c r="AT375">
        <v>677001</v>
      </c>
      <c r="AU375" t="s">
        <v>273</v>
      </c>
      <c r="AV375" t="s">
        <v>86</v>
      </c>
      <c r="AW375" t="s">
        <v>50</v>
      </c>
      <c r="AX375" t="s">
        <v>51</v>
      </c>
      <c r="AY375" t="s">
        <v>59</v>
      </c>
      <c r="AZ375" t="s">
        <v>240</v>
      </c>
      <c r="BA375" t="s">
        <v>550</v>
      </c>
      <c r="BB375">
        <v>0</v>
      </c>
      <c r="BC375">
        <v>0</v>
      </c>
      <c r="BD375" t="s">
        <v>199</v>
      </c>
      <c r="BE375" t="s">
        <v>199</v>
      </c>
      <c r="BF375">
        <v>0</v>
      </c>
      <c r="BG375">
        <v>0</v>
      </c>
      <c r="BH375" t="s">
        <v>200</v>
      </c>
      <c r="BI375">
        <v>13</v>
      </c>
      <c r="BJ375">
        <v>6359281</v>
      </c>
      <c r="BK375" t="s">
        <v>201</v>
      </c>
      <c r="BL375" t="s">
        <v>190</v>
      </c>
    </row>
    <row r="376" spans="1:64" x14ac:dyDescent="0.3">
      <c r="A376">
        <v>254</v>
      </c>
      <c r="B376" t="s">
        <v>186</v>
      </c>
      <c r="C376">
        <v>3</v>
      </c>
      <c r="D376">
        <v>6359281</v>
      </c>
      <c r="E376" t="s">
        <v>297</v>
      </c>
      <c r="F376" t="s">
        <v>188</v>
      </c>
      <c r="G376">
        <v>10188202</v>
      </c>
      <c r="H376" s="35">
        <v>46150</v>
      </c>
      <c r="I376" s="35">
        <v>46150</v>
      </c>
      <c r="J376">
        <v>2026</v>
      </c>
      <c r="K376">
        <v>5</v>
      </c>
      <c r="L376" t="s">
        <v>189</v>
      </c>
      <c r="M376">
        <v>1</v>
      </c>
      <c r="N376" t="s">
        <v>190</v>
      </c>
      <c r="O376" t="s">
        <v>191</v>
      </c>
      <c r="P376" t="s">
        <v>199</v>
      </c>
      <c r="Q376" t="s">
        <v>199</v>
      </c>
      <c r="R376">
        <v>19</v>
      </c>
      <c r="S376">
        <v>8</v>
      </c>
      <c r="T376">
        <v>5474</v>
      </c>
      <c r="U376">
        <v>3</v>
      </c>
      <c r="V376" t="s">
        <v>298</v>
      </c>
      <c r="W376" t="s">
        <v>54</v>
      </c>
      <c r="X376" t="s">
        <v>19</v>
      </c>
      <c r="Y376" t="s">
        <v>55</v>
      </c>
      <c r="Z376" t="s">
        <v>56</v>
      </c>
      <c r="AA376">
        <v>70</v>
      </c>
      <c r="AB376">
        <v>611055</v>
      </c>
      <c r="AC376" t="s">
        <v>300</v>
      </c>
      <c r="AD376" t="s">
        <v>301</v>
      </c>
      <c r="AE376">
        <v>5</v>
      </c>
      <c r="AF376">
        <v>20</v>
      </c>
      <c r="AG376">
        <v>78.319999999999993</v>
      </c>
      <c r="AH376">
        <v>0</v>
      </c>
      <c r="AI376">
        <v>0</v>
      </c>
      <c r="AJ376">
        <v>0</v>
      </c>
      <c r="AK376">
        <v>281.95</v>
      </c>
      <c r="AL376">
        <v>1566.4</v>
      </c>
      <c r="AM376">
        <v>1848</v>
      </c>
      <c r="AN376">
        <v>70</v>
      </c>
      <c r="AO376" t="s">
        <v>58</v>
      </c>
      <c r="AP376" t="s">
        <v>60</v>
      </c>
      <c r="AQ376">
        <v>10</v>
      </c>
      <c r="AR376">
        <v>114</v>
      </c>
      <c r="AS376" t="s">
        <v>79</v>
      </c>
      <c r="AT376">
        <v>66102</v>
      </c>
      <c r="AU376" t="s">
        <v>227</v>
      </c>
      <c r="AV376" t="s">
        <v>80</v>
      </c>
      <c r="AW376" t="s">
        <v>50</v>
      </c>
      <c r="AX376" t="s">
        <v>51</v>
      </c>
      <c r="AY376" t="s">
        <v>59</v>
      </c>
      <c r="AZ376" t="s">
        <v>240</v>
      </c>
      <c r="BA376" t="s">
        <v>550</v>
      </c>
      <c r="BB376">
        <v>0</v>
      </c>
      <c r="BC376">
        <v>0</v>
      </c>
      <c r="BD376" t="s">
        <v>199</v>
      </c>
      <c r="BE376" t="s">
        <v>199</v>
      </c>
      <c r="BF376">
        <v>0</v>
      </c>
      <c r="BG376">
        <v>0</v>
      </c>
      <c r="BH376" t="s">
        <v>200</v>
      </c>
      <c r="BI376">
        <v>13</v>
      </c>
      <c r="BJ376">
        <v>6359281</v>
      </c>
      <c r="BK376" t="s">
        <v>201</v>
      </c>
      <c r="BL376" t="s">
        <v>190</v>
      </c>
    </row>
    <row r="377" spans="1:64" x14ac:dyDescent="0.3">
      <c r="A377">
        <v>119</v>
      </c>
      <c r="B377" t="s">
        <v>186</v>
      </c>
      <c r="C377">
        <v>3</v>
      </c>
      <c r="D377">
        <v>6359481</v>
      </c>
      <c r="E377" t="s">
        <v>489</v>
      </c>
      <c r="F377" t="s">
        <v>188</v>
      </c>
      <c r="G377">
        <v>10188402</v>
      </c>
      <c r="H377" s="35">
        <v>46150</v>
      </c>
      <c r="I377" s="35">
        <v>46150</v>
      </c>
      <c r="J377">
        <v>2026</v>
      </c>
      <c r="K377">
        <v>5</v>
      </c>
      <c r="L377" t="s">
        <v>189</v>
      </c>
      <c r="M377">
        <v>1</v>
      </c>
      <c r="N377" t="s">
        <v>190</v>
      </c>
      <c r="O377" t="s">
        <v>191</v>
      </c>
      <c r="P377" t="s">
        <v>199</v>
      </c>
      <c r="Q377" t="s">
        <v>199</v>
      </c>
      <c r="R377">
        <v>19</v>
      </c>
      <c r="S377">
        <v>8</v>
      </c>
      <c r="T377">
        <v>36908</v>
      </c>
      <c r="U377">
        <v>3</v>
      </c>
      <c r="V377" t="s">
        <v>215</v>
      </c>
      <c r="W377" t="s">
        <v>67</v>
      </c>
      <c r="X377" t="s">
        <v>28</v>
      </c>
      <c r="Y377" t="s">
        <v>30</v>
      </c>
      <c r="Z377" t="s">
        <v>30</v>
      </c>
      <c r="AA377">
        <v>11</v>
      </c>
      <c r="AB377">
        <v>800089</v>
      </c>
      <c r="AC377" t="s">
        <v>295</v>
      </c>
      <c r="AD377" t="s">
        <v>296</v>
      </c>
      <c r="AE377">
        <v>0.375</v>
      </c>
      <c r="AF377">
        <v>3</v>
      </c>
      <c r="AG377">
        <v>364.41</v>
      </c>
      <c r="AH377">
        <v>0</v>
      </c>
      <c r="AI377">
        <v>0</v>
      </c>
      <c r="AJ377">
        <v>0</v>
      </c>
      <c r="AK377">
        <v>196.78</v>
      </c>
      <c r="AL377">
        <v>1093.23</v>
      </c>
      <c r="AM377">
        <v>1290</v>
      </c>
      <c r="AN377">
        <v>199</v>
      </c>
      <c r="AO377" t="s">
        <v>218</v>
      </c>
      <c r="AP377" t="s">
        <v>219</v>
      </c>
      <c r="AQ377">
        <v>10</v>
      </c>
      <c r="AR377">
        <v>105</v>
      </c>
      <c r="AS377" t="s">
        <v>85</v>
      </c>
      <c r="AT377">
        <v>677001</v>
      </c>
      <c r="AU377" t="s">
        <v>273</v>
      </c>
      <c r="AV377" t="s">
        <v>86</v>
      </c>
      <c r="AW377" t="s">
        <v>70</v>
      </c>
      <c r="AX377" t="s">
        <v>71</v>
      </c>
      <c r="AY377" t="s">
        <v>220</v>
      </c>
      <c r="AZ377" t="s">
        <v>221</v>
      </c>
      <c r="BA377" t="s">
        <v>551</v>
      </c>
      <c r="BB377">
        <v>0</v>
      </c>
      <c r="BC377">
        <v>0</v>
      </c>
      <c r="BD377" t="s">
        <v>199</v>
      </c>
      <c r="BE377" t="s">
        <v>199</v>
      </c>
      <c r="BF377">
        <v>0</v>
      </c>
      <c r="BG377">
        <v>0</v>
      </c>
      <c r="BH377" t="s">
        <v>200</v>
      </c>
      <c r="BI377">
        <v>13</v>
      </c>
      <c r="BJ377">
        <v>6359481</v>
      </c>
      <c r="BK377" t="s">
        <v>201</v>
      </c>
      <c r="BL377" t="s">
        <v>190</v>
      </c>
    </row>
    <row r="378" spans="1:64" x14ac:dyDescent="0.3">
      <c r="A378">
        <v>119</v>
      </c>
      <c r="B378" t="s">
        <v>186</v>
      </c>
      <c r="C378">
        <v>3</v>
      </c>
      <c r="D378">
        <v>6359481</v>
      </c>
      <c r="E378" t="s">
        <v>489</v>
      </c>
      <c r="F378" t="s">
        <v>188</v>
      </c>
      <c r="G378">
        <v>10188402</v>
      </c>
      <c r="H378" s="35">
        <v>46150</v>
      </c>
      <c r="I378" s="35">
        <v>46150</v>
      </c>
      <c r="J378">
        <v>2026</v>
      </c>
      <c r="K378">
        <v>5</v>
      </c>
      <c r="L378" t="s">
        <v>189</v>
      </c>
      <c r="M378">
        <v>1</v>
      </c>
      <c r="N378" t="s">
        <v>190</v>
      </c>
      <c r="O378" t="s">
        <v>191</v>
      </c>
      <c r="P378" t="s">
        <v>199</v>
      </c>
      <c r="Q378" t="s">
        <v>199</v>
      </c>
      <c r="R378">
        <v>19</v>
      </c>
      <c r="S378">
        <v>8</v>
      </c>
      <c r="T378">
        <v>36908</v>
      </c>
      <c r="U378">
        <v>3</v>
      </c>
      <c r="V378" t="s">
        <v>215</v>
      </c>
      <c r="W378" t="s">
        <v>67</v>
      </c>
      <c r="X378" t="s">
        <v>28</v>
      </c>
      <c r="Y378" t="s">
        <v>30</v>
      </c>
      <c r="Z378" t="s">
        <v>30</v>
      </c>
      <c r="AA378">
        <v>11</v>
      </c>
      <c r="AB378">
        <v>800088</v>
      </c>
      <c r="AC378" t="s">
        <v>276</v>
      </c>
      <c r="AD378" t="s">
        <v>277</v>
      </c>
      <c r="AE378">
        <v>0.375</v>
      </c>
      <c r="AF378">
        <v>3</v>
      </c>
      <c r="AG378">
        <v>364.41</v>
      </c>
      <c r="AH378">
        <v>0</v>
      </c>
      <c r="AI378">
        <v>0</v>
      </c>
      <c r="AJ378">
        <v>0</v>
      </c>
      <c r="AK378">
        <v>196.78</v>
      </c>
      <c r="AL378">
        <v>1093.23</v>
      </c>
      <c r="AM378">
        <v>1290</v>
      </c>
      <c r="AN378">
        <v>199</v>
      </c>
      <c r="AO378" t="s">
        <v>218</v>
      </c>
      <c r="AP378" t="s">
        <v>219</v>
      </c>
      <c r="AQ378">
        <v>10</v>
      </c>
      <c r="AR378">
        <v>105</v>
      </c>
      <c r="AS378" t="s">
        <v>85</v>
      </c>
      <c r="AT378">
        <v>677001</v>
      </c>
      <c r="AU378" t="s">
        <v>273</v>
      </c>
      <c r="AV378" t="s">
        <v>86</v>
      </c>
      <c r="AW378" t="s">
        <v>70</v>
      </c>
      <c r="AX378" t="s">
        <v>71</v>
      </c>
      <c r="AY378" t="s">
        <v>220</v>
      </c>
      <c r="AZ378" t="s">
        <v>221</v>
      </c>
      <c r="BA378" t="s">
        <v>551</v>
      </c>
      <c r="BB378">
        <v>0</v>
      </c>
      <c r="BC378">
        <v>0</v>
      </c>
      <c r="BD378" t="s">
        <v>199</v>
      </c>
      <c r="BE378" t="s">
        <v>199</v>
      </c>
      <c r="BF378">
        <v>0</v>
      </c>
      <c r="BG378">
        <v>0</v>
      </c>
      <c r="BH378" t="s">
        <v>200</v>
      </c>
      <c r="BI378">
        <v>13</v>
      </c>
      <c r="BJ378">
        <v>6359481</v>
      </c>
      <c r="BK378" t="s">
        <v>201</v>
      </c>
      <c r="BL378" t="s">
        <v>190</v>
      </c>
    </row>
    <row r="379" spans="1:64" x14ac:dyDescent="0.3">
      <c r="A379">
        <v>119</v>
      </c>
      <c r="B379" t="s">
        <v>186</v>
      </c>
      <c r="C379">
        <v>3</v>
      </c>
      <c r="D379">
        <v>6359481</v>
      </c>
      <c r="E379" t="s">
        <v>489</v>
      </c>
      <c r="F379" t="s">
        <v>188</v>
      </c>
      <c r="G379">
        <v>10188402</v>
      </c>
      <c r="H379" s="35">
        <v>46150</v>
      </c>
      <c r="I379" s="35">
        <v>46150</v>
      </c>
      <c r="J379">
        <v>2026</v>
      </c>
      <c r="K379">
        <v>5</v>
      </c>
      <c r="L379" t="s">
        <v>189</v>
      </c>
      <c r="M379">
        <v>1</v>
      </c>
      <c r="N379" t="s">
        <v>190</v>
      </c>
      <c r="O379" t="s">
        <v>191</v>
      </c>
      <c r="P379" t="s">
        <v>199</v>
      </c>
      <c r="Q379" t="s">
        <v>199</v>
      </c>
      <c r="R379">
        <v>19</v>
      </c>
      <c r="S379">
        <v>8</v>
      </c>
      <c r="T379">
        <v>36908</v>
      </c>
      <c r="U379">
        <v>3</v>
      </c>
      <c r="V379" t="s">
        <v>215</v>
      </c>
      <c r="W379" t="s">
        <v>67</v>
      </c>
      <c r="X379" t="s">
        <v>28</v>
      </c>
      <c r="Y379" t="s">
        <v>30</v>
      </c>
      <c r="Z379" t="s">
        <v>30</v>
      </c>
      <c r="AA379">
        <v>11</v>
      </c>
      <c r="AB379">
        <v>101038</v>
      </c>
      <c r="AC379" t="s">
        <v>271</v>
      </c>
      <c r="AD379" t="s">
        <v>272</v>
      </c>
      <c r="AE379">
        <v>0.4</v>
      </c>
      <c r="AF379">
        <v>4</v>
      </c>
      <c r="AG379">
        <v>364.41</v>
      </c>
      <c r="AH379">
        <v>0</v>
      </c>
      <c r="AI379">
        <v>0</v>
      </c>
      <c r="AJ379">
        <v>0</v>
      </c>
      <c r="AK379">
        <v>262.38</v>
      </c>
      <c r="AL379">
        <v>1457.64</v>
      </c>
      <c r="AM379">
        <v>1720</v>
      </c>
      <c r="AN379">
        <v>199</v>
      </c>
      <c r="AO379" t="s">
        <v>218</v>
      </c>
      <c r="AP379" t="s">
        <v>219</v>
      </c>
      <c r="AQ379">
        <v>10</v>
      </c>
      <c r="AR379">
        <v>105</v>
      </c>
      <c r="AS379" t="s">
        <v>85</v>
      </c>
      <c r="AT379">
        <v>677001</v>
      </c>
      <c r="AU379" t="s">
        <v>273</v>
      </c>
      <c r="AV379" t="s">
        <v>86</v>
      </c>
      <c r="AW379" t="s">
        <v>70</v>
      </c>
      <c r="AX379" t="s">
        <v>71</v>
      </c>
      <c r="AY379" t="s">
        <v>220</v>
      </c>
      <c r="AZ379" t="s">
        <v>221</v>
      </c>
      <c r="BA379" t="s">
        <v>551</v>
      </c>
      <c r="BB379">
        <v>0</v>
      </c>
      <c r="BC379">
        <v>0</v>
      </c>
      <c r="BD379" t="s">
        <v>199</v>
      </c>
      <c r="BE379" t="s">
        <v>199</v>
      </c>
      <c r="BF379">
        <v>0</v>
      </c>
      <c r="BG379">
        <v>0</v>
      </c>
      <c r="BH379" t="s">
        <v>200</v>
      </c>
      <c r="BI379">
        <v>13</v>
      </c>
      <c r="BJ379">
        <v>6359481</v>
      </c>
      <c r="BK379" t="s">
        <v>201</v>
      </c>
      <c r="BL379" t="s">
        <v>190</v>
      </c>
    </row>
    <row r="380" spans="1:64" x14ac:dyDescent="0.3">
      <c r="A380">
        <v>223</v>
      </c>
      <c r="B380" t="s">
        <v>186</v>
      </c>
      <c r="C380">
        <v>3</v>
      </c>
      <c r="D380">
        <v>6360762</v>
      </c>
      <c r="E380" t="s">
        <v>202</v>
      </c>
      <c r="F380" t="s">
        <v>188</v>
      </c>
      <c r="G380">
        <v>10189683</v>
      </c>
      <c r="H380" s="35">
        <v>46151</v>
      </c>
      <c r="I380" s="35">
        <v>46151</v>
      </c>
      <c r="J380">
        <v>2026</v>
      </c>
      <c r="K380">
        <v>5</v>
      </c>
      <c r="L380" t="s">
        <v>189</v>
      </c>
      <c r="M380">
        <v>1</v>
      </c>
      <c r="N380" t="s">
        <v>190</v>
      </c>
      <c r="O380" t="s">
        <v>191</v>
      </c>
      <c r="P380" t="s">
        <v>199</v>
      </c>
      <c r="Q380" t="s">
        <v>199</v>
      </c>
      <c r="R380">
        <v>19</v>
      </c>
      <c r="S380">
        <v>9</v>
      </c>
      <c r="T380">
        <v>1019</v>
      </c>
      <c r="U380">
        <v>3</v>
      </c>
      <c r="V380" t="s">
        <v>270</v>
      </c>
      <c r="W380" t="s">
        <v>46</v>
      </c>
      <c r="X380" t="s">
        <v>19</v>
      </c>
      <c r="Y380" t="s">
        <v>41</v>
      </c>
      <c r="Z380" t="s">
        <v>41</v>
      </c>
      <c r="AA380">
        <v>60</v>
      </c>
      <c r="AB380">
        <v>611053</v>
      </c>
      <c r="AC380" t="s">
        <v>229</v>
      </c>
      <c r="AD380" t="s">
        <v>230</v>
      </c>
      <c r="AE380">
        <v>0.5</v>
      </c>
      <c r="AF380">
        <v>12</v>
      </c>
      <c r="AG380">
        <v>20</v>
      </c>
      <c r="AH380">
        <v>0</v>
      </c>
      <c r="AI380">
        <v>0</v>
      </c>
      <c r="AJ380">
        <v>0</v>
      </c>
      <c r="AK380">
        <v>43.2</v>
      </c>
      <c r="AL380">
        <v>240</v>
      </c>
      <c r="AM380">
        <v>283</v>
      </c>
      <c r="AN380">
        <v>60</v>
      </c>
      <c r="AO380" t="s">
        <v>43</v>
      </c>
      <c r="AP380" t="s">
        <v>45</v>
      </c>
      <c r="AQ380">
        <v>10</v>
      </c>
      <c r="AR380">
        <v>114</v>
      </c>
      <c r="AS380" t="s">
        <v>79</v>
      </c>
      <c r="AT380">
        <v>66102</v>
      </c>
      <c r="AU380" t="s">
        <v>227</v>
      </c>
      <c r="AV380" t="s">
        <v>80</v>
      </c>
      <c r="AW380" t="s">
        <v>23</v>
      </c>
      <c r="AX380" t="s">
        <v>24</v>
      </c>
      <c r="AY380" t="s">
        <v>44</v>
      </c>
      <c r="AZ380" t="s">
        <v>197</v>
      </c>
      <c r="BA380" t="s">
        <v>552</v>
      </c>
      <c r="BB380">
        <v>0</v>
      </c>
      <c r="BC380">
        <v>0</v>
      </c>
      <c r="BD380" t="s">
        <v>199</v>
      </c>
      <c r="BE380" t="s">
        <v>199</v>
      </c>
      <c r="BF380">
        <v>0</v>
      </c>
      <c r="BG380">
        <v>0</v>
      </c>
      <c r="BH380" t="s">
        <v>200</v>
      </c>
      <c r="BI380">
        <v>13</v>
      </c>
      <c r="BJ380">
        <v>6360762</v>
      </c>
      <c r="BK380" t="s">
        <v>201</v>
      </c>
      <c r="BL380" t="s">
        <v>190</v>
      </c>
    </row>
    <row r="381" spans="1:64" x14ac:dyDescent="0.3">
      <c r="A381">
        <v>223</v>
      </c>
      <c r="B381" t="s">
        <v>186</v>
      </c>
      <c r="C381">
        <v>3</v>
      </c>
      <c r="D381">
        <v>6360762</v>
      </c>
      <c r="E381" t="s">
        <v>202</v>
      </c>
      <c r="F381" t="s">
        <v>188</v>
      </c>
      <c r="G381">
        <v>10189683</v>
      </c>
      <c r="H381" s="35">
        <v>46151</v>
      </c>
      <c r="I381" s="35">
        <v>46151</v>
      </c>
      <c r="J381">
        <v>2026</v>
      </c>
      <c r="K381">
        <v>5</v>
      </c>
      <c r="L381" t="s">
        <v>189</v>
      </c>
      <c r="M381">
        <v>1</v>
      </c>
      <c r="N381" t="s">
        <v>190</v>
      </c>
      <c r="O381" t="s">
        <v>191</v>
      </c>
      <c r="P381" t="s">
        <v>199</v>
      </c>
      <c r="Q381" t="s">
        <v>199</v>
      </c>
      <c r="R381">
        <v>19</v>
      </c>
      <c r="S381">
        <v>9</v>
      </c>
      <c r="T381">
        <v>1019</v>
      </c>
      <c r="U381">
        <v>3</v>
      </c>
      <c r="V381" t="s">
        <v>270</v>
      </c>
      <c r="W381" t="s">
        <v>46</v>
      </c>
      <c r="X381" t="s">
        <v>19</v>
      </c>
      <c r="Y381" t="s">
        <v>41</v>
      </c>
      <c r="Z381" t="s">
        <v>41</v>
      </c>
      <c r="AA381">
        <v>60</v>
      </c>
      <c r="AB381">
        <v>611052</v>
      </c>
      <c r="AC381" t="s">
        <v>225</v>
      </c>
      <c r="AD381" t="s">
        <v>226</v>
      </c>
      <c r="AE381">
        <v>0.5</v>
      </c>
      <c r="AF381">
        <v>12</v>
      </c>
      <c r="AG381">
        <v>20</v>
      </c>
      <c r="AH381">
        <v>0</v>
      </c>
      <c r="AI381">
        <v>0</v>
      </c>
      <c r="AJ381">
        <v>0</v>
      </c>
      <c r="AK381">
        <v>43.2</v>
      </c>
      <c r="AL381">
        <v>240</v>
      </c>
      <c r="AM381">
        <v>283</v>
      </c>
      <c r="AN381">
        <v>60</v>
      </c>
      <c r="AO381" t="s">
        <v>43</v>
      </c>
      <c r="AP381" t="s">
        <v>45</v>
      </c>
      <c r="AQ381">
        <v>10</v>
      </c>
      <c r="AR381">
        <v>114</v>
      </c>
      <c r="AS381" t="s">
        <v>79</v>
      </c>
      <c r="AT381">
        <v>66102</v>
      </c>
      <c r="AU381" t="s">
        <v>227</v>
      </c>
      <c r="AV381" t="s">
        <v>80</v>
      </c>
      <c r="AW381" t="s">
        <v>23</v>
      </c>
      <c r="AX381" t="s">
        <v>24</v>
      </c>
      <c r="AY381" t="s">
        <v>44</v>
      </c>
      <c r="AZ381" t="s">
        <v>197</v>
      </c>
      <c r="BA381" t="s">
        <v>552</v>
      </c>
      <c r="BB381">
        <v>0</v>
      </c>
      <c r="BC381">
        <v>0</v>
      </c>
      <c r="BD381" t="s">
        <v>199</v>
      </c>
      <c r="BE381" t="s">
        <v>199</v>
      </c>
      <c r="BF381">
        <v>0</v>
      </c>
      <c r="BG381">
        <v>0</v>
      </c>
      <c r="BH381" t="s">
        <v>200</v>
      </c>
      <c r="BI381">
        <v>13</v>
      </c>
      <c r="BJ381">
        <v>6360762</v>
      </c>
      <c r="BK381" t="s">
        <v>201</v>
      </c>
      <c r="BL381" t="s">
        <v>190</v>
      </c>
    </row>
    <row r="382" spans="1:64" x14ac:dyDescent="0.3">
      <c r="A382">
        <v>223</v>
      </c>
      <c r="B382" t="s">
        <v>186</v>
      </c>
      <c r="C382">
        <v>3</v>
      </c>
      <c r="D382">
        <v>6364115</v>
      </c>
      <c r="E382" t="s">
        <v>202</v>
      </c>
      <c r="F382" t="s">
        <v>188</v>
      </c>
      <c r="G382">
        <v>10193036</v>
      </c>
      <c r="H382" s="35">
        <v>46154</v>
      </c>
      <c r="I382" s="35">
        <v>46154</v>
      </c>
      <c r="J382">
        <v>2026</v>
      </c>
      <c r="K382">
        <v>5</v>
      </c>
      <c r="L382" t="s">
        <v>189</v>
      </c>
      <c r="M382">
        <v>1</v>
      </c>
      <c r="N382" t="s">
        <v>203</v>
      </c>
      <c r="O382" t="s">
        <v>191</v>
      </c>
      <c r="P382" t="s">
        <v>199</v>
      </c>
      <c r="Q382" t="s">
        <v>199</v>
      </c>
      <c r="R382">
        <v>20</v>
      </c>
      <c r="S382">
        <v>12</v>
      </c>
      <c r="T382">
        <v>12191</v>
      </c>
      <c r="U382">
        <v>3</v>
      </c>
      <c r="V382" t="s">
        <v>204</v>
      </c>
      <c r="W382" t="s">
        <v>27</v>
      </c>
      <c r="X382" t="s">
        <v>28</v>
      </c>
      <c r="Y382" t="s">
        <v>20</v>
      </c>
      <c r="Z382" t="s">
        <v>20</v>
      </c>
      <c r="AA382">
        <v>91</v>
      </c>
      <c r="AB382">
        <v>930104</v>
      </c>
      <c r="AC382" t="s">
        <v>553</v>
      </c>
      <c r="AD382" t="s">
        <v>554</v>
      </c>
      <c r="AE382">
        <v>8.3333333333329998E-2</v>
      </c>
      <c r="AF382">
        <v>1</v>
      </c>
      <c r="AG382">
        <v>87.25</v>
      </c>
      <c r="AH382">
        <v>0</v>
      </c>
      <c r="AI382">
        <v>0</v>
      </c>
      <c r="AJ382">
        <v>0</v>
      </c>
      <c r="AK382">
        <v>15.71</v>
      </c>
      <c r="AL382">
        <v>87.25</v>
      </c>
      <c r="AM382">
        <v>103</v>
      </c>
      <c r="AN382">
        <v>91</v>
      </c>
      <c r="AO382" t="s">
        <v>22</v>
      </c>
      <c r="AP382" t="s">
        <v>26</v>
      </c>
      <c r="AQ382">
        <v>10</v>
      </c>
      <c r="AR382">
        <v>211</v>
      </c>
      <c r="AS382" t="s">
        <v>103</v>
      </c>
      <c r="AT382">
        <v>0</v>
      </c>
      <c r="AU382" t="s">
        <v>199</v>
      </c>
      <c r="AV382" t="s">
        <v>82</v>
      </c>
      <c r="AW382" t="s">
        <v>23</v>
      </c>
      <c r="AX382" t="s">
        <v>24</v>
      </c>
      <c r="AY382" t="s">
        <v>25</v>
      </c>
      <c r="AZ382" t="s">
        <v>197</v>
      </c>
      <c r="BA382" t="s">
        <v>555</v>
      </c>
      <c r="BB382">
        <v>0</v>
      </c>
      <c r="BC382">
        <v>0</v>
      </c>
      <c r="BD382" t="s">
        <v>199</v>
      </c>
      <c r="BE382" t="s">
        <v>199</v>
      </c>
      <c r="BF382">
        <v>0</v>
      </c>
      <c r="BG382">
        <v>0</v>
      </c>
      <c r="BH382" t="s">
        <v>200</v>
      </c>
      <c r="BI382">
        <v>13</v>
      </c>
      <c r="BJ382">
        <v>6364115</v>
      </c>
      <c r="BK382" t="s">
        <v>201</v>
      </c>
      <c r="BL382" t="s">
        <v>190</v>
      </c>
    </row>
    <row r="383" spans="1:64" x14ac:dyDescent="0.3">
      <c r="A383">
        <v>223</v>
      </c>
      <c r="B383" t="s">
        <v>186</v>
      </c>
      <c r="C383">
        <v>3</v>
      </c>
      <c r="D383">
        <v>6364115</v>
      </c>
      <c r="E383" t="s">
        <v>202</v>
      </c>
      <c r="F383" t="s">
        <v>188</v>
      </c>
      <c r="G383">
        <v>10193036</v>
      </c>
      <c r="H383" s="35">
        <v>46154</v>
      </c>
      <c r="I383" s="35">
        <v>46154</v>
      </c>
      <c r="J383">
        <v>2026</v>
      </c>
      <c r="K383">
        <v>5</v>
      </c>
      <c r="L383" t="s">
        <v>189</v>
      </c>
      <c r="M383">
        <v>1</v>
      </c>
      <c r="N383" t="s">
        <v>203</v>
      </c>
      <c r="O383" t="s">
        <v>191</v>
      </c>
      <c r="P383" t="s">
        <v>199</v>
      </c>
      <c r="Q383" t="s">
        <v>199</v>
      </c>
      <c r="R383">
        <v>20</v>
      </c>
      <c r="S383">
        <v>12</v>
      </c>
      <c r="T383">
        <v>12191</v>
      </c>
      <c r="U383">
        <v>3</v>
      </c>
      <c r="V383" t="s">
        <v>204</v>
      </c>
      <c r="W383" t="s">
        <v>27</v>
      </c>
      <c r="X383" t="s">
        <v>28</v>
      </c>
      <c r="Y383" t="s">
        <v>20</v>
      </c>
      <c r="Z383" t="s">
        <v>20</v>
      </c>
      <c r="AA383">
        <v>91</v>
      </c>
      <c r="AB383">
        <v>800791</v>
      </c>
      <c r="AC383" t="s">
        <v>262</v>
      </c>
      <c r="AD383" t="s">
        <v>263</v>
      </c>
      <c r="AE383">
        <v>1</v>
      </c>
      <c r="AF383">
        <v>25</v>
      </c>
      <c r="AG383">
        <v>153.11000000000001</v>
      </c>
      <c r="AH383">
        <v>0</v>
      </c>
      <c r="AI383">
        <v>0</v>
      </c>
      <c r="AJ383">
        <v>0</v>
      </c>
      <c r="AK383">
        <v>689</v>
      </c>
      <c r="AL383">
        <v>3827.75</v>
      </c>
      <c r="AM383">
        <v>4517</v>
      </c>
      <c r="AN383">
        <v>91</v>
      </c>
      <c r="AO383" t="s">
        <v>22</v>
      </c>
      <c r="AP383" t="s">
        <v>26</v>
      </c>
      <c r="AQ383">
        <v>10</v>
      </c>
      <c r="AR383">
        <v>207</v>
      </c>
      <c r="AS383" t="s">
        <v>81</v>
      </c>
      <c r="AT383">
        <v>65103</v>
      </c>
      <c r="AU383" t="s">
        <v>266</v>
      </c>
      <c r="AV383" t="s">
        <v>82</v>
      </c>
      <c r="AW383" t="s">
        <v>23</v>
      </c>
      <c r="AX383" t="s">
        <v>24</v>
      </c>
      <c r="AY383" t="s">
        <v>25</v>
      </c>
      <c r="AZ383" t="s">
        <v>197</v>
      </c>
      <c r="BA383" t="s">
        <v>555</v>
      </c>
      <c r="BB383">
        <v>0</v>
      </c>
      <c r="BC383">
        <v>0</v>
      </c>
      <c r="BD383" t="s">
        <v>199</v>
      </c>
      <c r="BE383" t="s">
        <v>199</v>
      </c>
      <c r="BF383">
        <v>0</v>
      </c>
      <c r="BG383">
        <v>0</v>
      </c>
      <c r="BH383" t="s">
        <v>200</v>
      </c>
      <c r="BI383">
        <v>13</v>
      </c>
      <c r="BJ383">
        <v>6364115</v>
      </c>
      <c r="BK383" t="s">
        <v>201</v>
      </c>
      <c r="BL383" t="s">
        <v>190</v>
      </c>
    </row>
    <row r="384" spans="1:64" x14ac:dyDescent="0.3">
      <c r="A384">
        <v>223</v>
      </c>
      <c r="B384" t="s">
        <v>186</v>
      </c>
      <c r="C384">
        <v>3</v>
      </c>
      <c r="D384">
        <v>6364115</v>
      </c>
      <c r="E384" t="s">
        <v>202</v>
      </c>
      <c r="F384" t="s">
        <v>188</v>
      </c>
      <c r="G384">
        <v>10193036</v>
      </c>
      <c r="H384" s="35">
        <v>46154</v>
      </c>
      <c r="I384" s="35">
        <v>46154</v>
      </c>
      <c r="J384">
        <v>2026</v>
      </c>
      <c r="K384">
        <v>5</v>
      </c>
      <c r="L384" t="s">
        <v>189</v>
      </c>
      <c r="M384">
        <v>1</v>
      </c>
      <c r="N384" t="s">
        <v>203</v>
      </c>
      <c r="O384" t="s">
        <v>191</v>
      </c>
      <c r="P384" t="s">
        <v>199</v>
      </c>
      <c r="Q384" t="s">
        <v>199</v>
      </c>
      <c r="R384">
        <v>20</v>
      </c>
      <c r="S384">
        <v>12</v>
      </c>
      <c r="T384">
        <v>12191</v>
      </c>
      <c r="U384">
        <v>3</v>
      </c>
      <c r="V384" t="s">
        <v>204</v>
      </c>
      <c r="W384" t="s">
        <v>27</v>
      </c>
      <c r="X384" t="s">
        <v>28</v>
      </c>
      <c r="Y384" t="s">
        <v>20</v>
      </c>
      <c r="Z384" t="s">
        <v>20</v>
      </c>
      <c r="AA384">
        <v>91</v>
      </c>
      <c r="AB384">
        <v>800792</v>
      </c>
      <c r="AC384" t="s">
        <v>304</v>
      </c>
      <c r="AD384" t="s">
        <v>305</v>
      </c>
      <c r="AE384">
        <v>0.2</v>
      </c>
      <c r="AF384">
        <v>5</v>
      </c>
      <c r="AG384">
        <v>153.11000000000001</v>
      </c>
      <c r="AH384">
        <v>0</v>
      </c>
      <c r="AI384">
        <v>0</v>
      </c>
      <c r="AJ384">
        <v>0</v>
      </c>
      <c r="AK384">
        <v>137.80000000000001</v>
      </c>
      <c r="AL384">
        <v>765.55</v>
      </c>
      <c r="AM384">
        <v>903</v>
      </c>
      <c r="AN384">
        <v>91</v>
      </c>
      <c r="AO384" t="s">
        <v>22</v>
      </c>
      <c r="AP384" t="s">
        <v>26</v>
      </c>
      <c r="AQ384">
        <v>10</v>
      </c>
      <c r="AR384">
        <v>207</v>
      </c>
      <c r="AS384" t="s">
        <v>81</v>
      </c>
      <c r="AT384">
        <v>65103</v>
      </c>
      <c r="AU384" t="s">
        <v>266</v>
      </c>
      <c r="AV384" t="s">
        <v>82</v>
      </c>
      <c r="AW384" t="s">
        <v>23</v>
      </c>
      <c r="AX384" t="s">
        <v>24</v>
      </c>
      <c r="AY384" t="s">
        <v>25</v>
      </c>
      <c r="AZ384" t="s">
        <v>197</v>
      </c>
      <c r="BA384" t="s">
        <v>555</v>
      </c>
      <c r="BB384">
        <v>0</v>
      </c>
      <c r="BC384">
        <v>0</v>
      </c>
      <c r="BD384" t="s">
        <v>199</v>
      </c>
      <c r="BE384" t="s">
        <v>199</v>
      </c>
      <c r="BF384">
        <v>0</v>
      </c>
      <c r="BG384">
        <v>0</v>
      </c>
      <c r="BH384" t="s">
        <v>200</v>
      </c>
      <c r="BI384">
        <v>13</v>
      </c>
      <c r="BJ384">
        <v>6364115</v>
      </c>
      <c r="BK384" t="s">
        <v>201</v>
      </c>
      <c r="BL384" t="s">
        <v>190</v>
      </c>
    </row>
    <row r="385" spans="1:64" x14ac:dyDescent="0.3">
      <c r="A385">
        <v>223</v>
      </c>
      <c r="B385" t="s">
        <v>186</v>
      </c>
      <c r="C385">
        <v>3</v>
      </c>
      <c r="D385">
        <v>6364115</v>
      </c>
      <c r="E385" t="s">
        <v>202</v>
      </c>
      <c r="F385" t="s">
        <v>188</v>
      </c>
      <c r="G385">
        <v>10193036</v>
      </c>
      <c r="H385" s="35">
        <v>46154</v>
      </c>
      <c r="I385" s="35">
        <v>46154</v>
      </c>
      <c r="J385">
        <v>2026</v>
      </c>
      <c r="K385">
        <v>5</v>
      </c>
      <c r="L385" t="s">
        <v>189</v>
      </c>
      <c r="M385">
        <v>1</v>
      </c>
      <c r="N385" t="s">
        <v>190</v>
      </c>
      <c r="O385" t="s">
        <v>191</v>
      </c>
      <c r="P385" t="s">
        <v>199</v>
      </c>
      <c r="Q385" t="s">
        <v>199</v>
      </c>
      <c r="R385">
        <v>20</v>
      </c>
      <c r="S385">
        <v>12</v>
      </c>
      <c r="T385">
        <v>12191</v>
      </c>
      <c r="U385">
        <v>3</v>
      </c>
      <c r="V385" t="s">
        <v>204</v>
      </c>
      <c r="W385" t="s">
        <v>27</v>
      </c>
      <c r="X385" t="s">
        <v>28</v>
      </c>
      <c r="Y385" t="s">
        <v>20</v>
      </c>
      <c r="Z385" t="s">
        <v>20</v>
      </c>
      <c r="AA385">
        <v>91</v>
      </c>
      <c r="AB385">
        <v>800088</v>
      </c>
      <c r="AC385" t="s">
        <v>276</v>
      </c>
      <c r="AD385" t="s">
        <v>277</v>
      </c>
      <c r="AE385">
        <v>1</v>
      </c>
      <c r="AF385">
        <v>8</v>
      </c>
      <c r="AG385">
        <v>364.41</v>
      </c>
      <c r="AH385">
        <v>0</v>
      </c>
      <c r="AI385">
        <v>0</v>
      </c>
      <c r="AJ385">
        <v>0</v>
      </c>
      <c r="AK385">
        <v>524.75</v>
      </c>
      <c r="AL385">
        <v>2915.28</v>
      </c>
      <c r="AM385">
        <v>3440</v>
      </c>
      <c r="AN385">
        <v>91</v>
      </c>
      <c r="AO385" t="s">
        <v>22</v>
      </c>
      <c r="AP385" t="s">
        <v>26</v>
      </c>
      <c r="AQ385">
        <v>10</v>
      </c>
      <c r="AR385">
        <v>105</v>
      </c>
      <c r="AS385" t="s">
        <v>85</v>
      </c>
      <c r="AT385">
        <v>677001</v>
      </c>
      <c r="AU385" t="s">
        <v>273</v>
      </c>
      <c r="AV385" t="s">
        <v>86</v>
      </c>
      <c r="AW385" t="s">
        <v>23</v>
      </c>
      <c r="AX385" t="s">
        <v>24</v>
      </c>
      <c r="AY385" t="s">
        <v>25</v>
      </c>
      <c r="AZ385" t="s">
        <v>197</v>
      </c>
      <c r="BA385" t="s">
        <v>555</v>
      </c>
      <c r="BB385">
        <v>0</v>
      </c>
      <c r="BC385">
        <v>0</v>
      </c>
      <c r="BD385" t="s">
        <v>199</v>
      </c>
      <c r="BE385" t="s">
        <v>199</v>
      </c>
      <c r="BF385">
        <v>0</v>
      </c>
      <c r="BG385">
        <v>0</v>
      </c>
      <c r="BH385" t="s">
        <v>200</v>
      </c>
      <c r="BI385">
        <v>13</v>
      </c>
      <c r="BJ385">
        <v>6364115</v>
      </c>
      <c r="BK385" t="s">
        <v>201</v>
      </c>
      <c r="BL385" t="s">
        <v>190</v>
      </c>
    </row>
    <row r="386" spans="1:64" x14ac:dyDescent="0.3">
      <c r="A386">
        <v>125</v>
      </c>
      <c r="B386" t="s">
        <v>186</v>
      </c>
      <c r="C386">
        <v>3</v>
      </c>
      <c r="D386">
        <v>6366895</v>
      </c>
      <c r="E386" t="s">
        <v>213</v>
      </c>
      <c r="F386" t="s">
        <v>188</v>
      </c>
      <c r="G386">
        <v>10195816</v>
      </c>
      <c r="H386" s="35">
        <v>46156</v>
      </c>
      <c r="I386" s="35">
        <v>46156</v>
      </c>
      <c r="J386">
        <v>2026</v>
      </c>
      <c r="K386">
        <v>5</v>
      </c>
      <c r="L386" t="s">
        <v>189</v>
      </c>
      <c r="M386">
        <v>1</v>
      </c>
      <c r="N386" t="s">
        <v>190</v>
      </c>
      <c r="O386" t="s">
        <v>191</v>
      </c>
      <c r="P386" t="s">
        <v>199</v>
      </c>
      <c r="Q386" t="s">
        <v>199</v>
      </c>
      <c r="R386">
        <v>20</v>
      </c>
      <c r="S386">
        <v>14</v>
      </c>
      <c r="T386">
        <v>36908</v>
      </c>
      <c r="U386">
        <v>3</v>
      </c>
      <c r="V386" t="s">
        <v>215</v>
      </c>
      <c r="W386" t="s">
        <v>67</v>
      </c>
      <c r="X386" t="s">
        <v>28</v>
      </c>
      <c r="Y386" t="s">
        <v>30</v>
      </c>
      <c r="Z386" t="s">
        <v>30</v>
      </c>
      <c r="AA386">
        <v>11</v>
      </c>
      <c r="AB386">
        <v>800089</v>
      </c>
      <c r="AC386" t="s">
        <v>295</v>
      </c>
      <c r="AD386" t="s">
        <v>296</v>
      </c>
      <c r="AE386">
        <v>0.25</v>
      </c>
      <c r="AF386">
        <v>2</v>
      </c>
      <c r="AG386">
        <v>364.41</v>
      </c>
      <c r="AH386">
        <v>0</v>
      </c>
      <c r="AI386">
        <v>0</v>
      </c>
      <c r="AJ386">
        <v>0</v>
      </c>
      <c r="AK386">
        <v>131.19</v>
      </c>
      <c r="AL386">
        <v>728.82</v>
      </c>
      <c r="AM386">
        <v>860</v>
      </c>
      <c r="AN386">
        <v>199</v>
      </c>
      <c r="AO386" t="s">
        <v>218</v>
      </c>
      <c r="AP386" t="s">
        <v>219</v>
      </c>
      <c r="AQ386">
        <v>10</v>
      </c>
      <c r="AR386">
        <v>105</v>
      </c>
      <c r="AS386" t="s">
        <v>85</v>
      </c>
      <c r="AT386">
        <v>677001</v>
      </c>
      <c r="AU386" t="s">
        <v>273</v>
      </c>
      <c r="AV386" t="s">
        <v>86</v>
      </c>
      <c r="AW386" t="s">
        <v>70</v>
      </c>
      <c r="AX386" t="s">
        <v>71</v>
      </c>
      <c r="AY386" t="s">
        <v>220</v>
      </c>
      <c r="AZ386" t="s">
        <v>221</v>
      </c>
      <c r="BA386" t="s">
        <v>556</v>
      </c>
      <c r="BB386">
        <v>0</v>
      </c>
      <c r="BC386">
        <v>0</v>
      </c>
      <c r="BD386" t="s">
        <v>199</v>
      </c>
      <c r="BE386" t="s">
        <v>199</v>
      </c>
      <c r="BF386">
        <v>0</v>
      </c>
      <c r="BG386">
        <v>0</v>
      </c>
      <c r="BH386" t="s">
        <v>200</v>
      </c>
      <c r="BI386">
        <v>13</v>
      </c>
      <c r="BJ386">
        <v>6366895</v>
      </c>
      <c r="BK386" t="s">
        <v>201</v>
      </c>
      <c r="BL386" t="s">
        <v>190</v>
      </c>
    </row>
    <row r="387" spans="1:64" x14ac:dyDescent="0.3">
      <c r="A387">
        <v>125</v>
      </c>
      <c r="B387" t="s">
        <v>186</v>
      </c>
      <c r="C387">
        <v>3</v>
      </c>
      <c r="D387">
        <v>6366895</v>
      </c>
      <c r="E387" t="s">
        <v>213</v>
      </c>
      <c r="F387" t="s">
        <v>188</v>
      </c>
      <c r="G387">
        <v>10195816</v>
      </c>
      <c r="H387" s="35">
        <v>46156</v>
      </c>
      <c r="I387" s="35">
        <v>46156</v>
      </c>
      <c r="J387">
        <v>2026</v>
      </c>
      <c r="K387">
        <v>5</v>
      </c>
      <c r="L387" t="s">
        <v>189</v>
      </c>
      <c r="M387">
        <v>1</v>
      </c>
      <c r="N387" t="s">
        <v>190</v>
      </c>
      <c r="O387" t="s">
        <v>191</v>
      </c>
      <c r="P387" t="s">
        <v>199</v>
      </c>
      <c r="Q387" t="s">
        <v>199</v>
      </c>
      <c r="R387">
        <v>20</v>
      </c>
      <c r="S387">
        <v>14</v>
      </c>
      <c r="T387">
        <v>36908</v>
      </c>
      <c r="U387">
        <v>3</v>
      </c>
      <c r="V387" t="s">
        <v>215</v>
      </c>
      <c r="W387" t="s">
        <v>67</v>
      </c>
      <c r="X387" t="s">
        <v>28</v>
      </c>
      <c r="Y387" t="s">
        <v>30</v>
      </c>
      <c r="Z387" t="s">
        <v>30</v>
      </c>
      <c r="AA387">
        <v>11</v>
      </c>
      <c r="AB387">
        <v>101038</v>
      </c>
      <c r="AC387" t="s">
        <v>271</v>
      </c>
      <c r="AD387" t="s">
        <v>272</v>
      </c>
      <c r="AE387">
        <v>0.4</v>
      </c>
      <c r="AF387">
        <v>4</v>
      </c>
      <c r="AG387">
        <v>364.41</v>
      </c>
      <c r="AH387">
        <v>0</v>
      </c>
      <c r="AI387">
        <v>0</v>
      </c>
      <c r="AJ387">
        <v>0</v>
      </c>
      <c r="AK387">
        <v>262.38</v>
      </c>
      <c r="AL387">
        <v>1457.64</v>
      </c>
      <c r="AM387">
        <v>1720</v>
      </c>
      <c r="AN387">
        <v>199</v>
      </c>
      <c r="AO387" t="s">
        <v>218</v>
      </c>
      <c r="AP387" t="s">
        <v>219</v>
      </c>
      <c r="AQ387">
        <v>10</v>
      </c>
      <c r="AR387">
        <v>105</v>
      </c>
      <c r="AS387" t="s">
        <v>85</v>
      </c>
      <c r="AT387">
        <v>677001</v>
      </c>
      <c r="AU387" t="s">
        <v>273</v>
      </c>
      <c r="AV387" t="s">
        <v>86</v>
      </c>
      <c r="AW387" t="s">
        <v>70</v>
      </c>
      <c r="AX387" t="s">
        <v>71</v>
      </c>
      <c r="AY387" t="s">
        <v>220</v>
      </c>
      <c r="AZ387" t="s">
        <v>221</v>
      </c>
      <c r="BA387" t="s">
        <v>556</v>
      </c>
      <c r="BB387">
        <v>0</v>
      </c>
      <c r="BC387">
        <v>0</v>
      </c>
      <c r="BD387" t="s">
        <v>199</v>
      </c>
      <c r="BE387" t="s">
        <v>199</v>
      </c>
      <c r="BF387">
        <v>0</v>
      </c>
      <c r="BG387">
        <v>0</v>
      </c>
      <c r="BH387" t="s">
        <v>200</v>
      </c>
      <c r="BI387">
        <v>13</v>
      </c>
      <c r="BJ387">
        <v>6366895</v>
      </c>
      <c r="BK387" t="s">
        <v>201</v>
      </c>
      <c r="BL387" t="s">
        <v>190</v>
      </c>
    </row>
    <row r="388" spans="1:64" x14ac:dyDescent="0.3">
      <c r="A388">
        <v>125</v>
      </c>
      <c r="B388" t="s">
        <v>186</v>
      </c>
      <c r="C388">
        <v>3</v>
      </c>
      <c r="D388">
        <v>6366895</v>
      </c>
      <c r="E388" t="s">
        <v>213</v>
      </c>
      <c r="F388" t="s">
        <v>188</v>
      </c>
      <c r="G388">
        <v>10195816</v>
      </c>
      <c r="H388" s="35">
        <v>46156</v>
      </c>
      <c r="I388" s="35">
        <v>46156</v>
      </c>
      <c r="J388">
        <v>2026</v>
      </c>
      <c r="K388">
        <v>5</v>
      </c>
      <c r="L388" t="s">
        <v>189</v>
      </c>
      <c r="M388">
        <v>1</v>
      </c>
      <c r="N388" t="s">
        <v>190</v>
      </c>
      <c r="O388" t="s">
        <v>191</v>
      </c>
      <c r="P388" t="s">
        <v>199</v>
      </c>
      <c r="Q388" t="s">
        <v>199</v>
      </c>
      <c r="R388">
        <v>20</v>
      </c>
      <c r="S388">
        <v>14</v>
      </c>
      <c r="T388">
        <v>36908</v>
      </c>
      <c r="U388">
        <v>3</v>
      </c>
      <c r="V388" t="s">
        <v>215</v>
      </c>
      <c r="W388" t="s">
        <v>67</v>
      </c>
      <c r="X388" t="s">
        <v>28</v>
      </c>
      <c r="Y388" t="s">
        <v>30</v>
      </c>
      <c r="Z388" t="s">
        <v>30</v>
      </c>
      <c r="AA388">
        <v>11</v>
      </c>
      <c r="AB388">
        <v>800088</v>
      </c>
      <c r="AC388" t="s">
        <v>276</v>
      </c>
      <c r="AD388" t="s">
        <v>277</v>
      </c>
      <c r="AE388">
        <v>0.25</v>
      </c>
      <c r="AF388">
        <v>2</v>
      </c>
      <c r="AG388">
        <v>364.41</v>
      </c>
      <c r="AH388">
        <v>0</v>
      </c>
      <c r="AI388">
        <v>0</v>
      </c>
      <c r="AJ388">
        <v>0</v>
      </c>
      <c r="AK388">
        <v>131.19</v>
      </c>
      <c r="AL388">
        <v>728.82</v>
      </c>
      <c r="AM388">
        <v>860</v>
      </c>
      <c r="AN388">
        <v>199</v>
      </c>
      <c r="AO388" t="s">
        <v>218</v>
      </c>
      <c r="AP388" t="s">
        <v>219</v>
      </c>
      <c r="AQ388">
        <v>10</v>
      </c>
      <c r="AR388">
        <v>105</v>
      </c>
      <c r="AS388" t="s">
        <v>85</v>
      </c>
      <c r="AT388">
        <v>677001</v>
      </c>
      <c r="AU388" t="s">
        <v>273</v>
      </c>
      <c r="AV388" t="s">
        <v>86</v>
      </c>
      <c r="AW388" t="s">
        <v>70</v>
      </c>
      <c r="AX388" t="s">
        <v>71</v>
      </c>
      <c r="AY388" t="s">
        <v>220</v>
      </c>
      <c r="AZ388" t="s">
        <v>221</v>
      </c>
      <c r="BA388" t="s">
        <v>556</v>
      </c>
      <c r="BB388">
        <v>0</v>
      </c>
      <c r="BC388">
        <v>0</v>
      </c>
      <c r="BD388" t="s">
        <v>199</v>
      </c>
      <c r="BE388" t="s">
        <v>199</v>
      </c>
      <c r="BF388">
        <v>0</v>
      </c>
      <c r="BG388">
        <v>0</v>
      </c>
      <c r="BH388" t="s">
        <v>200</v>
      </c>
      <c r="BI388">
        <v>13</v>
      </c>
      <c r="BJ388">
        <v>6366895</v>
      </c>
      <c r="BK388" t="s">
        <v>201</v>
      </c>
      <c r="BL388" t="s">
        <v>190</v>
      </c>
    </row>
    <row r="389" spans="1:64" x14ac:dyDescent="0.3">
      <c r="A389">
        <v>223</v>
      </c>
      <c r="B389" t="s">
        <v>186</v>
      </c>
      <c r="C389">
        <v>3</v>
      </c>
      <c r="D389">
        <v>6367101</v>
      </c>
      <c r="E389" t="s">
        <v>202</v>
      </c>
      <c r="F389" t="s">
        <v>188</v>
      </c>
      <c r="G389">
        <v>10196022</v>
      </c>
      <c r="H389" s="35">
        <v>46156</v>
      </c>
      <c r="I389" s="35">
        <v>46156</v>
      </c>
      <c r="J389">
        <v>2026</v>
      </c>
      <c r="K389">
        <v>5</v>
      </c>
      <c r="L389" t="s">
        <v>189</v>
      </c>
      <c r="M389">
        <v>1</v>
      </c>
      <c r="N389" t="s">
        <v>190</v>
      </c>
      <c r="O389" t="s">
        <v>191</v>
      </c>
      <c r="P389" t="s">
        <v>199</v>
      </c>
      <c r="Q389" t="s">
        <v>199</v>
      </c>
      <c r="R389">
        <v>20</v>
      </c>
      <c r="S389">
        <v>14</v>
      </c>
      <c r="T389">
        <v>19291</v>
      </c>
      <c r="U389">
        <v>3</v>
      </c>
      <c r="V389" t="s">
        <v>261</v>
      </c>
      <c r="W389" t="s">
        <v>35</v>
      </c>
      <c r="X389" t="s">
        <v>19</v>
      </c>
      <c r="Y389" t="s">
        <v>30</v>
      </c>
      <c r="Z389" t="s">
        <v>30</v>
      </c>
      <c r="AA389">
        <v>8</v>
      </c>
      <c r="AB389">
        <v>101034</v>
      </c>
      <c r="AC389" t="s">
        <v>329</v>
      </c>
      <c r="AD389" t="s">
        <v>330</v>
      </c>
      <c r="AE389">
        <v>0.3</v>
      </c>
      <c r="AF389">
        <v>3</v>
      </c>
      <c r="AG389">
        <v>233.05</v>
      </c>
      <c r="AH389">
        <v>0</v>
      </c>
      <c r="AI389">
        <v>0</v>
      </c>
      <c r="AJ389">
        <v>0</v>
      </c>
      <c r="AK389">
        <v>125.85</v>
      </c>
      <c r="AL389">
        <v>699.15</v>
      </c>
      <c r="AM389">
        <v>825</v>
      </c>
      <c r="AN389">
        <v>8</v>
      </c>
      <c r="AO389" t="s">
        <v>37</v>
      </c>
      <c r="AP389" t="s">
        <v>39</v>
      </c>
      <c r="AQ389">
        <v>10</v>
      </c>
      <c r="AR389">
        <v>136</v>
      </c>
      <c r="AS389" t="s">
        <v>87</v>
      </c>
      <c r="AT389">
        <v>677001</v>
      </c>
      <c r="AU389" t="s">
        <v>273</v>
      </c>
      <c r="AV389" t="s">
        <v>86</v>
      </c>
      <c r="AW389" t="s">
        <v>23</v>
      </c>
      <c r="AX389" t="s">
        <v>24</v>
      </c>
      <c r="AY389" t="s">
        <v>38</v>
      </c>
      <c r="AZ389" t="s">
        <v>197</v>
      </c>
      <c r="BA389" t="s">
        <v>557</v>
      </c>
      <c r="BB389">
        <v>0</v>
      </c>
      <c r="BC389">
        <v>0</v>
      </c>
      <c r="BD389" t="s">
        <v>199</v>
      </c>
      <c r="BE389" t="s">
        <v>199</v>
      </c>
      <c r="BF389">
        <v>0</v>
      </c>
      <c r="BG389">
        <v>0</v>
      </c>
      <c r="BH389" t="s">
        <v>200</v>
      </c>
      <c r="BI389">
        <v>13</v>
      </c>
      <c r="BJ389">
        <v>6367101</v>
      </c>
      <c r="BK389" t="s">
        <v>201</v>
      </c>
      <c r="BL389" t="s">
        <v>190</v>
      </c>
    </row>
    <row r="390" spans="1:64" x14ac:dyDescent="0.3">
      <c r="A390">
        <v>223</v>
      </c>
      <c r="B390" t="s">
        <v>186</v>
      </c>
      <c r="C390">
        <v>3</v>
      </c>
      <c r="D390">
        <v>6367101</v>
      </c>
      <c r="E390" t="s">
        <v>202</v>
      </c>
      <c r="F390" t="s">
        <v>188</v>
      </c>
      <c r="G390">
        <v>10196022</v>
      </c>
      <c r="H390" s="35">
        <v>46156</v>
      </c>
      <c r="I390" s="35">
        <v>46156</v>
      </c>
      <c r="J390">
        <v>2026</v>
      </c>
      <c r="K390">
        <v>5</v>
      </c>
      <c r="L390" t="s">
        <v>189</v>
      </c>
      <c r="M390">
        <v>1</v>
      </c>
      <c r="N390" t="s">
        <v>190</v>
      </c>
      <c r="O390" t="s">
        <v>191</v>
      </c>
      <c r="P390" t="s">
        <v>199</v>
      </c>
      <c r="Q390" t="s">
        <v>199</v>
      </c>
      <c r="R390">
        <v>20</v>
      </c>
      <c r="S390">
        <v>14</v>
      </c>
      <c r="T390">
        <v>19291</v>
      </c>
      <c r="U390">
        <v>3</v>
      </c>
      <c r="V390" t="s">
        <v>261</v>
      </c>
      <c r="W390" t="s">
        <v>35</v>
      </c>
      <c r="X390" t="s">
        <v>19</v>
      </c>
      <c r="Y390" t="s">
        <v>30</v>
      </c>
      <c r="Z390" t="s">
        <v>30</v>
      </c>
      <c r="AA390">
        <v>8</v>
      </c>
      <c r="AB390">
        <v>800089</v>
      </c>
      <c r="AC390" t="s">
        <v>295</v>
      </c>
      <c r="AD390" t="s">
        <v>296</v>
      </c>
      <c r="AE390">
        <v>0.5</v>
      </c>
      <c r="AF390">
        <v>4</v>
      </c>
      <c r="AG390">
        <v>364.41</v>
      </c>
      <c r="AH390">
        <v>0</v>
      </c>
      <c r="AI390">
        <v>0</v>
      </c>
      <c r="AJ390">
        <v>0</v>
      </c>
      <c r="AK390">
        <v>262.38</v>
      </c>
      <c r="AL390">
        <v>1457.64</v>
      </c>
      <c r="AM390">
        <v>1720</v>
      </c>
      <c r="AN390">
        <v>8</v>
      </c>
      <c r="AO390" t="s">
        <v>37</v>
      </c>
      <c r="AP390" t="s">
        <v>39</v>
      </c>
      <c r="AQ390">
        <v>10</v>
      </c>
      <c r="AR390">
        <v>105</v>
      </c>
      <c r="AS390" t="s">
        <v>85</v>
      </c>
      <c r="AT390">
        <v>677001</v>
      </c>
      <c r="AU390" t="s">
        <v>273</v>
      </c>
      <c r="AV390" t="s">
        <v>86</v>
      </c>
      <c r="AW390" t="s">
        <v>23</v>
      </c>
      <c r="AX390" t="s">
        <v>24</v>
      </c>
      <c r="AY390" t="s">
        <v>38</v>
      </c>
      <c r="AZ390" t="s">
        <v>197</v>
      </c>
      <c r="BA390" t="s">
        <v>557</v>
      </c>
      <c r="BB390">
        <v>0</v>
      </c>
      <c r="BC390">
        <v>0</v>
      </c>
      <c r="BD390" t="s">
        <v>199</v>
      </c>
      <c r="BE390" t="s">
        <v>199</v>
      </c>
      <c r="BF390">
        <v>0</v>
      </c>
      <c r="BG390">
        <v>0</v>
      </c>
      <c r="BH390" t="s">
        <v>200</v>
      </c>
      <c r="BI390">
        <v>13</v>
      </c>
      <c r="BJ390">
        <v>6367101</v>
      </c>
      <c r="BK390" t="s">
        <v>201</v>
      </c>
      <c r="BL390" t="s">
        <v>190</v>
      </c>
    </row>
    <row r="391" spans="1:64" x14ac:dyDescent="0.3">
      <c r="A391">
        <v>223</v>
      </c>
      <c r="B391" t="s">
        <v>186</v>
      </c>
      <c r="C391">
        <v>3</v>
      </c>
      <c r="D391">
        <v>6367101</v>
      </c>
      <c r="E391" t="s">
        <v>202</v>
      </c>
      <c r="F391" t="s">
        <v>188</v>
      </c>
      <c r="G391">
        <v>10196022</v>
      </c>
      <c r="H391" s="35">
        <v>46156</v>
      </c>
      <c r="I391" s="35">
        <v>46156</v>
      </c>
      <c r="J391">
        <v>2026</v>
      </c>
      <c r="K391">
        <v>5</v>
      </c>
      <c r="L391" t="s">
        <v>189</v>
      </c>
      <c r="M391">
        <v>1</v>
      </c>
      <c r="N391" t="s">
        <v>190</v>
      </c>
      <c r="O391" t="s">
        <v>191</v>
      </c>
      <c r="P391" t="s">
        <v>199</v>
      </c>
      <c r="Q391" t="s">
        <v>199</v>
      </c>
      <c r="R391">
        <v>20</v>
      </c>
      <c r="S391">
        <v>14</v>
      </c>
      <c r="T391">
        <v>19291</v>
      </c>
      <c r="U391">
        <v>3</v>
      </c>
      <c r="V391" t="s">
        <v>261</v>
      </c>
      <c r="W391" t="s">
        <v>35</v>
      </c>
      <c r="X391" t="s">
        <v>19</v>
      </c>
      <c r="Y391" t="s">
        <v>30</v>
      </c>
      <c r="Z391" t="s">
        <v>30</v>
      </c>
      <c r="AA391">
        <v>8</v>
      </c>
      <c r="AB391">
        <v>101005</v>
      </c>
      <c r="AC391" t="s">
        <v>320</v>
      </c>
      <c r="AD391" t="s">
        <v>321</v>
      </c>
      <c r="AE391">
        <v>1</v>
      </c>
      <c r="AF391">
        <v>30</v>
      </c>
      <c r="AG391">
        <v>73.41</v>
      </c>
      <c r="AH391">
        <v>0</v>
      </c>
      <c r="AI391">
        <v>0</v>
      </c>
      <c r="AJ391">
        <v>0</v>
      </c>
      <c r="AK391">
        <v>396.41</v>
      </c>
      <c r="AL391">
        <v>2202.3000000000002</v>
      </c>
      <c r="AM391">
        <v>2599</v>
      </c>
      <c r="AN391">
        <v>8</v>
      </c>
      <c r="AO391" t="s">
        <v>37</v>
      </c>
      <c r="AP391" t="s">
        <v>39</v>
      </c>
      <c r="AQ391">
        <v>10</v>
      </c>
      <c r="AR391">
        <v>105</v>
      </c>
      <c r="AS391" t="s">
        <v>85</v>
      </c>
      <c r="AT391">
        <v>677001</v>
      </c>
      <c r="AU391" t="s">
        <v>273</v>
      </c>
      <c r="AV391" t="s">
        <v>86</v>
      </c>
      <c r="AW391" t="s">
        <v>23</v>
      </c>
      <c r="AX391" t="s">
        <v>24</v>
      </c>
      <c r="AY391" t="s">
        <v>38</v>
      </c>
      <c r="AZ391" t="s">
        <v>197</v>
      </c>
      <c r="BA391" t="s">
        <v>557</v>
      </c>
      <c r="BB391">
        <v>0</v>
      </c>
      <c r="BC391">
        <v>0</v>
      </c>
      <c r="BD391" t="s">
        <v>199</v>
      </c>
      <c r="BE391" t="s">
        <v>199</v>
      </c>
      <c r="BF391">
        <v>0</v>
      </c>
      <c r="BG391">
        <v>0</v>
      </c>
      <c r="BH391" t="s">
        <v>200</v>
      </c>
      <c r="BI391">
        <v>13</v>
      </c>
      <c r="BJ391">
        <v>6367101</v>
      </c>
      <c r="BK391" t="s">
        <v>201</v>
      </c>
      <c r="BL391" t="s">
        <v>190</v>
      </c>
    </row>
    <row r="392" spans="1:64" x14ac:dyDescent="0.3">
      <c r="A392">
        <v>223</v>
      </c>
      <c r="B392" t="s">
        <v>186</v>
      </c>
      <c r="C392">
        <v>3</v>
      </c>
      <c r="D392">
        <v>6367101</v>
      </c>
      <c r="E392" t="s">
        <v>202</v>
      </c>
      <c r="F392" t="s">
        <v>188</v>
      </c>
      <c r="G392">
        <v>10196022</v>
      </c>
      <c r="H392" s="35">
        <v>46156</v>
      </c>
      <c r="I392" s="35">
        <v>46156</v>
      </c>
      <c r="J392">
        <v>2026</v>
      </c>
      <c r="K392">
        <v>5</v>
      </c>
      <c r="L392" t="s">
        <v>189</v>
      </c>
      <c r="M392">
        <v>1</v>
      </c>
      <c r="N392" t="s">
        <v>190</v>
      </c>
      <c r="O392" t="s">
        <v>191</v>
      </c>
      <c r="P392" t="s">
        <v>199</v>
      </c>
      <c r="Q392" t="s">
        <v>199</v>
      </c>
      <c r="R392">
        <v>20</v>
      </c>
      <c r="S392">
        <v>14</v>
      </c>
      <c r="T392">
        <v>19291</v>
      </c>
      <c r="U392">
        <v>3</v>
      </c>
      <c r="V392" t="s">
        <v>261</v>
      </c>
      <c r="W392" t="s">
        <v>35</v>
      </c>
      <c r="X392" t="s">
        <v>19</v>
      </c>
      <c r="Y392" t="s">
        <v>30</v>
      </c>
      <c r="Z392" t="s">
        <v>30</v>
      </c>
      <c r="AA392">
        <v>8</v>
      </c>
      <c r="AB392">
        <v>101027</v>
      </c>
      <c r="AC392" t="s">
        <v>323</v>
      </c>
      <c r="AD392" t="s">
        <v>324</v>
      </c>
      <c r="AE392">
        <v>1</v>
      </c>
      <c r="AF392">
        <v>24</v>
      </c>
      <c r="AG392">
        <v>73.41</v>
      </c>
      <c r="AH392">
        <v>0</v>
      </c>
      <c r="AI392">
        <v>0</v>
      </c>
      <c r="AJ392">
        <v>0</v>
      </c>
      <c r="AK392">
        <v>317.13</v>
      </c>
      <c r="AL392">
        <v>1761.84</v>
      </c>
      <c r="AM392">
        <v>2079</v>
      </c>
      <c r="AN392">
        <v>8</v>
      </c>
      <c r="AO392" t="s">
        <v>37</v>
      </c>
      <c r="AP392" t="s">
        <v>39</v>
      </c>
      <c r="AQ392">
        <v>10</v>
      </c>
      <c r="AR392">
        <v>105</v>
      </c>
      <c r="AS392" t="s">
        <v>85</v>
      </c>
      <c r="AT392">
        <v>677001</v>
      </c>
      <c r="AU392" t="s">
        <v>273</v>
      </c>
      <c r="AV392" t="s">
        <v>86</v>
      </c>
      <c r="AW392" t="s">
        <v>23</v>
      </c>
      <c r="AX392" t="s">
        <v>24</v>
      </c>
      <c r="AY392" t="s">
        <v>38</v>
      </c>
      <c r="AZ392" t="s">
        <v>197</v>
      </c>
      <c r="BA392" t="s">
        <v>557</v>
      </c>
      <c r="BB392">
        <v>0</v>
      </c>
      <c r="BC392">
        <v>0</v>
      </c>
      <c r="BD392" t="s">
        <v>199</v>
      </c>
      <c r="BE392" t="s">
        <v>199</v>
      </c>
      <c r="BF392">
        <v>0</v>
      </c>
      <c r="BG392">
        <v>0</v>
      </c>
      <c r="BH392" t="s">
        <v>200</v>
      </c>
      <c r="BI392">
        <v>13</v>
      </c>
      <c r="BJ392">
        <v>6367101</v>
      </c>
      <c r="BK392" t="s">
        <v>201</v>
      </c>
      <c r="BL392" t="s">
        <v>190</v>
      </c>
    </row>
    <row r="393" spans="1:64" x14ac:dyDescent="0.3">
      <c r="A393">
        <v>223</v>
      </c>
      <c r="B393" t="s">
        <v>186</v>
      </c>
      <c r="C393">
        <v>3</v>
      </c>
      <c r="D393">
        <v>6367101</v>
      </c>
      <c r="E393" t="s">
        <v>202</v>
      </c>
      <c r="F393" t="s">
        <v>188</v>
      </c>
      <c r="G393">
        <v>10196022</v>
      </c>
      <c r="H393" s="35">
        <v>46156</v>
      </c>
      <c r="I393" s="35">
        <v>46156</v>
      </c>
      <c r="J393">
        <v>2026</v>
      </c>
      <c r="K393">
        <v>5</v>
      </c>
      <c r="L393" t="s">
        <v>189</v>
      </c>
      <c r="M393">
        <v>1</v>
      </c>
      <c r="N393" t="s">
        <v>190</v>
      </c>
      <c r="O393" t="s">
        <v>191</v>
      </c>
      <c r="P393" t="s">
        <v>199</v>
      </c>
      <c r="Q393" t="s">
        <v>199</v>
      </c>
      <c r="R393">
        <v>20</v>
      </c>
      <c r="S393">
        <v>14</v>
      </c>
      <c r="T393">
        <v>19291</v>
      </c>
      <c r="U393">
        <v>3</v>
      </c>
      <c r="V393" t="s">
        <v>261</v>
      </c>
      <c r="W393" t="s">
        <v>35</v>
      </c>
      <c r="X393" t="s">
        <v>19</v>
      </c>
      <c r="Y393" t="s">
        <v>30</v>
      </c>
      <c r="Z393" t="s">
        <v>30</v>
      </c>
      <c r="AA393">
        <v>8</v>
      </c>
      <c r="AB393">
        <v>101028</v>
      </c>
      <c r="AC393" t="s">
        <v>325</v>
      </c>
      <c r="AD393" t="s">
        <v>326</v>
      </c>
      <c r="AE393">
        <v>1</v>
      </c>
      <c r="AF393">
        <v>18</v>
      </c>
      <c r="AG393">
        <v>98.4</v>
      </c>
      <c r="AH393">
        <v>0</v>
      </c>
      <c r="AI393">
        <v>0</v>
      </c>
      <c r="AJ393">
        <v>0</v>
      </c>
      <c r="AK393">
        <v>318.82</v>
      </c>
      <c r="AL393">
        <v>1771.2</v>
      </c>
      <c r="AM393">
        <v>2090</v>
      </c>
      <c r="AN393">
        <v>8</v>
      </c>
      <c r="AO393" t="s">
        <v>37</v>
      </c>
      <c r="AP393" t="s">
        <v>39</v>
      </c>
      <c r="AQ393">
        <v>10</v>
      </c>
      <c r="AR393">
        <v>105</v>
      </c>
      <c r="AS393" t="s">
        <v>85</v>
      </c>
      <c r="AT393">
        <v>677001</v>
      </c>
      <c r="AU393" t="s">
        <v>273</v>
      </c>
      <c r="AV393" t="s">
        <v>86</v>
      </c>
      <c r="AW393" t="s">
        <v>23</v>
      </c>
      <c r="AX393" t="s">
        <v>24</v>
      </c>
      <c r="AY393" t="s">
        <v>38</v>
      </c>
      <c r="AZ393" t="s">
        <v>197</v>
      </c>
      <c r="BA393" t="s">
        <v>557</v>
      </c>
      <c r="BB393">
        <v>0</v>
      </c>
      <c r="BC393">
        <v>0</v>
      </c>
      <c r="BD393" t="s">
        <v>199</v>
      </c>
      <c r="BE393" t="s">
        <v>199</v>
      </c>
      <c r="BF393">
        <v>0</v>
      </c>
      <c r="BG393">
        <v>0</v>
      </c>
      <c r="BH393" t="s">
        <v>200</v>
      </c>
      <c r="BI393">
        <v>13</v>
      </c>
      <c r="BJ393">
        <v>6367101</v>
      </c>
      <c r="BK393" t="s">
        <v>201</v>
      </c>
      <c r="BL393" t="s">
        <v>190</v>
      </c>
    </row>
    <row r="394" spans="1:64" x14ac:dyDescent="0.3">
      <c r="A394">
        <v>223</v>
      </c>
      <c r="B394" t="s">
        <v>186</v>
      </c>
      <c r="C394">
        <v>3</v>
      </c>
      <c r="D394">
        <v>6367101</v>
      </c>
      <c r="E394" t="s">
        <v>202</v>
      </c>
      <c r="F394" t="s">
        <v>188</v>
      </c>
      <c r="G394">
        <v>10196022</v>
      </c>
      <c r="H394" s="35">
        <v>46156</v>
      </c>
      <c r="I394" s="35">
        <v>46156</v>
      </c>
      <c r="J394">
        <v>2026</v>
      </c>
      <c r="K394">
        <v>5</v>
      </c>
      <c r="L394" t="s">
        <v>189</v>
      </c>
      <c r="M394">
        <v>1</v>
      </c>
      <c r="N394" t="s">
        <v>190</v>
      </c>
      <c r="O394" t="s">
        <v>191</v>
      </c>
      <c r="P394" t="s">
        <v>199</v>
      </c>
      <c r="Q394" t="s">
        <v>199</v>
      </c>
      <c r="R394">
        <v>20</v>
      </c>
      <c r="S394">
        <v>14</v>
      </c>
      <c r="T394">
        <v>19291</v>
      </c>
      <c r="U394">
        <v>3</v>
      </c>
      <c r="V394" t="s">
        <v>261</v>
      </c>
      <c r="W394" t="s">
        <v>35</v>
      </c>
      <c r="X394" t="s">
        <v>19</v>
      </c>
      <c r="Y394" t="s">
        <v>30</v>
      </c>
      <c r="Z394" t="s">
        <v>30</v>
      </c>
      <c r="AA394">
        <v>8</v>
      </c>
      <c r="AB394">
        <v>101026</v>
      </c>
      <c r="AC394" t="s">
        <v>372</v>
      </c>
      <c r="AD394" t="s">
        <v>373</v>
      </c>
      <c r="AE394">
        <v>1</v>
      </c>
      <c r="AF394">
        <v>36</v>
      </c>
      <c r="AG394">
        <v>33.06</v>
      </c>
      <c r="AH394">
        <v>0</v>
      </c>
      <c r="AI394">
        <v>0</v>
      </c>
      <c r="AJ394">
        <v>0</v>
      </c>
      <c r="AK394">
        <v>214.23</v>
      </c>
      <c r="AL394">
        <v>1190.1600000000001</v>
      </c>
      <c r="AM394">
        <v>1404</v>
      </c>
      <c r="AN394">
        <v>8</v>
      </c>
      <c r="AO394" t="s">
        <v>37</v>
      </c>
      <c r="AP394" t="s">
        <v>39</v>
      </c>
      <c r="AQ394">
        <v>10</v>
      </c>
      <c r="AR394">
        <v>136</v>
      </c>
      <c r="AS394" t="s">
        <v>87</v>
      </c>
      <c r="AT394">
        <v>677001</v>
      </c>
      <c r="AU394" t="s">
        <v>273</v>
      </c>
      <c r="AV394" t="s">
        <v>86</v>
      </c>
      <c r="AW394" t="s">
        <v>23</v>
      </c>
      <c r="AX394" t="s">
        <v>24</v>
      </c>
      <c r="AY394" t="s">
        <v>38</v>
      </c>
      <c r="AZ394" t="s">
        <v>197</v>
      </c>
      <c r="BA394" t="s">
        <v>557</v>
      </c>
      <c r="BB394">
        <v>0</v>
      </c>
      <c r="BC394">
        <v>0</v>
      </c>
      <c r="BD394" t="s">
        <v>199</v>
      </c>
      <c r="BE394" t="s">
        <v>199</v>
      </c>
      <c r="BF394">
        <v>0</v>
      </c>
      <c r="BG394">
        <v>0</v>
      </c>
      <c r="BH394" t="s">
        <v>200</v>
      </c>
      <c r="BI394">
        <v>13</v>
      </c>
      <c r="BJ394">
        <v>6367101</v>
      </c>
      <c r="BK394" t="s">
        <v>201</v>
      </c>
      <c r="BL394" t="s">
        <v>190</v>
      </c>
    </row>
    <row r="395" spans="1:64" x14ac:dyDescent="0.3">
      <c r="A395">
        <v>242</v>
      </c>
      <c r="B395" t="s">
        <v>186</v>
      </c>
      <c r="C395">
        <v>3</v>
      </c>
      <c r="D395">
        <v>6367149</v>
      </c>
      <c r="E395" t="s">
        <v>275</v>
      </c>
      <c r="F395" t="s">
        <v>188</v>
      </c>
      <c r="G395">
        <v>10196070</v>
      </c>
      <c r="H395" s="35">
        <v>46156</v>
      </c>
      <c r="I395" s="35">
        <v>46156</v>
      </c>
      <c r="J395">
        <v>2026</v>
      </c>
      <c r="K395">
        <v>5</v>
      </c>
      <c r="L395" t="s">
        <v>189</v>
      </c>
      <c r="M395">
        <v>1</v>
      </c>
      <c r="N395" t="s">
        <v>190</v>
      </c>
      <c r="O395" t="s">
        <v>191</v>
      </c>
      <c r="P395" t="s">
        <v>199</v>
      </c>
      <c r="Q395" t="s">
        <v>199</v>
      </c>
      <c r="R395">
        <v>20</v>
      </c>
      <c r="S395">
        <v>14</v>
      </c>
      <c r="T395">
        <v>2280</v>
      </c>
      <c r="U395">
        <v>3</v>
      </c>
      <c r="V395" t="s">
        <v>193</v>
      </c>
      <c r="W395" t="s">
        <v>29</v>
      </c>
      <c r="X395" t="s">
        <v>19</v>
      </c>
      <c r="Y395" t="s">
        <v>30</v>
      </c>
      <c r="Z395" t="s">
        <v>30</v>
      </c>
      <c r="AA395">
        <v>14</v>
      </c>
      <c r="AB395">
        <v>103001</v>
      </c>
      <c r="AC395" t="s">
        <v>286</v>
      </c>
      <c r="AD395" t="s">
        <v>287</v>
      </c>
      <c r="AE395">
        <v>1</v>
      </c>
      <c r="AF395">
        <v>48</v>
      </c>
      <c r="AG395">
        <v>21.36</v>
      </c>
      <c r="AH395">
        <v>0</v>
      </c>
      <c r="AI395">
        <v>0</v>
      </c>
      <c r="AJ395">
        <v>0</v>
      </c>
      <c r="AK395">
        <v>184.55</v>
      </c>
      <c r="AL395">
        <v>1025.28</v>
      </c>
      <c r="AM395">
        <v>1210</v>
      </c>
      <c r="AN395">
        <v>14</v>
      </c>
      <c r="AO395" t="s">
        <v>32</v>
      </c>
      <c r="AP395" t="s">
        <v>34</v>
      </c>
      <c r="AQ395">
        <v>10</v>
      </c>
      <c r="AR395">
        <v>107</v>
      </c>
      <c r="AS395" t="s">
        <v>96</v>
      </c>
      <c r="AT395">
        <v>6770651</v>
      </c>
      <c r="AU395" t="s">
        <v>288</v>
      </c>
      <c r="AV395" t="s">
        <v>86</v>
      </c>
      <c r="AW395" t="s">
        <v>23</v>
      </c>
      <c r="AX395" t="s">
        <v>24</v>
      </c>
      <c r="AY395" t="s">
        <v>33</v>
      </c>
      <c r="AZ395" t="s">
        <v>197</v>
      </c>
      <c r="BA395" t="s">
        <v>558</v>
      </c>
      <c r="BB395">
        <v>0</v>
      </c>
      <c r="BC395">
        <v>0</v>
      </c>
      <c r="BD395" t="s">
        <v>199</v>
      </c>
      <c r="BE395" t="s">
        <v>199</v>
      </c>
      <c r="BF395">
        <v>0</v>
      </c>
      <c r="BG395">
        <v>0</v>
      </c>
      <c r="BH395" t="s">
        <v>200</v>
      </c>
      <c r="BI395">
        <v>13</v>
      </c>
      <c r="BJ395">
        <v>6367149</v>
      </c>
      <c r="BK395" t="s">
        <v>201</v>
      </c>
      <c r="BL395" t="s">
        <v>190</v>
      </c>
    </row>
    <row r="396" spans="1:64" x14ac:dyDescent="0.3">
      <c r="A396">
        <v>242</v>
      </c>
      <c r="B396" t="s">
        <v>186</v>
      </c>
      <c r="C396">
        <v>3</v>
      </c>
      <c r="D396">
        <v>6367149</v>
      </c>
      <c r="E396" t="s">
        <v>275</v>
      </c>
      <c r="F396" t="s">
        <v>188</v>
      </c>
      <c r="G396">
        <v>10196070</v>
      </c>
      <c r="H396" s="35">
        <v>46156</v>
      </c>
      <c r="I396" s="35">
        <v>46156</v>
      </c>
      <c r="J396">
        <v>2026</v>
      </c>
      <c r="K396">
        <v>5</v>
      </c>
      <c r="L396" t="s">
        <v>189</v>
      </c>
      <c r="M396">
        <v>1</v>
      </c>
      <c r="N396" t="s">
        <v>190</v>
      </c>
      <c r="O396" t="s">
        <v>191</v>
      </c>
      <c r="P396" t="s">
        <v>199</v>
      </c>
      <c r="Q396" t="s">
        <v>199</v>
      </c>
      <c r="R396">
        <v>20</v>
      </c>
      <c r="S396">
        <v>14</v>
      </c>
      <c r="T396">
        <v>2280</v>
      </c>
      <c r="U396">
        <v>3</v>
      </c>
      <c r="V396" t="s">
        <v>193</v>
      </c>
      <c r="W396" t="s">
        <v>29</v>
      </c>
      <c r="X396" t="s">
        <v>19</v>
      </c>
      <c r="Y396" t="s">
        <v>30</v>
      </c>
      <c r="Z396" t="s">
        <v>30</v>
      </c>
      <c r="AA396">
        <v>14</v>
      </c>
      <c r="AB396">
        <v>201001</v>
      </c>
      <c r="AC396" t="s">
        <v>248</v>
      </c>
      <c r="AD396" t="s">
        <v>249</v>
      </c>
      <c r="AE396">
        <v>2</v>
      </c>
      <c r="AF396">
        <v>2</v>
      </c>
      <c r="AG396">
        <v>221.67</v>
      </c>
      <c r="AH396">
        <v>0</v>
      </c>
      <c r="AI396">
        <v>0</v>
      </c>
      <c r="AJ396">
        <v>0</v>
      </c>
      <c r="AK396">
        <v>79.8</v>
      </c>
      <c r="AL396">
        <v>443.34</v>
      </c>
      <c r="AM396">
        <v>523</v>
      </c>
      <c r="AN396">
        <v>14</v>
      </c>
      <c r="AO396" t="s">
        <v>32</v>
      </c>
      <c r="AP396" t="s">
        <v>34</v>
      </c>
      <c r="AQ396">
        <v>10</v>
      </c>
      <c r="AR396">
        <v>113</v>
      </c>
      <c r="AS396" t="s">
        <v>89</v>
      </c>
      <c r="AT396">
        <v>82101</v>
      </c>
      <c r="AU396" t="s">
        <v>252</v>
      </c>
      <c r="AV396" t="s">
        <v>80</v>
      </c>
      <c r="AW396" t="s">
        <v>23</v>
      </c>
      <c r="AX396" t="s">
        <v>24</v>
      </c>
      <c r="AY396" t="s">
        <v>33</v>
      </c>
      <c r="AZ396" t="s">
        <v>197</v>
      </c>
      <c r="BA396" t="s">
        <v>558</v>
      </c>
      <c r="BB396">
        <v>0</v>
      </c>
      <c r="BC396">
        <v>0</v>
      </c>
      <c r="BD396" t="s">
        <v>199</v>
      </c>
      <c r="BE396" t="s">
        <v>199</v>
      </c>
      <c r="BF396">
        <v>0</v>
      </c>
      <c r="BG396">
        <v>0</v>
      </c>
      <c r="BH396" t="s">
        <v>200</v>
      </c>
      <c r="BI396">
        <v>13</v>
      </c>
      <c r="BJ396">
        <v>6367149</v>
      </c>
      <c r="BK396" t="s">
        <v>201</v>
      </c>
      <c r="BL396" t="s">
        <v>190</v>
      </c>
    </row>
    <row r="397" spans="1:64" x14ac:dyDescent="0.3">
      <c r="A397">
        <v>242</v>
      </c>
      <c r="B397" t="s">
        <v>186</v>
      </c>
      <c r="C397">
        <v>3</v>
      </c>
      <c r="D397">
        <v>6367149</v>
      </c>
      <c r="E397" t="s">
        <v>275</v>
      </c>
      <c r="F397" t="s">
        <v>188</v>
      </c>
      <c r="G397">
        <v>10196070</v>
      </c>
      <c r="H397" s="35">
        <v>46156</v>
      </c>
      <c r="I397" s="35">
        <v>46156</v>
      </c>
      <c r="J397">
        <v>2026</v>
      </c>
      <c r="K397">
        <v>5</v>
      </c>
      <c r="L397" t="s">
        <v>189</v>
      </c>
      <c r="M397">
        <v>1</v>
      </c>
      <c r="N397" t="s">
        <v>190</v>
      </c>
      <c r="O397" t="s">
        <v>191</v>
      </c>
      <c r="P397" t="s">
        <v>199</v>
      </c>
      <c r="Q397" t="s">
        <v>199</v>
      </c>
      <c r="R397">
        <v>20</v>
      </c>
      <c r="S397">
        <v>14</v>
      </c>
      <c r="T397">
        <v>2280</v>
      </c>
      <c r="U397">
        <v>3</v>
      </c>
      <c r="V397" t="s">
        <v>193</v>
      </c>
      <c r="W397" t="s">
        <v>29</v>
      </c>
      <c r="X397" t="s">
        <v>19</v>
      </c>
      <c r="Y397" t="s">
        <v>30</v>
      </c>
      <c r="Z397" t="s">
        <v>30</v>
      </c>
      <c r="AA397">
        <v>14</v>
      </c>
      <c r="AB397">
        <v>103001</v>
      </c>
      <c r="AC397" t="s">
        <v>286</v>
      </c>
      <c r="AD397" t="s">
        <v>287</v>
      </c>
      <c r="AE397">
        <v>0.16666666666666</v>
      </c>
      <c r="AF397">
        <v>8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14</v>
      </c>
      <c r="AO397" t="s">
        <v>32</v>
      </c>
      <c r="AP397" t="s">
        <v>34</v>
      </c>
      <c r="AQ397">
        <v>10</v>
      </c>
      <c r="AR397">
        <v>107</v>
      </c>
      <c r="AS397" t="s">
        <v>96</v>
      </c>
      <c r="AT397">
        <v>6770651</v>
      </c>
      <c r="AU397" t="s">
        <v>288</v>
      </c>
      <c r="AV397" t="s">
        <v>86</v>
      </c>
      <c r="AW397" t="s">
        <v>23</v>
      </c>
      <c r="AX397" t="s">
        <v>24</v>
      </c>
      <c r="AY397" t="s">
        <v>33</v>
      </c>
      <c r="AZ397" t="s">
        <v>197</v>
      </c>
      <c r="BA397" t="s">
        <v>558</v>
      </c>
      <c r="BB397">
        <v>0</v>
      </c>
      <c r="BC397">
        <v>1</v>
      </c>
      <c r="BD397">
        <v>3590</v>
      </c>
      <c r="BE397" t="s">
        <v>559</v>
      </c>
      <c r="BF397">
        <v>0</v>
      </c>
      <c r="BG397">
        <v>0</v>
      </c>
      <c r="BH397" t="s">
        <v>200</v>
      </c>
      <c r="BI397">
        <v>13</v>
      </c>
      <c r="BJ397">
        <v>6367149</v>
      </c>
      <c r="BK397" t="s">
        <v>201</v>
      </c>
      <c r="BL397" t="s">
        <v>190</v>
      </c>
    </row>
    <row r="398" spans="1:64" x14ac:dyDescent="0.3">
      <c r="A398">
        <v>119</v>
      </c>
      <c r="B398" t="s">
        <v>186</v>
      </c>
      <c r="C398">
        <v>3</v>
      </c>
      <c r="D398">
        <v>6368646</v>
      </c>
      <c r="E398" t="s">
        <v>489</v>
      </c>
      <c r="F398" t="s">
        <v>188</v>
      </c>
      <c r="G398">
        <v>10197567</v>
      </c>
      <c r="H398" s="35">
        <v>46157</v>
      </c>
      <c r="I398" s="35">
        <v>46157</v>
      </c>
      <c r="J398">
        <v>2026</v>
      </c>
      <c r="K398">
        <v>5</v>
      </c>
      <c r="L398" t="s">
        <v>189</v>
      </c>
      <c r="M398">
        <v>1</v>
      </c>
      <c r="N398" t="s">
        <v>203</v>
      </c>
      <c r="O398" t="s">
        <v>191</v>
      </c>
      <c r="P398" t="s">
        <v>199</v>
      </c>
      <c r="Q398" t="s">
        <v>199</v>
      </c>
      <c r="R398">
        <v>20</v>
      </c>
      <c r="S398">
        <v>15</v>
      </c>
      <c r="T398">
        <v>36908</v>
      </c>
      <c r="U398">
        <v>3</v>
      </c>
      <c r="V398" t="s">
        <v>215</v>
      </c>
      <c r="W398" t="s">
        <v>67</v>
      </c>
      <c r="X398" t="s">
        <v>28</v>
      </c>
      <c r="Y398" t="s">
        <v>30</v>
      </c>
      <c r="Z398" t="s">
        <v>30</v>
      </c>
      <c r="AA398">
        <v>11</v>
      </c>
      <c r="AB398">
        <v>930021</v>
      </c>
      <c r="AC398" t="s">
        <v>205</v>
      </c>
      <c r="AD398" t="s">
        <v>206</v>
      </c>
      <c r="AE398">
        <v>0.125</v>
      </c>
      <c r="AF398">
        <v>2</v>
      </c>
      <c r="AG398">
        <v>91.09</v>
      </c>
      <c r="AH398">
        <v>0</v>
      </c>
      <c r="AI398">
        <v>0</v>
      </c>
      <c r="AJ398">
        <v>0</v>
      </c>
      <c r="AK398">
        <v>32.79</v>
      </c>
      <c r="AL398">
        <v>182.18</v>
      </c>
      <c r="AM398">
        <v>215</v>
      </c>
      <c r="AN398">
        <v>199</v>
      </c>
      <c r="AO398" t="s">
        <v>218</v>
      </c>
      <c r="AP398" t="s">
        <v>219</v>
      </c>
      <c r="AQ398">
        <v>10</v>
      </c>
      <c r="AR398">
        <v>208</v>
      </c>
      <c r="AS398" t="s">
        <v>92</v>
      </c>
      <c r="AT398">
        <v>0</v>
      </c>
      <c r="AU398" t="s">
        <v>199</v>
      </c>
      <c r="AV398" t="s">
        <v>82</v>
      </c>
      <c r="AW398" t="s">
        <v>70</v>
      </c>
      <c r="AX398" t="s">
        <v>71</v>
      </c>
      <c r="AY398" t="s">
        <v>220</v>
      </c>
      <c r="AZ398" t="s">
        <v>221</v>
      </c>
      <c r="BA398" t="s">
        <v>560</v>
      </c>
      <c r="BB398">
        <v>0</v>
      </c>
      <c r="BC398">
        <v>0</v>
      </c>
      <c r="BD398" t="s">
        <v>199</v>
      </c>
      <c r="BE398" t="s">
        <v>199</v>
      </c>
      <c r="BF398">
        <v>0</v>
      </c>
      <c r="BG398">
        <v>0</v>
      </c>
      <c r="BH398" t="s">
        <v>200</v>
      </c>
      <c r="BI398">
        <v>13</v>
      </c>
      <c r="BJ398">
        <v>6368646</v>
      </c>
      <c r="BK398" t="s">
        <v>201</v>
      </c>
      <c r="BL398" t="s">
        <v>190</v>
      </c>
    </row>
    <row r="399" spans="1:64" x14ac:dyDescent="0.3">
      <c r="A399">
        <v>119</v>
      </c>
      <c r="B399" t="s">
        <v>186</v>
      </c>
      <c r="C399">
        <v>3</v>
      </c>
      <c r="D399">
        <v>6368646</v>
      </c>
      <c r="E399" t="s">
        <v>489</v>
      </c>
      <c r="F399" t="s">
        <v>188</v>
      </c>
      <c r="G399">
        <v>10197567</v>
      </c>
      <c r="H399" s="35">
        <v>46157</v>
      </c>
      <c r="I399" s="35">
        <v>46157</v>
      </c>
      <c r="J399">
        <v>2026</v>
      </c>
      <c r="K399">
        <v>5</v>
      </c>
      <c r="L399" t="s">
        <v>189</v>
      </c>
      <c r="M399">
        <v>1</v>
      </c>
      <c r="N399" t="s">
        <v>203</v>
      </c>
      <c r="O399" t="s">
        <v>191</v>
      </c>
      <c r="P399" t="s">
        <v>199</v>
      </c>
      <c r="Q399" t="s">
        <v>199</v>
      </c>
      <c r="R399">
        <v>20</v>
      </c>
      <c r="S399">
        <v>15</v>
      </c>
      <c r="T399">
        <v>36908</v>
      </c>
      <c r="U399">
        <v>3</v>
      </c>
      <c r="V399" t="s">
        <v>215</v>
      </c>
      <c r="W399" t="s">
        <v>67</v>
      </c>
      <c r="X399" t="s">
        <v>28</v>
      </c>
      <c r="Y399" t="s">
        <v>30</v>
      </c>
      <c r="Z399" t="s">
        <v>30</v>
      </c>
      <c r="AA399">
        <v>11</v>
      </c>
      <c r="AB399">
        <v>930022</v>
      </c>
      <c r="AC399" t="s">
        <v>518</v>
      </c>
      <c r="AD399" t="s">
        <v>519</v>
      </c>
      <c r="AE399">
        <v>0.125</v>
      </c>
      <c r="AF399">
        <v>2</v>
      </c>
      <c r="AG399">
        <v>91.09</v>
      </c>
      <c r="AH399">
        <v>0</v>
      </c>
      <c r="AI399">
        <v>0</v>
      </c>
      <c r="AJ399">
        <v>0</v>
      </c>
      <c r="AK399">
        <v>32.79</v>
      </c>
      <c r="AL399">
        <v>182.18</v>
      </c>
      <c r="AM399">
        <v>215</v>
      </c>
      <c r="AN399">
        <v>199</v>
      </c>
      <c r="AO399" t="s">
        <v>218</v>
      </c>
      <c r="AP399" t="s">
        <v>219</v>
      </c>
      <c r="AQ399">
        <v>10</v>
      </c>
      <c r="AR399">
        <v>208</v>
      </c>
      <c r="AS399" t="s">
        <v>92</v>
      </c>
      <c r="AT399">
        <v>0</v>
      </c>
      <c r="AU399" t="s">
        <v>199</v>
      </c>
      <c r="AV399" t="s">
        <v>82</v>
      </c>
      <c r="AW399" t="s">
        <v>70</v>
      </c>
      <c r="AX399" t="s">
        <v>71</v>
      </c>
      <c r="AY399" t="s">
        <v>220</v>
      </c>
      <c r="AZ399" t="s">
        <v>221</v>
      </c>
      <c r="BA399" t="s">
        <v>560</v>
      </c>
      <c r="BB399">
        <v>0</v>
      </c>
      <c r="BC399">
        <v>0</v>
      </c>
      <c r="BD399" t="s">
        <v>199</v>
      </c>
      <c r="BE399" t="s">
        <v>199</v>
      </c>
      <c r="BF399">
        <v>0</v>
      </c>
      <c r="BG399">
        <v>0</v>
      </c>
      <c r="BH399" t="s">
        <v>200</v>
      </c>
      <c r="BI399">
        <v>13</v>
      </c>
      <c r="BJ399">
        <v>6368646</v>
      </c>
      <c r="BK399" t="s">
        <v>201</v>
      </c>
      <c r="BL399" t="s">
        <v>190</v>
      </c>
    </row>
    <row r="400" spans="1:64" x14ac:dyDescent="0.3">
      <c r="A400">
        <v>119</v>
      </c>
      <c r="B400" t="s">
        <v>186</v>
      </c>
      <c r="C400">
        <v>3</v>
      </c>
      <c r="D400">
        <v>6368646</v>
      </c>
      <c r="E400" t="s">
        <v>489</v>
      </c>
      <c r="F400" t="s">
        <v>188</v>
      </c>
      <c r="G400">
        <v>10197567</v>
      </c>
      <c r="H400" s="35">
        <v>46157</v>
      </c>
      <c r="I400" s="35">
        <v>46157</v>
      </c>
      <c r="J400">
        <v>2026</v>
      </c>
      <c r="K400">
        <v>5</v>
      </c>
      <c r="L400" t="s">
        <v>189</v>
      </c>
      <c r="M400">
        <v>1</v>
      </c>
      <c r="N400" t="s">
        <v>190</v>
      </c>
      <c r="O400" t="s">
        <v>191</v>
      </c>
      <c r="P400" t="s">
        <v>199</v>
      </c>
      <c r="Q400" t="s">
        <v>199</v>
      </c>
      <c r="R400">
        <v>20</v>
      </c>
      <c r="S400">
        <v>15</v>
      </c>
      <c r="T400">
        <v>36908</v>
      </c>
      <c r="U400">
        <v>3</v>
      </c>
      <c r="V400" t="s">
        <v>215</v>
      </c>
      <c r="W400" t="s">
        <v>67</v>
      </c>
      <c r="X400" t="s">
        <v>28</v>
      </c>
      <c r="Y400" t="s">
        <v>30</v>
      </c>
      <c r="Z400" t="s">
        <v>30</v>
      </c>
      <c r="AA400">
        <v>11</v>
      </c>
      <c r="AB400">
        <v>101038</v>
      </c>
      <c r="AC400" t="s">
        <v>271</v>
      </c>
      <c r="AD400" t="s">
        <v>272</v>
      </c>
      <c r="AE400">
        <v>1</v>
      </c>
      <c r="AF400">
        <v>10</v>
      </c>
      <c r="AG400">
        <v>364.41</v>
      </c>
      <c r="AH400">
        <v>0</v>
      </c>
      <c r="AI400">
        <v>0</v>
      </c>
      <c r="AJ400">
        <v>0</v>
      </c>
      <c r="AK400">
        <v>655.94</v>
      </c>
      <c r="AL400">
        <v>3644.1</v>
      </c>
      <c r="AM400">
        <v>4300</v>
      </c>
      <c r="AN400">
        <v>199</v>
      </c>
      <c r="AO400" t="s">
        <v>218</v>
      </c>
      <c r="AP400" t="s">
        <v>219</v>
      </c>
      <c r="AQ400">
        <v>10</v>
      </c>
      <c r="AR400">
        <v>105</v>
      </c>
      <c r="AS400" t="s">
        <v>85</v>
      </c>
      <c r="AT400">
        <v>677001</v>
      </c>
      <c r="AU400" t="s">
        <v>273</v>
      </c>
      <c r="AV400" t="s">
        <v>86</v>
      </c>
      <c r="AW400" t="s">
        <v>70</v>
      </c>
      <c r="AX400" t="s">
        <v>71</v>
      </c>
      <c r="AY400" t="s">
        <v>220</v>
      </c>
      <c r="AZ400" t="s">
        <v>221</v>
      </c>
      <c r="BA400" t="s">
        <v>560</v>
      </c>
      <c r="BB400">
        <v>0</v>
      </c>
      <c r="BC400">
        <v>0</v>
      </c>
      <c r="BD400" t="s">
        <v>199</v>
      </c>
      <c r="BE400" t="s">
        <v>199</v>
      </c>
      <c r="BF400">
        <v>0</v>
      </c>
      <c r="BG400">
        <v>0</v>
      </c>
      <c r="BH400" t="s">
        <v>200</v>
      </c>
      <c r="BI400">
        <v>13</v>
      </c>
      <c r="BJ400">
        <v>6368646</v>
      </c>
      <c r="BK400" t="s">
        <v>201</v>
      </c>
      <c r="BL400" t="s">
        <v>190</v>
      </c>
    </row>
    <row r="401" spans="1:64" x14ac:dyDescent="0.3">
      <c r="A401">
        <v>223</v>
      </c>
      <c r="B401" t="s">
        <v>186</v>
      </c>
      <c r="C401">
        <v>3</v>
      </c>
      <c r="D401">
        <v>6369934</v>
      </c>
      <c r="E401" t="s">
        <v>202</v>
      </c>
      <c r="F401" t="s">
        <v>188</v>
      </c>
      <c r="G401">
        <v>10198855</v>
      </c>
      <c r="H401" s="35">
        <v>46158</v>
      </c>
      <c r="I401" s="35">
        <v>46158</v>
      </c>
      <c r="J401">
        <v>2026</v>
      </c>
      <c r="K401">
        <v>5</v>
      </c>
      <c r="L401" t="s">
        <v>189</v>
      </c>
      <c r="M401">
        <v>1</v>
      </c>
      <c r="N401" t="s">
        <v>190</v>
      </c>
      <c r="O401" t="s">
        <v>191</v>
      </c>
      <c r="P401" t="s">
        <v>199</v>
      </c>
      <c r="Q401" t="s">
        <v>199</v>
      </c>
      <c r="R401">
        <v>20</v>
      </c>
      <c r="S401">
        <v>16</v>
      </c>
      <c r="T401">
        <v>29579</v>
      </c>
      <c r="U401">
        <v>3</v>
      </c>
      <c r="V401" t="s">
        <v>224</v>
      </c>
      <c r="W401" t="s">
        <v>40</v>
      </c>
      <c r="X401" t="s">
        <v>19</v>
      </c>
      <c r="Y401" t="s">
        <v>41</v>
      </c>
      <c r="Z401" t="s">
        <v>41</v>
      </c>
      <c r="AA401">
        <v>60</v>
      </c>
      <c r="AB401">
        <v>101038</v>
      </c>
      <c r="AC401" t="s">
        <v>271</v>
      </c>
      <c r="AD401" t="s">
        <v>272</v>
      </c>
      <c r="AE401">
        <v>1</v>
      </c>
      <c r="AF401">
        <v>10</v>
      </c>
      <c r="AG401">
        <v>364.41</v>
      </c>
      <c r="AH401">
        <v>0</v>
      </c>
      <c r="AI401">
        <v>0</v>
      </c>
      <c r="AJ401">
        <v>0</v>
      </c>
      <c r="AK401">
        <v>655.94</v>
      </c>
      <c r="AL401">
        <v>3644.1</v>
      </c>
      <c r="AM401">
        <v>4300</v>
      </c>
      <c r="AN401">
        <v>60</v>
      </c>
      <c r="AO401" t="s">
        <v>43</v>
      </c>
      <c r="AP401" t="s">
        <v>45</v>
      </c>
      <c r="AQ401">
        <v>10</v>
      </c>
      <c r="AR401">
        <v>105</v>
      </c>
      <c r="AS401" t="s">
        <v>85</v>
      </c>
      <c r="AT401">
        <v>677001</v>
      </c>
      <c r="AU401" t="s">
        <v>273</v>
      </c>
      <c r="AV401" t="s">
        <v>86</v>
      </c>
      <c r="AW401" t="s">
        <v>23</v>
      </c>
      <c r="AX401" t="s">
        <v>24</v>
      </c>
      <c r="AY401" t="s">
        <v>44</v>
      </c>
      <c r="AZ401" t="s">
        <v>197</v>
      </c>
      <c r="BA401" t="s">
        <v>561</v>
      </c>
      <c r="BB401">
        <v>0</v>
      </c>
      <c r="BC401">
        <v>0</v>
      </c>
      <c r="BD401" t="s">
        <v>199</v>
      </c>
      <c r="BE401" t="s">
        <v>199</v>
      </c>
      <c r="BF401">
        <v>0</v>
      </c>
      <c r="BG401">
        <v>0</v>
      </c>
      <c r="BH401" t="s">
        <v>200</v>
      </c>
      <c r="BI401">
        <v>13</v>
      </c>
      <c r="BJ401">
        <v>6369934</v>
      </c>
      <c r="BK401" t="s">
        <v>201</v>
      </c>
      <c r="BL401" t="s">
        <v>190</v>
      </c>
    </row>
    <row r="402" spans="1:64" x14ac:dyDescent="0.3">
      <c r="A402">
        <v>223</v>
      </c>
      <c r="B402" t="s">
        <v>186</v>
      </c>
      <c r="C402">
        <v>3</v>
      </c>
      <c r="D402">
        <v>6371279</v>
      </c>
      <c r="E402" t="s">
        <v>202</v>
      </c>
      <c r="F402" t="s">
        <v>188</v>
      </c>
      <c r="G402">
        <v>10200200</v>
      </c>
      <c r="H402" s="35">
        <v>46160</v>
      </c>
      <c r="I402" s="35">
        <v>46160</v>
      </c>
      <c r="J402">
        <v>2026</v>
      </c>
      <c r="K402">
        <v>5</v>
      </c>
      <c r="L402" t="s">
        <v>189</v>
      </c>
      <c r="M402">
        <v>1</v>
      </c>
      <c r="N402" t="s">
        <v>190</v>
      </c>
      <c r="O402" t="s">
        <v>191</v>
      </c>
      <c r="P402" t="s">
        <v>199</v>
      </c>
      <c r="Q402" t="s">
        <v>199</v>
      </c>
      <c r="R402">
        <v>21</v>
      </c>
      <c r="S402">
        <v>18</v>
      </c>
      <c r="T402">
        <v>12191</v>
      </c>
      <c r="U402">
        <v>3</v>
      </c>
      <c r="V402" t="s">
        <v>204</v>
      </c>
      <c r="W402" t="s">
        <v>27</v>
      </c>
      <c r="X402" t="s">
        <v>28</v>
      </c>
      <c r="Y402" t="s">
        <v>20</v>
      </c>
      <c r="Z402" t="s">
        <v>20</v>
      </c>
      <c r="AA402">
        <v>91</v>
      </c>
      <c r="AB402">
        <v>201001</v>
      </c>
      <c r="AC402" t="s">
        <v>248</v>
      </c>
      <c r="AD402" t="s">
        <v>249</v>
      </c>
      <c r="AE402">
        <v>10</v>
      </c>
      <c r="AF402">
        <v>10</v>
      </c>
      <c r="AG402">
        <v>221.67</v>
      </c>
      <c r="AH402">
        <v>0</v>
      </c>
      <c r="AI402">
        <v>0</v>
      </c>
      <c r="AJ402">
        <v>0</v>
      </c>
      <c r="AK402">
        <v>399.01</v>
      </c>
      <c r="AL402">
        <v>2216.6999999999998</v>
      </c>
      <c r="AM402">
        <v>2616</v>
      </c>
      <c r="AN402">
        <v>91</v>
      </c>
      <c r="AO402" t="s">
        <v>22</v>
      </c>
      <c r="AP402" t="s">
        <v>26</v>
      </c>
      <c r="AQ402">
        <v>10</v>
      </c>
      <c r="AR402">
        <v>113</v>
      </c>
      <c r="AS402" t="s">
        <v>89</v>
      </c>
      <c r="AT402">
        <v>82101</v>
      </c>
      <c r="AU402" t="s">
        <v>252</v>
      </c>
      <c r="AV402" t="s">
        <v>80</v>
      </c>
      <c r="AW402" t="s">
        <v>23</v>
      </c>
      <c r="AX402" t="s">
        <v>24</v>
      </c>
      <c r="AY402" t="s">
        <v>25</v>
      </c>
      <c r="AZ402" t="s">
        <v>197</v>
      </c>
      <c r="BA402" t="s">
        <v>562</v>
      </c>
      <c r="BB402">
        <v>0</v>
      </c>
      <c r="BC402">
        <v>0</v>
      </c>
      <c r="BD402" t="s">
        <v>199</v>
      </c>
      <c r="BE402" t="s">
        <v>199</v>
      </c>
      <c r="BF402">
        <v>0</v>
      </c>
      <c r="BG402">
        <v>0</v>
      </c>
      <c r="BH402" t="s">
        <v>200</v>
      </c>
      <c r="BI402">
        <v>13</v>
      </c>
      <c r="BJ402">
        <v>6371279</v>
      </c>
      <c r="BK402" t="s">
        <v>201</v>
      </c>
      <c r="BL402" t="s">
        <v>190</v>
      </c>
    </row>
    <row r="403" spans="1:64" x14ac:dyDescent="0.3">
      <c r="A403">
        <v>223</v>
      </c>
      <c r="B403" t="s">
        <v>186</v>
      </c>
      <c r="C403">
        <v>3</v>
      </c>
      <c r="D403">
        <v>6373004</v>
      </c>
      <c r="E403" t="s">
        <v>202</v>
      </c>
      <c r="F403" t="s">
        <v>188</v>
      </c>
      <c r="G403">
        <v>10201925</v>
      </c>
      <c r="H403" s="35">
        <v>46161</v>
      </c>
      <c r="I403" s="35">
        <v>46161</v>
      </c>
      <c r="J403">
        <v>2026</v>
      </c>
      <c r="K403">
        <v>5</v>
      </c>
      <c r="L403" t="s">
        <v>189</v>
      </c>
      <c r="M403">
        <v>1</v>
      </c>
      <c r="N403" t="s">
        <v>190</v>
      </c>
      <c r="O403" t="s">
        <v>191</v>
      </c>
      <c r="P403" t="s">
        <v>199</v>
      </c>
      <c r="Q403" t="s">
        <v>199</v>
      </c>
      <c r="R403">
        <v>21</v>
      </c>
      <c r="S403">
        <v>19</v>
      </c>
      <c r="T403">
        <v>14167</v>
      </c>
      <c r="U403">
        <v>3</v>
      </c>
      <c r="V403" t="s">
        <v>208</v>
      </c>
      <c r="W403" t="s">
        <v>18</v>
      </c>
      <c r="X403" t="s">
        <v>19</v>
      </c>
      <c r="Y403" t="s">
        <v>20</v>
      </c>
      <c r="Z403" t="s">
        <v>20</v>
      </c>
      <c r="AA403">
        <v>91</v>
      </c>
      <c r="AB403">
        <v>621045</v>
      </c>
      <c r="AC403" t="s">
        <v>209</v>
      </c>
      <c r="AD403" t="s">
        <v>210</v>
      </c>
      <c r="AE403">
        <v>1</v>
      </c>
      <c r="AF403">
        <v>12</v>
      </c>
      <c r="AG403">
        <v>161.94999999999999</v>
      </c>
      <c r="AH403">
        <v>0</v>
      </c>
      <c r="AI403">
        <v>0</v>
      </c>
      <c r="AJ403">
        <v>0</v>
      </c>
      <c r="AK403">
        <v>349.81</v>
      </c>
      <c r="AL403">
        <v>1943.4</v>
      </c>
      <c r="AM403">
        <v>2293</v>
      </c>
      <c r="AN403">
        <v>91</v>
      </c>
      <c r="AO403" t="s">
        <v>22</v>
      </c>
      <c r="AP403" t="s">
        <v>26</v>
      </c>
      <c r="AQ403">
        <v>10</v>
      </c>
      <c r="AR403">
        <v>138</v>
      </c>
      <c r="AS403" t="s">
        <v>90</v>
      </c>
      <c r="AT403">
        <v>73101</v>
      </c>
      <c r="AU403" t="s">
        <v>211</v>
      </c>
      <c r="AV403" t="s">
        <v>91</v>
      </c>
      <c r="AW403" t="s">
        <v>23</v>
      </c>
      <c r="AX403" t="s">
        <v>24</v>
      </c>
      <c r="AY403" t="s">
        <v>25</v>
      </c>
      <c r="AZ403" t="s">
        <v>197</v>
      </c>
      <c r="BA403" t="s">
        <v>563</v>
      </c>
      <c r="BB403">
        <v>0</v>
      </c>
      <c r="BC403">
        <v>0</v>
      </c>
      <c r="BD403" t="s">
        <v>199</v>
      </c>
      <c r="BE403" t="s">
        <v>199</v>
      </c>
      <c r="BF403">
        <v>0</v>
      </c>
      <c r="BG403">
        <v>0</v>
      </c>
      <c r="BH403" t="s">
        <v>200</v>
      </c>
      <c r="BI403">
        <v>13</v>
      </c>
      <c r="BJ403">
        <v>6373004</v>
      </c>
      <c r="BK403" t="s">
        <v>201</v>
      </c>
      <c r="BL403" t="s">
        <v>190</v>
      </c>
    </row>
    <row r="404" spans="1:64" x14ac:dyDescent="0.3">
      <c r="A404">
        <v>223</v>
      </c>
      <c r="B404" t="s">
        <v>186</v>
      </c>
      <c r="C404">
        <v>3</v>
      </c>
      <c r="D404">
        <v>6375846</v>
      </c>
      <c r="E404" t="s">
        <v>202</v>
      </c>
      <c r="F404" t="s">
        <v>188</v>
      </c>
      <c r="G404">
        <v>10204770</v>
      </c>
      <c r="H404" s="35">
        <v>46163</v>
      </c>
      <c r="I404" s="35">
        <v>46163</v>
      </c>
      <c r="J404">
        <v>2026</v>
      </c>
      <c r="K404">
        <v>5</v>
      </c>
      <c r="L404" t="s">
        <v>189</v>
      </c>
      <c r="M404">
        <v>1</v>
      </c>
      <c r="N404" t="s">
        <v>190</v>
      </c>
      <c r="O404" t="s">
        <v>191</v>
      </c>
      <c r="P404" t="s">
        <v>199</v>
      </c>
      <c r="Q404" t="s">
        <v>199</v>
      </c>
      <c r="R404">
        <v>21</v>
      </c>
      <c r="S404">
        <v>21</v>
      </c>
      <c r="T404">
        <v>19291</v>
      </c>
      <c r="U404">
        <v>3</v>
      </c>
      <c r="V404" t="s">
        <v>261</v>
      </c>
      <c r="W404" t="s">
        <v>35</v>
      </c>
      <c r="X404" t="s">
        <v>19</v>
      </c>
      <c r="Y404" t="s">
        <v>30</v>
      </c>
      <c r="Z404" t="s">
        <v>30</v>
      </c>
      <c r="AA404">
        <v>8</v>
      </c>
      <c r="AB404">
        <v>101034</v>
      </c>
      <c r="AC404" t="s">
        <v>329</v>
      </c>
      <c r="AD404" t="s">
        <v>330</v>
      </c>
      <c r="AE404">
        <v>0.5</v>
      </c>
      <c r="AF404">
        <v>5</v>
      </c>
      <c r="AG404">
        <v>233.05</v>
      </c>
      <c r="AH404">
        <v>0</v>
      </c>
      <c r="AI404">
        <v>0</v>
      </c>
      <c r="AJ404">
        <v>0</v>
      </c>
      <c r="AK404">
        <v>209.75</v>
      </c>
      <c r="AL404">
        <v>1165.25</v>
      </c>
      <c r="AM404">
        <v>1375</v>
      </c>
      <c r="AN404">
        <v>8</v>
      </c>
      <c r="AO404" t="s">
        <v>37</v>
      </c>
      <c r="AP404" t="s">
        <v>39</v>
      </c>
      <c r="AQ404">
        <v>10</v>
      </c>
      <c r="AR404">
        <v>136</v>
      </c>
      <c r="AS404" t="s">
        <v>87</v>
      </c>
      <c r="AT404">
        <v>677001</v>
      </c>
      <c r="AU404" t="s">
        <v>273</v>
      </c>
      <c r="AV404" t="s">
        <v>86</v>
      </c>
      <c r="AW404" t="s">
        <v>23</v>
      </c>
      <c r="AX404" t="s">
        <v>24</v>
      </c>
      <c r="AY404" t="s">
        <v>38</v>
      </c>
      <c r="AZ404" t="s">
        <v>197</v>
      </c>
      <c r="BA404" t="s">
        <v>564</v>
      </c>
      <c r="BB404">
        <v>0</v>
      </c>
      <c r="BC404">
        <v>0</v>
      </c>
      <c r="BD404" t="s">
        <v>199</v>
      </c>
      <c r="BE404" t="s">
        <v>199</v>
      </c>
      <c r="BF404">
        <v>0</v>
      </c>
      <c r="BG404">
        <v>0</v>
      </c>
      <c r="BH404" t="s">
        <v>200</v>
      </c>
      <c r="BI404">
        <v>13</v>
      </c>
      <c r="BJ404">
        <v>6375846</v>
      </c>
      <c r="BK404" t="s">
        <v>201</v>
      </c>
      <c r="BL404" t="s">
        <v>190</v>
      </c>
    </row>
    <row r="405" spans="1:64" x14ac:dyDescent="0.3">
      <c r="A405">
        <v>223</v>
      </c>
      <c r="B405" t="s">
        <v>186</v>
      </c>
      <c r="C405">
        <v>3</v>
      </c>
      <c r="D405">
        <v>6375846</v>
      </c>
      <c r="E405" t="s">
        <v>202</v>
      </c>
      <c r="F405" t="s">
        <v>188</v>
      </c>
      <c r="G405">
        <v>10204770</v>
      </c>
      <c r="H405" s="35">
        <v>46163</v>
      </c>
      <c r="I405" s="35">
        <v>46163</v>
      </c>
      <c r="J405">
        <v>2026</v>
      </c>
      <c r="K405">
        <v>5</v>
      </c>
      <c r="L405" t="s">
        <v>189</v>
      </c>
      <c r="M405">
        <v>1</v>
      </c>
      <c r="N405" t="s">
        <v>190</v>
      </c>
      <c r="O405" t="s">
        <v>191</v>
      </c>
      <c r="P405" t="s">
        <v>199</v>
      </c>
      <c r="Q405" t="s">
        <v>199</v>
      </c>
      <c r="R405">
        <v>21</v>
      </c>
      <c r="S405">
        <v>21</v>
      </c>
      <c r="T405">
        <v>19291</v>
      </c>
      <c r="U405">
        <v>3</v>
      </c>
      <c r="V405" t="s">
        <v>261</v>
      </c>
      <c r="W405" t="s">
        <v>35</v>
      </c>
      <c r="X405" t="s">
        <v>19</v>
      </c>
      <c r="Y405" t="s">
        <v>30</v>
      </c>
      <c r="Z405" t="s">
        <v>30</v>
      </c>
      <c r="AA405">
        <v>8</v>
      </c>
      <c r="AB405">
        <v>800089</v>
      </c>
      <c r="AC405" t="s">
        <v>295</v>
      </c>
      <c r="AD405" t="s">
        <v>296</v>
      </c>
      <c r="AE405">
        <v>1</v>
      </c>
      <c r="AF405">
        <v>8</v>
      </c>
      <c r="AG405">
        <v>364.41</v>
      </c>
      <c r="AH405">
        <v>0</v>
      </c>
      <c r="AI405">
        <v>0</v>
      </c>
      <c r="AJ405">
        <v>0</v>
      </c>
      <c r="AK405">
        <v>524.75</v>
      </c>
      <c r="AL405">
        <v>2915.28</v>
      </c>
      <c r="AM405">
        <v>3440</v>
      </c>
      <c r="AN405">
        <v>8</v>
      </c>
      <c r="AO405" t="s">
        <v>37</v>
      </c>
      <c r="AP405" t="s">
        <v>39</v>
      </c>
      <c r="AQ405">
        <v>10</v>
      </c>
      <c r="AR405">
        <v>105</v>
      </c>
      <c r="AS405" t="s">
        <v>85</v>
      </c>
      <c r="AT405">
        <v>677001</v>
      </c>
      <c r="AU405" t="s">
        <v>273</v>
      </c>
      <c r="AV405" t="s">
        <v>86</v>
      </c>
      <c r="AW405" t="s">
        <v>23</v>
      </c>
      <c r="AX405" t="s">
        <v>24</v>
      </c>
      <c r="AY405" t="s">
        <v>38</v>
      </c>
      <c r="AZ405" t="s">
        <v>197</v>
      </c>
      <c r="BA405" t="s">
        <v>564</v>
      </c>
      <c r="BB405">
        <v>0</v>
      </c>
      <c r="BC405">
        <v>0</v>
      </c>
      <c r="BD405" t="s">
        <v>199</v>
      </c>
      <c r="BE405" t="s">
        <v>199</v>
      </c>
      <c r="BF405">
        <v>0</v>
      </c>
      <c r="BG405">
        <v>0</v>
      </c>
      <c r="BH405" t="s">
        <v>200</v>
      </c>
      <c r="BI405">
        <v>13</v>
      </c>
      <c r="BJ405">
        <v>6375846</v>
      </c>
      <c r="BK405" t="s">
        <v>201</v>
      </c>
      <c r="BL405" t="s">
        <v>190</v>
      </c>
    </row>
    <row r="406" spans="1:64" x14ac:dyDescent="0.3">
      <c r="A406">
        <v>223</v>
      </c>
      <c r="B406" t="s">
        <v>186</v>
      </c>
      <c r="C406">
        <v>3</v>
      </c>
      <c r="D406">
        <v>6375852</v>
      </c>
      <c r="E406" t="s">
        <v>202</v>
      </c>
      <c r="F406" t="s">
        <v>188</v>
      </c>
      <c r="G406">
        <v>10204776</v>
      </c>
      <c r="H406" s="35">
        <v>46163</v>
      </c>
      <c r="I406" s="35">
        <v>46163</v>
      </c>
      <c r="J406">
        <v>2026</v>
      </c>
      <c r="K406">
        <v>5</v>
      </c>
      <c r="L406" t="s">
        <v>189</v>
      </c>
      <c r="M406">
        <v>1</v>
      </c>
      <c r="N406" t="s">
        <v>203</v>
      </c>
      <c r="O406" t="s">
        <v>191</v>
      </c>
      <c r="P406" t="s">
        <v>199</v>
      </c>
      <c r="Q406" t="s">
        <v>199</v>
      </c>
      <c r="R406">
        <v>21</v>
      </c>
      <c r="S406">
        <v>21</v>
      </c>
      <c r="T406">
        <v>19291</v>
      </c>
      <c r="U406">
        <v>3</v>
      </c>
      <c r="V406" t="s">
        <v>261</v>
      </c>
      <c r="W406" t="s">
        <v>35</v>
      </c>
      <c r="X406" t="s">
        <v>19</v>
      </c>
      <c r="Y406" t="s">
        <v>30</v>
      </c>
      <c r="Z406" t="s">
        <v>30</v>
      </c>
      <c r="AA406">
        <v>8</v>
      </c>
      <c r="AB406">
        <v>800792</v>
      </c>
      <c r="AC406" t="s">
        <v>304</v>
      </c>
      <c r="AD406" t="s">
        <v>305</v>
      </c>
      <c r="AE406">
        <v>0.48</v>
      </c>
      <c r="AF406">
        <v>12</v>
      </c>
      <c r="AG406">
        <v>153.11000000000001</v>
      </c>
      <c r="AH406">
        <v>0</v>
      </c>
      <c r="AI406">
        <v>0</v>
      </c>
      <c r="AJ406">
        <v>0</v>
      </c>
      <c r="AK406">
        <v>330.72</v>
      </c>
      <c r="AL406">
        <v>1837.32</v>
      </c>
      <c r="AM406">
        <v>2168</v>
      </c>
      <c r="AN406">
        <v>8</v>
      </c>
      <c r="AO406" t="s">
        <v>37</v>
      </c>
      <c r="AP406" t="s">
        <v>39</v>
      </c>
      <c r="AQ406">
        <v>10</v>
      </c>
      <c r="AR406">
        <v>207</v>
      </c>
      <c r="AS406" t="s">
        <v>81</v>
      </c>
      <c r="AT406">
        <v>65103</v>
      </c>
      <c r="AU406" t="s">
        <v>266</v>
      </c>
      <c r="AV406" t="s">
        <v>82</v>
      </c>
      <c r="AW406" t="s">
        <v>23</v>
      </c>
      <c r="AX406" t="s">
        <v>24</v>
      </c>
      <c r="AY406" t="s">
        <v>38</v>
      </c>
      <c r="AZ406" t="s">
        <v>197</v>
      </c>
      <c r="BA406" t="s">
        <v>565</v>
      </c>
      <c r="BB406">
        <v>0</v>
      </c>
      <c r="BC406">
        <v>0</v>
      </c>
      <c r="BD406" t="s">
        <v>199</v>
      </c>
      <c r="BE406" t="s">
        <v>199</v>
      </c>
      <c r="BF406">
        <v>0</v>
      </c>
      <c r="BG406">
        <v>0</v>
      </c>
      <c r="BH406" t="s">
        <v>200</v>
      </c>
      <c r="BI406">
        <v>13</v>
      </c>
      <c r="BJ406">
        <v>6375852</v>
      </c>
      <c r="BK406" t="s">
        <v>201</v>
      </c>
      <c r="BL406" t="s">
        <v>190</v>
      </c>
    </row>
    <row r="407" spans="1:64" x14ac:dyDescent="0.3">
      <c r="A407">
        <v>223</v>
      </c>
      <c r="B407" t="s">
        <v>186</v>
      </c>
      <c r="C407">
        <v>3</v>
      </c>
      <c r="D407">
        <v>6375852</v>
      </c>
      <c r="E407" t="s">
        <v>202</v>
      </c>
      <c r="F407" t="s">
        <v>188</v>
      </c>
      <c r="G407">
        <v>10204776</v>
      </c>
      <c r="H407" s="35">
        <v>46163</v>
      </c>
      <c r="I407" s="35">
        <v>46163</v>
      </c>
      <c r="J407">
        <v>2026</v>
      </c>
      <c r="K407">
        <v>5</v>
      </c>
      <c r="L407" t="s">
        <v>189</v>
      </c>
      <c r="M407">
        <v>1</v>
      </c>
      <c r="N407" t="s">
        <v>203</v>
      </c>
      <c r="O407" t="s">
        <v>191</v>
      </c>
      <c r="P407" t="s">
        <v>199</v>
      </c>
      <c r="Q407" t="s">
        <v>199</v>
      </c>
      <c r="R407">
        <v>21</v>
      </c>
      <c r="S407">
        <v>21</v>
      </c>
      <c r="T407">
        <v>19291</v>
      </c>
      <c r="U407">
        <v>3</v>
      </c>
      <c r="V407" t="s">
        <v>261</v>
      </c>
      <c r="W407" t="s">
        <v>35</v>
      </c>
      <c r="X407" t="s">
        <v>19</v>
      </c>
      <c r="Y407" t="s">
        <v>30</v>
      </c>
      <c r="Z407" t="s">
        <v>30</v>
      </c>
      <c r="AA407">
        <v>8</v>
      </c>
      <c r="AB407">
        <v>930025</v>
      </c>
      <c r="AC407" t="s">
        <v>306</v>
      </c>
      <c r="AD407" t="s">
        <v>307</v>
      </c>
      <c r="AE407">
        <v>0.11111111111110999</v>
      </c>
      <c r="AF407">
        <v>4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8</v>
      </c>
      <c r="AO407" t="s">
        <v>37</v>
      </c>
      <c r="AP407" t="s">
        <v>39</v>
      </c>
      <c r="AQ407">
        <v>10</v>
      </c>
      <c r="AR407">
        <v>209</v>
      </c>
      <c r="AS407" t="s">
        <v>88</v>
      </c>
      <c r="AT407">
        <v>0</v>
      </c>
      <c r="AU407" t="s">
        <v>199</v>
      </c>
      <c r="AV407" t="s">
        <v>82</v>
      </c>
      <c r="AW407" t="s">
        <v>23</v>
      </c>
      <c r="AX407" t="s">
        <v>24</v>
      </c>
      <c r="AY407" t="s">
        <v>38</v>
      </c>
      <c r="AZ407" t="s">
        <v>197</v>
      </c>
      <c r="BA407" t="s">
        <v>565</v>
      </c>
      <c r="BB407">
        <v>0</v>
      </c>
      <c r="BC407">
        <v>1</v>
      </c>
      <c r="BD407">
        <v>3593</v>
      </c>
      <c r="BE407" t="s">
        <v>566</v>
      </c>
      <c r="BF407">
        <v>0</v>
      </c>
      <c r="BG407">
        <v>0</v>
      </c>
      <c r="BH407" t="s">
        <v>200</v>
      </c>
      <c r="BI407">
        <v>13</v>
      </c>
      <c r="BJ407">
        <v>6375852</v>
      </c>
      <c r="BK407" t="s">
        <v>201</v>
      </c>
      <c r="BL407" t="s">
        <v>190</v>
      </c>
    </row>
    <row r="408" spans="1:64" x14ac:dyDescent="0.3">
      <c r="A408">
        <v>109</v>
      </c>
      <c r="B408" t="s">
        <v>186</v>
      </c>
      <c r="C408">
        <v>3</v>
      </c>
      <c r="D408">
        <v>6375918</v>
      </c>
      <c r="E408" t="s">
        <v>187</v>
      </c>
      <c r="F408" t="s">
        <v>188</v>
      </c>
      <c r="G408">
        <v>10204842</v>
      </c>
      <c r="H408" s="35">
        <v>46163</v>
      </c>
      <c r="I408" s="35">
        <v>46163</v>
      </c>
      <c r="J408">
        <v>2026</v>
      </c>
      <c r="K408">
        <v>5</v>
      </c>
      <c r="L408" t="s">
        <v>189</v>
      </c>
      <c r="M408">
        <v>1</v>
      </c>
      <c r="N408" t="s">
        <v>190</v>
      </c>
      <c r="O408" t="s">
        <v>191</v>
      </c>
      <c r="P408" t="s">
        <v>199</v>
      </c>
      <c r="Q408" t="s">
        <v>199</v>
      </c>
      <c r="R408">
        <v>21</v>
      </c>
      <c r="S408">
        <v>21</v>
      </c>
      <c r="T408">
        <v>2280</v>
      </c>
      <c r="U408">
        <v>3</v>
      </c>
      <c r="V408" t="s">
        <v>193</v>
      </c>
      <c r="W408" t="s">
        <v>29</v>
      </c>
      <c r="X408" t="s">
        <v>19</v>
      </c>
      <c r="Y408" t="s">
        <v>30</v>
      </c>
      <c r="Z408" t="s">
        <v>30</v>
      </c>
      <c r="AA408">
        <v>14</v>
      </c>
      <c r="AB408">
        <v>101038</v>
      </c>
      <c r="AC408" t="s">
        <v>271</v>
      </c>
      <c r="AD408" t="s">
        <v>272</v>
      </c>
      <c r="AE408">
        <v>0.1</v>
      </c>
      <c r="AF408">
        <v>1</v>
      </c>
      <c r="AG408">
        <v>360.77</v>
      </c>
      <c r="AH408">
        <v>0</v>
      </c>
      <c r="AI408">
        <v>0</v>
      </c>
      <c r="AJ408">
        <v>0</v>
      </c>
      <c r="AK408">
        <v>64.94</v>
      </c>
      <c r="AL408">
        <v>360.77</v>
      </c>
      <c r="AM408">
        <v>426</v>
      </c>
      <c r="AN408">
        <v>14</v>
      </c>
      <c r="AO408" t="s">
        <v>32</v>
      </c>
      <c r="AP408" t="s">
        <v>34</v>
      </c>
      <c r="AQ408">
        <v>10</v>
      </c>
      <c r="AR408">
        <v>105</v>
      </c>
      <c r="AS408" t="s">
        <v>85</v>
      </c>
      <c r="AT408">
        <v>677001</v>
      </c>
      <c r="AU408" t="s">
        <v>273</v>
      </c>
      <c r="AV408" t="s">
        <v>86</v>
      </c>
      <c r="AW408" t="s">
        <v>23</v>
      </c>
      <c r="AX408" t="s">
        <v>24</v>
      </c>
      <c r="AY408" t="s">
        <v>33</v>
      </c>
      <c r="AZ408" t="s">
        <v>197</v>
      </c>
      <c r="BA408" t="s">
        <v>567</v>
      </c>
      <c r="BB408">
        <v>0</v>
      </c>
      <c r="BC408">
        <v>0</v>
      </c>
      <c r="BD408" t="s">
        <v>199</v>
      </c>
      <c r="BE408" t="s">
        <v>199</v>
      </c>
      <c r="BF408">
        <v>0</v>
      </c>
      <c r="BG408">
        <v>0</v>
      </c>
      <c r="BH408" t="s">
        <v>200</v>
      </c>
      <c r="BI408">
        <v>13</v>
      </c>
      <c r="BJ408">
        <v>6375918</v>
      </c>
      <c r="BK408" t="s">
        <v>201</v>
      </c>
      <c r="BL408" t="s">
        <v>190</v>
      </c>
    </row>
    <row r="409" spans="1:64" x14ac:dyDescent="0.3">
      <c r="A409">
        <v>109</v>
      </c>
      <c r="B409" t="s">
        <v>186</v>
      </c>
      <c r="C409">
        <v>3</v>
      </c>
      <c r="D409">
        <v>6375918</v>
      </c>
      <c r="E409" t="s">
        <v>187</v>
      </c>
      <c r="F409" t="s">
        <v>188</v>
      </c>
      <c r="G409">
        <v>10204842</v>
      </c>
      <c r="H409" s="35">
        <v>46163</v>
      </c>
      <c r="I409" s="35">
        <v>46163</v>
      </c>
      <c r="J409">
        <v>2026</v>
      </c>
      <c r="K409">
        <v>5</v>
      </c>
      <c r="L409" t="s">
        <v>189</v>
      </c>
      <c r="M409">
        <v>1</v>
      </c>
      <c r="N409" t="s">
        <v>190</v>
      </c>
      <c r="O409" t="s">
        <v>191</v>
      </c>
      <c r="P409" t="s">
        <v>199</v>
      </c>
      <c r="Q409" t="s">
        <v>199</v>
      </c>
      <c r="R409">
        <v>21</v>
      </c>
      <c r="S409">
        <v>21</v>
      </c>
      <c r="T409">
        <v>2280</v>
      </c>
      <c r="U409">
        <v>3</v>
      </c>
      <c r="V409" t="s">
        <v>193</v>
      </c>
      <c r="W409" t="s">
        <v>29</v>
      </c>
      <c r="X409" t="s">
        <v>19</v>
      </c>
      <c r="Y409" t="s">
        <v>30</v>
      </c>
      <c r="Z409" t="s">
        <v>30</v>
      </c>
      <c r="AA409">
        <v>14</v>
      </c>
      <c r="AB409">
        <v>101026</v>
      </c>
      <c r="AC409" t="s">
        <v>372</v>
      </c>
      <c r="AD409" t="s">
        <v>373</v>
      </c>
      <c r="AE409">
        <v>1</v>
      </c>
      <c r="AF409">
        <v>36</v>
      </c>
      <c r="AG409">
        <v>32.729999999999997</v>
      </c>
      <c r="AH409">
        <v>0</v>
      </c>
      <c r="AI409">
        <v>0</v>
      </c>
      <c r="AJ409">
        <v>0</v>
      </c>
      <c r="AK409">
        <v>212.09</v>
      </c>
      <c r="AL409">
        <v>1178.28</v>
      </c>
      <c r="AM409">
        <v>1390</v>
      </c>
      <c r="AN409">
        <v>14</v>
      </c>
      <c r="AO409" t="s">
        <v>32</v>
      </c>
      <c r="AP409" t="s">
        <v>34</v>
      </c>
      <c r="AQ409">
        <v>10</v>
      </c>
      <c r="AR409">
        <v>136</v>
      </c>
      <c r="AS409" t="s">
        <v>87</v>
      </c>
      <c r="AT409">
        <v>677001</v>
      </c>
      <c r="AU409" t="s">
        <v>273</v>
      </c>
      <c r="AV409" t="s">
        <v>86</v>
      </c>
      <c r="AW409" t="s">
        <v>23</v>
      </c>
      <c r="AX409" t="s">
        <v>24</v>
      </c>
      <c r="AY409" t="s">
        <v>33</v>
      </c>
      <c r="AZ409" t="s">
        <v>197</v>
      </c>
      <c r="BA409" t="s">
        <v>567</v>
      </c>
      <c r="BB409">
        <v>0</v>
      </c>
      <c r="BC409">
        <v>0</v>
      </c>
      <c r="BD409" t="s">
        <v>199</v>
      </c>
      <c r="BE409" t="s">
        <v>199</v>
      </c>
      <c r="BF409">
        <v>0</v>
      </c>
      <c r="BG409">
        <v>0</v>
      </c>
      <c r="BH409" t="s">
        <v>200</v>
      </c>
      <c r="BI409">
        <v>13</v>
      </c>
      <c r="BJ409">
        <v>6375918</v>
      </c>
      <c r="BK409" t="s">
        <v>201</v>
      </c>
      <c r="BL409" t="s">
        <v>190</v>
      </c>
    </row>
    <row r="410" spans="1:64" x14ac:dyDescent="0.3">
      <c r="A410">
        <v>109</v>
      </c>
      <c r="B410" t="s">
        <v>186</v>
      </c>
      <c r="C410">
        <v>3</v>
      </c>
      <c r="D410">
        <v>6375918</v>
      </c>
      <c r="E410" t="s">
        <v>187</v>
      </c>
      <c r="F410" t="s">
        <v>188</v>
      </c>
      <c r="G410">
        <v>10204842</v>
      </c>
      <c r="H410" s="35">
        <v>46163</v>
      </c>
      <c r="I410" s="35">
        <v>46163</v>
      </c>
      <c r="J410">
        <v>2026</v>
      </c>
      <c r="K410">
        <v>5</v>
      </c>
      <c r="L410" t="s">
        <v>189</v>
      </c>
      <c r="M410">
        <v>1</v>
      </c>
      <c r="N410" t="s">
        <v>190</v>
      </c>
      <c r="O410" t="s">
        <v>191</v>
      </c>
      <c r="P410" t="s">
        <v>199</v>
      </c>
      <c r="Q410" t="s">
        <v>199</v>
      </c>
      <c r="R410">
        <v>21</v>
      </c>
      <c r="S410">
        <v>21</v>
      </c>
      <c r="T410">
        <v>2280</v>
      </c>
      <c r="U410">
        <v>3</v>
      </c>
      <c r="V410" t="s">
        <v>193</v>
      </c>
      <c r="W410" t="s">
        <v>29</v>
      </c>
      <c r="X410" t="s">
        <v>19</v>
      </c>
      <c r="Y410" t="s">
        <v>30</v>
      </c>
      <c r="Z410" t="s">
        <v>30</v>
      </c>
      <c r="AA410">
        <v>14</v>
      </c>
      <c r="AB410">
        <v>101034</v>
      </c>
      <c r="AC410" t="s">
        <v>329</v>
      </c>
      <c r="AD410" t="s">
        <v>330</v>
      </c>
      <c r="AE410">
        <v>0.2</v>
      </c>
      <c r="AF410">
        <v>2</v>
      </c>
      <c r="AG410">
        <v>230.72</v>
      </c>
      <c r="AH410">
        <v>0</v>
      </c>
      <c r="AI410">
        <v>0</v>
      </c>
      <c r="AJ410">
        <v>0</v>
      </c>
      <c r="AK410">
        <v>83.06</v>
      </c>
      <c r="AL410">
        <v>461.44</v>
      </c>
      <c r="AM410">
        <v>544</v>
      </c>
      <c r="AN410">
        <v>14</v>
      </c>
      <c r="AO410" t="s">
        <v>32</v>
      </c>
      <c r="AP410" t="s">
        <v>34</v>
      </c>
      <c r="AQ410">
        <v>10</v>
      </c>
      <c r="AR410">
        <v>136</v>
      </c>
      <c r="AS410" t="s">
        <v>87</v>
      </c>
      <c r="AT410">
        <v>677001</v>
      </c>
      <c r="AU410" t="s">
        <v>273</v>
      </c>
      <c r="AV410" t="s">
        <v>86</v>
      </c>
      <c r="AW410" t="s">
        <v>23</v>
      </c>
      <c r="AX410" t="s">
        <v>24</v>
      </c>
      <c r="AY410" t="s">
        <v>33</v>
      </c>
      <c r="AZ410" t="s">
        <v>197</v>
      </c>
      <c r="BA410" t="s">
        <v>567</v>
      </c>
      <c r="BB410">
        <v>0</v>
      </c>
      <c r="BC410">
        <v>0</v>
      </c>
      <c r="BD410" t="s">
        <v>199</v>
      </c>
      <c r="BE410" t="s">
        <v>199</v>
      </c>
      <c r="BF410">
        <v>0</v>
      </c>
      <c r="BG410">
        <v>0</v>
      </c>
      <c r="BH410" t="s">
        <v>200</v>
      </c>
      <c r="BI410">
        <v>13</v>
      </c>
      <c r="BJ410">
        <v>6375918</v>
      </c>
      <c r="BK410" t="s">
        <v>201</v>
      </c>
      <c r="BL410" t="s">
        <v>190</v>
      </c>
    </row>
    <row r="411" spans="1:64" x14ac:dyDescent="0.3">
      <c r="A411">
        <v>109</v>
      </c>
      <c r="B411" t="s">
        <v>186</v>
      </c>
      <c r="C411">
        <v>3</v>
      </c>
      <c r="D411">
        <v>6375918</v>
      </c>
      <c r="E411" t="s">
        <v>187</v>
      </c>
      <c r="F411" t="s">
        <v>188</v>
      </c>
      <c r="G411">
        <v>10204842</v>
      </c>
      <c r="H411" s="35">
        <v>46163</v>
      </c>
      <c r="I411" s="35">
        <v>46163</v>
      </c>
      <c r="J411">
        <v>2026</v>
      </c>
      <c r="K411">
        <v>5</v>
      </c>
      <c r="L411" t="s">
        <v>189</v>
      </c>
      <c r="M411">
        <v>1</v>
      </c>
      <c r="N411" t="s">
        <v>190</v>
      </c>
      <c r="O411" t="s">
        <v>191</v>
      </c>
      <c r="P411" t="s">
        <v>199</v>
      </c>
      <c r="Q411" t="s">
        <v>199</v>
      </c>
      <c r="R411">
        <v>21</v>
      </c>
      <c r="S411">
        <v>21</v>
      </c>
      <c r="T411">
        <v>2280</v>
      </c>
      <c r="U411">
        <v>3</v>
      </c>
      <c r="V411" t="s">
        <v>193</v>
      </c>
      <c r="W411" t="s">
        <v>29</v>
      </c>
      <c r="X411" t="s">
        <v>19</v>
      </c>
      <c r="Y411" t="s">
        <v>30</v>
      </c>
      <c r="Z411" t="s">
        <v>30</v>
      </c>
      <c r="AA411">
        <v>14</v>
      </c>
      <c r="AB411">
        <v>103202</v>
      </c>
      <c r="AC411" t="s">
        <v>568</v>
      </c>
      <c r="AD411" t="s">
        <v>569</v>
      </c>
      <c r="AE411">
        <v>1</v>
      </c>
      <c r="AF411">
        <v>12</v>
      </c>
      <c r="AG411">
        <v>96.76</v>
      </c>
      <c r="AH411">
        <v>0</v>
      </c>
      <c r="AI411">
        <v>0</v>
      </c>
      <c r="AJ411">
        <v>0</v>
      </c>
      <c r="AK411">
        <v>209</v>
      </c>
      <c r="AL411">
        <v>1161.1199999999999</v>
      </c>
      <c r="AM411">
        <v>1370</v>
      </c>
      <c r="AN411">
        <v>14</v>
      </c>
      <c r="AO411" t="s">
        <v>32</v>
      </c>
      <c r="AP411" t="s">
        <v>34</v>
      </c>
      <c r="AQ411">
        <v>10</v>
      </c>
      <c r="AR411">
        <v>107</v>
      </c>
      <c r="AS411" t="s">
        <v>96</v>
      </c>
      <c r="AT411">
        <v>6770651</v>
      </c>
      <c r="AU411" t="s">
        <v>288</v>
      </c>
      <c r="AV411" t="s">
        <v>86</v>
      </c>
      <c r="AW411" t="s">
        <v>23</v>
      </c>
      <c r="AX411" t="s">
        <v>24</v>
      </c>
      <c r="AY411" t="s">
        <v>33</v>
      </c>
      <c r="AZ411" t="s">
        <v>197</v>
      </c>
      <c r="BA411" t="s">
        <v>567</v>
      </c>
      <c r="BB411">
        <v>0</v>
      </c>
      <c r="BC411">
        <v>0</v>
      </c>
      <c r="BD411" t="s">
        <v>199</v>
      </c>
      <c r="BE411" t="s">
        <v>199</v>
      </c>
      <c r="BF411">
        <v>0</v>
      </c>
      <c r="BG411">
        <v>0</v>
      </c>
      <c r="BH411" t="s">
        <v>200</v>
      </c>
      <c r="BI411">
        <v>13</v>
      </c>
      <c r="BJ411">
        <v>6375918</v>
      </c>
      <c r="BK411" t="s">
        <v>201</v>
      </c>
      <c r="BL411" t="s">
        <v>190</v>
      </c>
    </row>
    <row r="412" spans="1:64" x14ac:dyDescent="0.3">
      <c r="A412">
        <v>109</v>
      </c>
      <c r="B412" t="s">
        <v>186</v>
      </c>
      <c r="C412">
        <v>3</v>
      </c>
      <c r="D412">
        <v>6375918</v>
      </c>
      <c r="E412" t="s">
        <v>187</v>
      </c>
      <c r="F412" t="s">
        <v>188</v>
      </c>
      <c r="G412">
        <v>10204842</v>
      </c>
      <c r="H412" s="35">
        <v>46163</v>
      </c>
      <c r="I412" s="35">
        <v>46163</v>
      </c>
      <c r="J412">
        <v>2026</v>
      </c>
      <c r="K412">
        <v>5</v>
      </c>
      <c r="L412" t="s">
        <v>189</v>
      </c>
      <c r="M412">
        <v>1</v>
      </c>
      <c r="N412" t="s">
        <v>190</v>
      </c>
      <c r="O412" t="s">
        <v>191</v>
      </c>
      <c r="P412" t="s">
        <v>199</v>
      </c>
      <c r="Q412" t="s">
        <v>199</v>
      </c>
      <c r="R412">
        <v>21</v>
      </c>
      <c r="S412">
        <v>21</v>
      </c>
      <c r="T412">
        <v>2280</v>
      </c>
      <c r="U412">
        <v>3</v>
      </c>
      <c r="V412" t="s">
        <v>193</v>
      </c>
      <c r="W412" t="s">
        <v>29</v>
      </c>
      <c r="X412" t="s">
        <v>19</v>
      </c>
      <c r="Y412" t="s">
        <v>30</v>
      </c>
      <c r="Z412" t="s">
        <v>30</v>
      </c>
      <c r="AA412">
        <v>14</v>
      </c>
      <c r="AB412">
        <v>621045</v>
      </c>
      <c r="AC412" t="s">
        <v>209</v>
      </c>
      <c r="AD412" t="s">
        <v>210</v>
      </c>
      <c r="AE412">
        <v>1</v>
      </c>
      <c r="AF412">
        <v>12</v>
      </c>
      <c r="AG412">
        <v>160.33000000000001</v>
      </c>
      <c r="AH412">
        <v>0</v>
      </c>
      <c r="AI412">
        <v>0</v>
      </c>
      <c r="AJ412">
        <v>0</v>
      </c>
      <c r="AK412">
        <v>346.31</v>
      </c>
      <c r="AL412">
        <v>1923.96</v>
      </c>
      <c r="AM412">
        <v>2270</v>
      </c>
      <c r="AN412">
        <v>14</v>
      </c>
      <c r="AO412" t="s">
        <v>32</v>
      </c>
      <c r="AP412" t="s">
        <v>34</v>
      </c>
      <c r="AQ412">
        <v>10</v>
      </c>
      <c r="AR412">
        <v>138</v>
      </c>
      <c r="AS412" t="s">
        <v>90</v>
      </c>
      <c r="AT412">
        <v>73101</v>
      </c>
      <c r="AU412" t="s">
        <v>211</v>
      </c>
      <c r="AV412" t="s">
        <v>91</v>
      </c>
      <c r="AW412" t="s">
        <v>23</v>
      </c>
      <c r="AX412" t="s">
        <v>24</v>
      </c>
      <c r="AY412" t="s">
        <v>33</v>
      </c>
      <c r="AZ412" t="s">
        <v>197</v>
      </c>
      <c r="BA412" t="s">
        <v>567</v>
      </c>
      <c r="BB412">
        <v>0</v>
      </c>
      <c r="BC412">
        <v>0</v>
      </c>
      <c r="BD412" t="s">
        <v>199</v>
      </c>
      <c r="BE412" t="s">
        <v>199</v>
      </c>
      <c r="BF412">
        <v>0</v>
      </c>
      <c r="BG412">
        <v>0</v>
      </c>
      <c r="BH412" t="s">
        <v>200</v>
      </c>
      <c r="BI412">
        <v>13</v>
      </c>
      <c r="BJ412">
        <v>6375918</v>
      </c>
      <c r="BK412" t="s">
        <v>201</v>
      </c>
      <c r="BL412" t="s">
        <v>190</v>
      </c>
    </row>
    <row r="413" spans="1:64" x14ac:dyDescent="0.3">
      <c r="A413">
        <v>109</v>
      </c>
      <c r="B413" t="s">
        <v>186</v>
      </c>
      <c r="C413">
        <v>3</v>
      </c>
      <c r="D413">
        <v>6375918</v>
      </c>
      <c r="E413" t="s">
        <v>187</v>
      </c>
      <c r="F413" t="s">
        <v>188</v>
      </c>
      <c r="G413">
        <v>10204842</v>
      </c>
      <c r="H413" s="35">
        <v>46163</v>
      </c>
      <c r="I413" s="35">
        <v>46163</v>
      </c>
      <c r="J413">
        <v>2026</v>
      </c>
      <c r="K413">
        <v>5</v>
      </c>
      <c r="L413" t="s">
        <v>189</v>
      </c>
      <c r="M413">
        <v>1</v>
      </c>
      <c r="N413" t="s">
        <v>190</v>
      </c>
      <c r="O413" t="s">
        <v>191</v>
      </c>
      <c r="P413" t="s">
        <v>199</v>
      </c>
      <c r="Q413" t="s">
        <v>199</v>
      </c>
      <c r="R413">
        <v>21</v>
      </c>
      <c r="S413">
        <v>21</v>
      </c>
      <c r="T413">
        <v>2280</v>
      </c>
      <c r="U413">
        <v>3</v>
      </c>
      <c r="V413" t="s">
        <v>193</v>
      </c>
      <c r="W413" t="s">
        <v>29</v>
      </c>
      <c r="X413" t="s">
        <v>19</v>
      </c>
      <c r="Y413" t="s">
        <v>30</v>
      </c>
      <c r="Z413" t="s">
        <v>30</v>
      </c>
      <c r="AA413">
        <v>14</v>
      </c>
      <c r="AB413">
        <v>621006</v>
      </c>
      <c r="AC413" t="s">
        <v>570</v>
      </c>
      <c r="AD413" t="s">
        <v>571</v>
      </c>
      <c r="AE413">
        <v>1</v>
      </c>
      <c r="AF413">
        <v>12</v>
      </c>
      <c r="AG413">
        <v>185</v>
      </c>
      <c r="AH413">
        <v>0</v>
      </c>
      <c r="AI413">
        <v>0</v>
      </c>
      <c r="AJ413">
        <v>0</v>
      </c>
      <c r="AK413">
        <v>399.6</v>
      </c>
      <c r="AL413">
        <v>2220</v>
      </c>
      <c r="AM413">
        <v>2620</v>
      </c>
      <c r="AN413">
        <v>14</v>
      </c>
      <c r="AO413" t="s">
        <v>32</v>
      </c>
      <c r="AP413" t="s">
        <v>34</v>
      </c>
      <c r="AQ413">
        <v>10</v>
      </c>
      <c r="AR413">
        <v>138</v>
      </c>
      <c r="AS413" t="s">
        <v>90</v>
      </c>
      <c r="AT413">
        <v>73102</v>
      </c>
      <c r="AU413" t="s">
        <v>196</v>
      </c>
      <c r="AV413" t="s">
        <v>91</v>
      </c>
      <c r="AW413" t="s">
        <v>23</v>
      </c>
      <c r="AX413" t="s">
        <v>24</v>
      </c>
      <c r="AY413" t="s">
        <v>33</v>
      </c>
      <c r="AZ413" t="s">
        <v>197</v>
      </c>
      <c r="BA413" t="s">
        <v>567</v>
      </c>
      <c r="BB413">
        <v>0</v>
      </c>
      <c r="BC413">
        <v>0</v>
      </c>
      <c r="BD413" t="s">
        <v>199</v>
      </c>
      <c r="BE413" t="s">
        <v>199</v>
      </c>
      <c r="BF413">
        <v>0</v>
      </c>
      <c r="BG413">
        <v>0</v>
      </c>
      <c r="BH413" t="s">
        <v>200</v>
      </c>
      <c r="BI413">
        <v>13</v>
      </c>
      <c r="BJ413">
        <v>6375918</v>
      </c>
      <c r="BK413" t="s">
        <v>201</v>
      </c>
      <c r="BL413" t="s">
        <v>190</v>
      </c>
    </row>
    <row r="414" spans="1:64" x14ac:dyDescent="0.3">
      <c r="A414">
        <v>109</v>
      </c>
      <c r="B414" t="s">
        <v>186</v>
      </c>
      <c r="C414">
        <v>3</v>
      </c>
      <c r="D414">
        <v>6375918</v>
      </c>
      <c r="E414" t="s">
        <v>187</v>
      </c>
      <c r="F414" t="s">
        <v>188</v>
      </c>
      <c r="G414">
        <v>10204842</v>
      </c>
      <c r="H414" s="35">
        <v>46163</v>
      </c>
      <c r="I414" s="35">
        <v>46163</v>
      </c>
      <c r="J414">
        <v>2026</v>
      </c>
      <c r="K414">
        <v>5</v>
      </c>
      <c r="L414" t="s">
        <v>189</v>
      </c>
      <c r="M414">
        <v>1</v>
      </c>
      <c r="N414" t="s">
        <v>190</v>
      </c>
      <c r="O414" t="s">
        <v>191</v>
      </c>
      <c r="P414" t="s">
        <v>199</v>
      </c>
      <c r="Q414" t="s">
        <v>199</v>
      </c>
      <c r="R414">
        <v>21</v>
      </c>
      <c r="S414">
        <v>21</v>
      </c>
      <c r="T414">
        <v>2280</v>
      </c>
      <c r="U414">
        <v>3</v>
      </c>
      <c r="V414" t="s">
        <v>193</v>
      </c>
      <c r="W414" t="s">
        <v>29</v>
      </c>
      <c r="X414" t="s">
        <v>19</v>
      </c>
      <c r="Y414" t="s">
        <v>30</v>
      </c>
      <c r="Z414" t="s">
        <v>30</v>
      </c>
      <c r="AA414">
        <v>14</v>
      </c>
      <c r="AB414">
        <v>621008</v>
      </c>
      <c r="AC414" t="s">
        <v>194</v>
      </c>
      <c r="AD414" t="s">
        <v>195</v>
      </c>
      <c r="AE414">
        <v>1</v>
      </c>
      <c r="AF414">
        <v>12</v>
      </c>
      <c r="AG414">
        <v>185</v>
      </c>
      <c r="AH414">
        <v>0</v>
      </c>
      <c r="AI414">
        <v>0</v>
      </c>
      <c r="AJ414">
        <v>0</v>
      </c>
      <c r="AK414">
        <v>399.6</v>
      </c>
      <c r="AL414">
        <v>2220</v>
      </c>
      <c r="AM414">
        <v>2620</v>
      </c>
      <c r="AN414">
        <v>14</v>
      </c>
      <c r="AO414" t="s">
        <v>32</v>
      </c>
      <c r="AP414" t="s">
        <v>34</v>
      </c>
      <c r="AQ414">
        <v>10</v>
      </c>
      <c r="AR414">
        <v>138</v>
      </c>
      <c r="AS414" t="s">
        <v>90</v>
      </c>
      <c r="AT414">
        <v>73102</v>
      </c>
      <c r="AU414" t="s">
        <v>196</v>
      </c>
      <c r="AV414" t="s">
        <v>91</v>
      </c>
      <c r="AW414" t="s">
        <v>23</v>
      </c>
      <c r="AX414" t="s">
        <v>24</v>
      </c>
      <c r="AY414" t="s">
        <v>33</v>
      </c>
      <c r="AZ414" t="s">
        <v>197</v>
      </c>
      <c r="BA414" t="s">
        <v>567</v>
      </c>
      <c r="BB414">
        <v>0</v>
      </c>
      <c r="BC414">
        <v>0</v>
      </c>
      <c r="BD414" t="s">
        <v>199</v>
      </c>
      <c r="BE414" t="s">
        <v>199</v>
      </c>
      <c r="BF414">
        <v>0</v>
      </c>
      <c r="BG414">
        <v>0</v>
      </c>
      <c r="BH414" t="s">
        <v>200</v>
      </c>
      <c r="BI414">
        <v>13</v>
      </c>
      <c r="BJ414">
        <v>6375918</v>
      </c>
      <c r="BK414" t="s">
        <v>201</v>
      </c>
      <c r="BL414" t="s">
        <v>190</v>
      </c>
    </row>
    <row r="415" spans="1:64" x14ac:dyDescent="0.3">
      <c r="A415">
        <v>125</v>
      </c>
      <c r="B415" t="s">
        <v>186</v>
      </c>
      <c r="C415">
        <v>3</v>
      </c>
      <c r="D415">
        <v>6376077</v>
      </c>
      <c r="E415" t="s">
        <v>213</v>
      </c>
      <c r="F415" t="s">
        <v>188</v>
      </c>
      <c r="G415">
        <v>10205001</v>
      </c>
      <c r="H415" s="35">
        <v>46163</v>
      </c>
      <c r="I415" s="35">
        <v>46163</v>
      </c>
      <c r="J415">
        <v>2026</v>
      </c>
      <c r="K415">
        <v>5</v>
      </c>
      <c r="L415" t="s">
        <v>189</v>
      </c>
      <c r="M415">
        <v>1</v>
      </c>
      <c r="N415" t="s">
        <v>190</v>
      </c>
      <c r="O415" t="s">
        <v>191</v>
      </c>
      <c r="P415" t="s">
        <v>199</v>
      </c>
      <c r="Q415" t="s">
        <v>199</v>
      </c>
      <c r="R415">
        <v>21</v>
      </c>
      <c r="S415">
        <v>21</v>
      </c>
      <c r="T415">
        <v>36908</v>
      </c>
      <c r="U415">
        <v>3</v>
      </c>
      <c r="V415" t="s">
        <v>215</v>
      </c>
      <c r="W415" t="s">
        <v>67</v>
      </c>
      <c r="X415" t="s">
        <v>28</v>
      </c>
      <c r="Y415" t="s">
        <v>30</v>
      </c>
      <c r="Z415" t="s">
        <v>30</v>
      </c>
      <c r="AA415">
        <v>11</v>
      </c>
      <c r="AB415">
        <v>101130</v>
      </c>
      <c r="AC415" t="s">
        <v>508</v>
      </c>
      <c r="AD415" t="s">
        <v>509</v>
      </c>
      <c r="AE415">
        <v>8.8888888888879997E-2</v>
      </c>
      <c r="AF415">
        <v>16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11</v>
      </c>
      <c r="AO415" t="s">
        <v>69</v>
      </c>
      <c r="AP415" t="s">
        <v>73</v>
      </c>
      <c r="AQ415">
        <v>10</v>
      </c>
      <c r="AR415">
        <v>111</v>
      </c>
      <c r="AS415" t="s">
        <v>97</v>
      </c>
      <c r="AT415">
        <v>677001</v>
      </c>
      <c r="AU415" t="s">
        <v>273</v>
      </c>
      <c r="AV415" t="s">
        <v>86</v>
      </c>
      <c r="AW415" t="s">
        <v>70</v>
      </c>
      <c r="AX415" t="s">
        <v>71</v>
      </c>
      <c r="AY415" t="s">
        <v>72</v>
      </c>
      <c r="AZ415" t="s">
        <v>221</v>
      </c>
      <c r="BA415" t="s">
        <v>572</v>
      </c>
      <c r="BB415">
        <v>0</v>
      </c>
      <c r="BC415">
        <v>1</v>
      </c>
      <c r="BD415">
        <v>3600</v>
      </c>
      <c r="BE415" t="s">
        <v>573</v>
      </c>
      <c r="BF415">
        <v>0</v>
      </c>
      <c r="BG415">
        <v>0</v>
      </c>
      <c r="BH415" t="s">
        <v>200</v>
      </c>
      <c r="BI415">
        <v>13</v>
      </c>
      <c r="BJ415">
        <v>6376077</v>
      </c>
      <c r="BK415" t="s">
        <v>201</v>
      </c>
      <c r="BL415" t="s">
        <v>190</v>
      </c>
    </row>
    <row r="416" spans="1:64" x14ac:dyDescent="0.3">
      <c r="A416">
        <v>125</v>
      </c>
      <c r="B416" t="s">
        <v>186</v>
      </c>
      <c r="C416">
        <v>3</v>
      </c>
      <c r="D416">
        <v>6376077</v>
      </c>
      <c r="E416" t="s">
        <v>213</v>
      </c>
      <c r="F416" t="s">
        <v>188</v>
      </c>
      <c r="G416">
        <v>10205001</v>
      </c>
      <c r="H416" s="35">
        <v>46163</v>
      </c>
      <c r="I416" s="35">
        <v>46163</v>
      </c>
      <c r="J416">
        <v>2026</v>
      </c>
      <c r="K416">
        <v>5</v>
      </c>
      <c r="L416" t="s">
        <v>189</v>
      </c>
      <c r="M416">
        <v>1</v>
      </c>
      <c r="N416" t="s">
        <v>190</v>
      </c>
      <c r="O416" t="s">
        <v>191</v>
      </c>
      <c r="P416" t="s">
        <v>199</v>
      </c>
      <c r="Q416" t="s">
        <v>199</v>
      </c>
      <c r="R416">
        <v>21</v>
      </c>
      <c r="S416">
        <v>21</v>
      </c>
      <c r="T416">
        <v>36908</v>
      </c>
      <c r="U416">
        <v>3</v>
      </c>
      <c r="V416" t="s">
        <v>215</v>
      </c>
      <c r="W416" t="s">
        <v>67</v>
      </c>
      <c r="X416" t="s">
        <v>28</v>
      </c>
      <c r="Y416" t="s">
        <v>30</v>
      </c>
      <c r="Z416" t="s">
        <v>30</v>
      </c>
      <c r="AA416">
        <v>11</v>
      </c>
      <c r="AB416">
        <v>800089</v>
      </c>
      <c r="AC416" t="s">
        <v>295</v>
      </c>
      <c r="AD416" t="s">
        <v>296</v>
      </c>
      <c r="AE416">
        <v>1</v>
      </c>
      <c r="AF416">
        <v>8</v>
      </c>
      <c r="AG416">
        <v>357.12</v>
      </c>
      <c r="AH416">
        <v>0</v>
      </c>
      <c r="AI416">
        <v>0</v>
      </c>
      <c r="AJ416">
        <v>0</v>
      </c>
      <c r="AK416">
        <v>514.25</v>
      </c>
      <c r="AL416">
        <v>2856.96</v>
      </c>
      <c r="AM416">
        <v>3371</v>
      </c>
      <c r="AN416">
        <v>11</v>
      </c>
      <c r="AO416" t="s">
        <v>69</v>
      </c>
      <c r="AP416" t="s">
        <v>73</v>
      </c>
      <c r="AQ416">
        <v>10</v>
      </c>
      <c r="AR416">
        <v>105</v>
      </c>
      <c r="AS416" t="s">
        <v>85</v>
      </c>
      <c r="AT416">
        <v>677001</v>
      </c>
      <c r="AU416" t="s">
        <v>273</v>
      </c>
      <c r="AV416" t="s">
        <v>86</v>
      </c>
      <c r="AW416" t="s">
        <v>70</v>
      </c>
      <c r="AX416" t="s">
        <v>71</v>
      </c>
      <c r="AY416" t="s">
        <v>72</v>
      </c>
      <c r="AZ416" t="s">
        <v>221</v>
      </c>
      <c r="BA416" t="s">
        <v>572</v>
      </c>
      <c r="BB416">
        <v>0</v>
      </c>
      <c r="BC416">
        <v>0</v>
      </c>
      <c r="BD416" t="s">
        <v>199</v>
      </c>
      <c r="BE416" t="s">
        <v>199</v>
      </c>
      <c r="BF416">
        <v>0</v>
      </c>
      <c r="BG416">
        <v>0</v>
      </c>
      <c r="BH416" t="s">
        <v>200</v>
      </c>
      <c r="BI416">
        <v>13</v>
      </c>
      <c r="BJ416">
        <v>6376077</v>
      </c>
      <c r="BK416" t="s">
        <v>201</v>
      </c>
      <c r="BL416" t="s">
        <v>190</v>
      </c>
    </row>
    <row r="417" spans="1:64" x14ac:dyDescent="0.3">
      <c r="A417">
        <v>125</v>
      </c>
      <c r="B417" t="s">
        <v>186</v>
      </c>
      <c r="C417">
        <v>3</v>
      </c>
      <c r="D417">
        <v>6376077</v>
      </c>
      <c r="E417" t="s">
        <v>213</v>
      </c>
      <c r="F417" t="s">
        <v>188</v>
      </c>
      <c r="G417">
        <v>10205001</v>
      </c>
      <c r="H417" s="35">
        <v>46163</v>
      </c>
      <c r="I417" s="35">
        <v>46163</v>
      </c>
      <c r="J417">
        <v>2026</v>
      </c>
      <c r="K417">
        <v>5</v>
      </c>
      <c r="L417" t="s">
        <v>189</v>
      </c>
      <c r="M417">
        <v>1</v>
      </c>
      <c r="N417" t="s">
        <v>190</v>
      </c>
      <c r="O417" t="s">
        <v>191</v>
      </c>
      <c r="P417" t="s">
        <v>199</v>
      </c>
      <c r="Q417" t="s">
        <v>199</v>
      </c>
      <c r="R417">
        <v>21</v>
      </c>
      <c r="S417">
        <v>21</v>
      </c>
      <c r="T417">
        <v>36908</v>
      </c>
      <c r="U417">
        <v>3</v>
      </c>
      <c r="V417" t="s">
        <v>215</v>
      </c>
      <c r="W417" t="s">
        <v>67</v>
      </c>
      <c r="X417" t="s">
        <v>28</v>
      </c>
      <c r="Y417" t="s">
        <v>30</v>
      </c>
      <c r="Z417" t="s">
        <v>30</v>
      </c>
      <c r="AA417">
        <v>11</v>
      </c>
      <c r="AB417">
        <v>800088</v>
      </c>
      <c r="AC417" t="s">
        <v>276</v>
      </c>
      <c r="AD417" t="s">
        <v>277</v>
      </c>
      <c r="AE417">
        <v>1</v>
      </c>
      <c r="AF417">
        <v>8</v>
      </c>
      <c r="AG417">
        <v>357.12</v>
      </c>
      <c r="AH417">
        <v>0</v>
      </c>
      <c r="AI417">
        <v>0</v>
      </c>
      <c r="AJ417">
        <v>0</v>
      </c>
      <c r="AK417">
        <v>514.25</v>
      </c>
      <c r="AL417">
        <v>2856.96</v>
      </c>
      <c r="AM417">
        <v>3371</v>
      </c>
      <c r="AN417">
        <v>11</v>
      </c>
      <c r="AO417" t="s">
        <v>69</v>
      </c>
      <c r="AP417" t="s">
        <v>73</v>
      </c>
      <c r="AQ417">
        <v>10</v>
      </c>
      <c r="AR417">
        <v>105</v>
      </c>
      <c r="AS417" t="s">
        <v>85</v>
      </c>
      <c r="AT417">
        <v>677001</v>
      </c>
      <c r="AU417" t="s">
        <v>273</v>
      </c>
      <c r="AV417" t="s">
        <v>86</v>
      </c>
      <c r="AW417" t="s">
        <v>70</v>
      </c>
      <c r="AX417" t="s">
        <v>71</v>
      </c>
      <c r="AY417" t="s">
        <v>72</v>
      </c>
      <c r="AZ417" t="s">
        <v>221</v>
      </c>
      <c r="BA417" t="s">
        <v>572</v>
      </c>
      <c r="BB417">
        <v>0</v>
      </c>
      <c r="BC417">
        <v>0</v>
      </c>
      <c r="BD417" t="s">
        <v>199</v>
      </c>
      <c r="BE417" t="s">
        <v>199</v>
      </c>
      <c r="BF417">
        <v>0</v>
      </c>
      <c r="BG417">
        <v>0</v>
      </c>
      <c r="BH417" t="s">
        <v>200</v>
      </c>
      <c r="BI417">
        <v>13</v>
      </c>
      <c r="BJ417">
        <v>6376077</v>
      </c>
      <c r="BK417" t="s">
        <v>201</v>
      </c>
      <c r="BL417" t="s">
        <v>190</v>
      </c>
    </row>
    <row r="418" spans="1:64" x14ac:dyDescent="0.3">
      <c r="A418">
        <v>125</v>
      </c>
      <c r="B418" t="s">
        <v>186</v>
      </c>
      <c r="C418">
        <v>3</v>
      </c>
      <c r="D418">
        <v>6376077</v>
      </c>
      <c r="E418" t="s">
        <v>213</v>
      </c>
      <c r="F418" t="s">
        <v>188</v>
      </c>
      <c r="G418">
        <v>10205001</v>
      </c>
      <c r="H418" s="35">
        <v>46163</v>
      </c>
      <c r="I418" s="35">
        <v>46163</v>
      </c>
      <c r="J418">
        <v>2026</v>
      </c>
      <c r="K418">
        <v>5</v>
      </c>
      <c r="L418" t="s">
        <v>189</v>
      </c>
      <c r="M418">
        <v>1</v>
      </c>
      <c r="N418" t="s">
        <v>190</v>
      </c>
      <c r="O418" t="s">
        <v>191</v>
      </c>
      <c r="P418" t="s">
        <v>199</v>
      </c>
      <c r="Q418" t="s">
        <v>199</v>
      </c>
      <c r="R418">
        <v>21</v>
      </c>
      <c r="S418">
        <v>21</v>
      </c>
      <c r="T418">
        <v>36908</v>
      </c>
      <c r="U418">
        <v>3</v>
      </c>
      <c r="V418" t="s">
        <v>215</v>
      </c>
      <c r="W418" t="s">
        <v>67</v>
      </c>
      <c r="X418" t="s">
        <v>28</v>
      </c>
      <c r="Y418" t="s">
        <v>30</v>
      </c>
      <c r="Z418" t="s">
        <v>30</v>
      </c>
      <c r="AA418">
        <v>11</v>
      </c>
      <c r="AB418">
        <v>201001</v>
      </c>
      <c r="AC418" t="s">
        <v>248</v>
      </c>
      <c r="AD418" t="s">
        <v>249</v>
      </c>
      <c r="AE418">
        <v>100</v>
      </c>
      <c r="AF418">
        <v>100</v>
      </c>
      <c r="AG418">
        <v>208.37</v>
      </c>
      <c r="AH418">
        <v>0</v>
      </c>
      <c r="AI418">
        <v>0</v>
      </c>
      <c r="AJ418">
        <v>0</v>
      </c>
      <c r="AK418">
        <v>3750.66</v>
      </c>
      <c r="AL418">
        <v>20837</v>
      </c>
      <c r="AM418">
        <v>24588</v>
      </c>
      <c r="AN418">
        <v>11</v>
      </c>
      <c r="AO418" t="s">
        <v>69</v>
      </c>
      <c r="AP418" t="s">
        <v>73</v>
      </c>
      <c r="AQ418">
        <v>10</v>
      </c>
      <c r="AR418">
        <v>113</v>
      </c>
      <c r="AS418" t="s">
        <v>89</v>
      </c>
      <c r="AT418">
        <v>82101</v>
      </c>
      <c r="AU418" t="s">
        <v>252</v>
      </c>
      <c r="AV418" t="s">
        <v>80</v>
      </c>
      <c r="AW418" t="s">
        <v>70</v>
      </c>
      <c r="AX418" t="s">
        <v>71</v>
      </c>
      <c r="AY418" t="s">
        <v>72</v>
      </c>
      <c r="AZ418" t="s">
        <v>221</v>
      </c>
      <c r="BA418" t="s">
        <v>572</v>
      </c>
      <c r="BB418">
        <v>0</v>
      </c>
      <c r="BC418">
        <v>0</v>
      </c>
      <c r="BD418" t="s">
        <v>199</v>
      </c>
      <c r="BE418" t="s">
        <v>199</v>
      </c>
      <c r="BF418">
        <v>0</v>
      </c>
      <c r="BG418">
        <v>0</v>
      </c>
      <c r="BH418" t="s">
        <v>200</v>
      </c>
      <c r="BI418">
        <v>13</v>
      </c>
      <c r="BJ418">
        <v>6376077</v>
      </c>
      <c r="BK418" t="s">
        <v>201</v>
      </c>
      <c r="BL418" t="s">
        <v>190</v>
      </c>
    </row>
    <row r="419" spans="1:64" x14ac:dyDescent="0.3">
      <c r="A419">
        <v>125</v>
      </c>
      <c r="B419" t="s">
        <v>186</v>
      </c>
      <c r="C419">
        <v>3</v>
      </c>
      <c r="D419">
        <v>6376077</v>
      </c>
      <c r="E419" t="s">
        <v>213</v>
      </c>
      <c r="F419" t="s">
        <v>188</v>
      </c>
      <c r="G419">
        <v>10205001</v>
      </c>
      <c r="H419" s="35">
        <v>46163</v>
      </c>
      <c r="I419" s="35">
        <v>46163</v>
      </c>
      <c r="J419">
        <v>2026</v>
      </c>
      <c r="K419">
        <v>5</v>
      </c>
      <c r="L419" t="s">
        <v>189</v>
      </c>
      <c r="M419">
        <v>1</v>
      </c>
      <c r="N419" t="s">
        <v>190</v>
      </c>
      <c r="O419" t="s">
        <v>191</v>
      </c>
      <c r="P419" t="s">
        <v>199</v>
      </c>
      <c r="Q419" t="s">
        <v>199</v>
      </c>
      <c r="R419">
        <v>21</v>
      </c>
      <c r="S419">
        <v>21</v>
      </c>
      <c r="T419">
        <v>36908</v>
      </c>
      <c r="U419">
        <v>3</v>
      </c>
      <c r="V419" t="s">
        <v>215</v>
      </c>
      <c r="W419" t="s">
        <v>67</v>
      </c>
      <c r="X419" t="s">
        <v>28</v>
      </c>
      <c r="Y419" t="s">
        <v>30</v>
      </c>
      <c r="Z419" t="s">
        <v>30</v>
      </c>
      <c r="AA419">
        <v>11</v>
      </c>
      <c r="AB419">
        <v>101038</v>
      </c>
      <c r="AC419" t="s">
        <v>271</v>
      </c>
      <c r="AD419" t="s">
        <v>272</v>
      </c>
      <c r="AE419">
        <v>2</v>
      </c>
      <c r="AF419">
        <v>20</v>
      </c>
      <c r="AG419">
        <v>357.12</v>
      </c>
      <c r="AH419">
        <v>0</v>
      </c>
      <c r="AI419">
        <v>0</v>
      </c>
      <c r="AJ419">
        <v>0</v>
      </c>
      <c r="AK419">
        <v>1285.6300000000001</v>
      </c>
      <c r="AL419">
        <v>7142.4</v>
      </c>
      <c r="AM419">
        <v>8428</v>
      </c>
      <c r="AN419">
        <v>11</v>
      </c>
      <c r="AO419" t="s">
        <v>69</v>
      </c>
      <c r="AP419" t="s">
        <v>73</v>
      </c>
      <c r="AQ419">
        <v>10</v>
      </c>
      <c r="AR419">
        <v>105</v>
      </c>
      <c r="AS419" t="s">
        <v>85</v>
      </c>
      <c r="AT419">
        <v>677001</v>
      </c>
      <c r="AU419" t="s">
        <v>273</v>
      </c>
      <c r="AV419" t="s">
        <v>86</v>
      </c>
      <c r="AW419" t="s">
        <v>70</v>
      </c>
      <c r="AX419" t="s">
        <v>71</v>
      </c>
      <c r="AY419" t="s">
        <v>72</v>
      </c>
      <c r="AZ419" t="s">
        <v>221</v>
      </c>
      <c r="BA419" t="s">
        <v>572</v>
      </c>
      <c r="BB419">
        <v>0</v>
      </c>
      <c r="BC419">
        <v>0</v>
      </c>
      <c r="BD419" t="s">
        <v>199</v>
      </c>
      <c r="BE419" t="s">
        <v>199</v>
      </c>
      <c r="BF419">
        <v>0</v>
      </c>
      <c r="BG419">
        <v>0</v>
      </c>
      <c r="BH419" t="s">
        <v>200</v>
      </c>
      <c r="BI419">
        <v>13</v>
      </c>
      <c r="BJ419">
        <v>6376077</v>
      </c>
      <c r="BK419" t="s">
        <v>201</v>
      </c>
      <c r="BL419" t="s">
        <v>190</v>
      </c>
    </row>
    <row r="420" spans="1:64" x14ac:dyDescent="0.3">
      <c r="A420">
        <v>125</v>
      </c>
      <c r="B420" t="s">
        <v>186</v>
      </c>
      <c r="C420">
        <v>3</v>
      </c>
      <c r="D420">
        <v>6376107</v>
      </c>
      <c r="E420" t="s">
        <v>213</v>
      </c>
      <c r="F420" t="s">
        <v>188</v>
      </c>
      <c r="G420">
        <v>10205031</v>
      </c>
      <c r="H420" s="35">
        <v>46163</v>
      </c>
      <c r="I420" s="35">
        <v>46163</v>
      </c>
      <c r="J420">
        <v>2026</v>
      </c>
      <c r="K420">
        <v>5</v>
      </c>
      <c r="L420" t="s">
        <v>189</v>
      </c>
      <c r="M420">
        <v>1</v>
      </c>
      <c r="N420" t="s">
        <v>190</v>
      </c>
      <c r="O420" t="s">
        <v>191</v>
      </c>
      <c r="P420" t="s">
        <v>199</v>
      </c>
      <c r="Q420" t="s">
        <v>199</v>
      </c>
      <c r="R420">
        <v>21</v>
      </c>
      <c r="S420">
        <v>21</v>
      </c>
      <c r="T420">
        <v>36908</v>
      </c>
      <c r="U420">
        <v>3</v>
      </c>
      <c r="V420" t="s">
        <v>215</v>
      </c>
      <c r="W420" t="s">
        <v>67</v>
      </c>
      <c r="X420" t="s">
        <v>28</v>
      </c>
      <c r="Y420" t="s">
        <v>30</v>
      </c>
      <c r="Z420" t="s">
        <v>30</v>
      </c>
      <c r="AA420">
        <v>11</v>
      </c>
      <c r="AB420">
        <v>800088</v>
      </c>
      <c r="AC420" t="s">
        <v>276</v>
      </c>
      <c r="AD420" t="s">
        <v>277</v>
      </c>
      <c r="AE420">
        <v>1</v>
      </c>
      <c r="AF420">
        <v>8</v>
      </c>
      <c r="AG420">
        <v>364.41</v>
      </c>
      <c r="AH420">
        <v>0</v>
      </c>
      <c r="AI420">
        <v>0</v>
      </c>
      <c r="AJ420">
        <v>0</v>
      </c>
      <c r="AK420">
        <v>524.75</v>
      </c>
      <c r="AL420">
        <v>2915.28</v>
      </c>
      <c r="AM420">
        <v>3440</v>
      </c>
      <c r="AN420">
        <v>11</v>
      </c>
      <c r="AO420" t="s">
        <v>69</v>
      </c>
      <c r="AP420" t="s">
        <v>73</v>
      </c>
      <c r="AQ420">
        <v>10</v>
      </c>
      <c r="AR420">
        <v>105</v>
      </c>
      <c r="AS420" t="s">
        <v>85</v>
      </c>
      <c r="AT420">
        <v>677001</v>
      </c>
      <c r="AU420" t="s">
        <v>273</v>
      </c>
      <c r="AV420" t="s">
        <v>86</v>
      </c>
      <c r="AW420" t="s">
        <v>70</v>
      </c>
      <c r="AX420" t="s">
        <v>71</v>
      </c>
      <c r="AY420" t="s">
        <v>72</v>
      </c>
      <c r="AZ420" t="s">
        <v>221</v>
      </c>
      <c r="BA420" t="s">
        <v>574</v>
      </c>
      <c r="BB420">
        <v>0</v>
      </c>
      <c r="BC420">
        <v>0</v>
      </c>
      <c r="BD420" t="s">
        <v>199</v>
      </c>
      <c r="BE420" t="s">
        <v>199</v>
      </c>
      <c r="BF420">
        <v>0</v>
      </c>
      <c r="BG420">
        <v>0</v>
      </c>
      <c r="BH420" t="s">
        <v>200</v>
      </c>
      <c r="BI420">
        <v>13</v>
      </c>
      <c r="BJ420">
        <v>6376107</v>
      </c>
      <c r="BK420" t="s">
        <v>201</v>
      </c>
      <c r="BL420" t="s">
        <v>190</v>
      </c>
    </row>
    <row r="421" spans="1:64" x14ac:dyDescent="0.3">
      <c r="A421">
        <v>125</v>
      </c>
      <c r="B421" t="s">
        <v>186</v>
      </c>
      <c r="C421">
        <v>3</v>
      </c>
      <c r="D421">
        <v>6376107</v>
      </c>
      <c r="E421" t="s">
        <v>213</v>
      </c>
      <c r="F421" t="s">
        <v>188</v>
      </c>
      <c r="G421">
        <v>10205031</v>
      </c>
      <c r="H421" s="35">
        <v>46163</v>
      </c>
      <c r="I421" s="35">
        <v>46163</v>
      </c>
      <c r="J421">
        <v>2026</v>
      </c>
      <c r="K421">
        <v>5</v>
      </c>
      <c r="L421" t="s">
        <v>189</v>
      </c>
      <c r="M421">
        <v>1</v>
      </c>
      <c r="N421" t="s">
        <v>190</v>
      </c>
      <c r="O421" t="s">
        <v>191</v>
      </c>
      <c r="P421" t="s">
        <v>199</v>
      </c>
      <c r="Q421" t="s">
        <v>199</v>
      </c>
      <c r="R421">
        <v>21</v>
      </c>
      <c r="S421">
        <v>21</v>
      </c>
      <c r="T421">
        <v>36908</v>
      </c>
      <c r="U421">
        <v>3</v>
      </c>
      <c r="V421" t="s">
        <v>215</v>
      </c>
      <c r="W421" t="s">
        <v>67</v>
      </c>
      <c r="X421" t="s">
        <v>28</v>
      </c>
      <c r="Y421" t="s">
        <v>30</v>
      </c>
      <c r="Z421" t="s">
        <v>30</v>
      </c>
      <c r="AA421">
        <v>11</v>
      </c>
      <c r="AB421">
        <v>800089</v>
      </c>
      <c r="AC421" t="s">
        <v>295</v>
      </c>
      <c r="AD421" t="s">
        <v>296</v>
      </c>
      <c r="AE421">
        <v>1</v>
      </c>
      <c r="AF421">
        <v>8</v>
      </c>
      <c r="AG421">
        <v>364.41</v>
      </c>
      <c r="AH421">
        <v>0</v>
      </c>
      <c r="AI421">
        <v>0</v>
      </c>
      <c r="AJ421">
        <v>0</v>
      </c>
      <c r="AK421">
        <v>524.75</v>
      </c>
      <c r="AL421">
        <v>2915.28</v>
      </c>
      <c r="AM421">
        <v>3440</v>
      </c>
      <c r="AN421">
        <v>11</v>
      </c>
      <c r="AO421" t="s">
        <v>69</v>
      </c>
      <c r="AP421" t="s">
        <v>73</v>
      </c>
      <c r="AQ421">
        <v>10</v>
      </c>
      <c r="AR421">
        <v>105</v>
      </c>
      <c r="AS421" t="s">
        <v>85</v>
      </c>
      <c r="AT421">
        <v>677001</v>
      </c>
      <c r="AU421" t="s">
        <v>273</v>
      </c>
      <c r="AV421" t="s">
        <v>86</v>
      </c>
      <c r="AW421" t="s">
        <v>70</v>
      </c>
      <c r="AX421" t="s">
        <v>71</v>
      </c>
      <c r="AY421" t="s">
        <v>72</v>
      </c>
      <c r="AZ421" t="s">
        <v>221</v>
      </c>
      <c r="BA421" t="s">
        <v>574</v>
      </c>
      <c r="BB421">
        <v>0</v>
      </c>
      <c r="BC421">
        <v>0</v>
      </c>
      <c r="BD421" t="s">
        <v>199</v>
      </c>
      <c r="BE421" t="s">
        <v>199</v>
      </c>
      <c r="BF421">
        <v>0</v>
      </c>
      <c r="BG421">
        <v>0</v>
      </c>
      <c r="BH421" t="s">
        <v>200</v>
      </c>
      <c r="BI421">
        <v>13</v>
      </c>
      <c r="BJ421">
        <v>6376107</v>
      </c>
      <c r="BK421" t="s">
        <v>201</v>
      </c>
      <c r="BL421" t="s">
        <v>190</v>
      </c>
    </row>
    <row r="422" spans="1:64" x14ac:dyDescent="0.3">
      <c r="A422">
        <v>125</v>
      </c>
      <c r="B422" t="s">
        <v>186</v>
      </c>
      <c r="C422">
        <v>3</v>
      </c>
      <c r="D422">
        <v>6376107</v>
      </c>
      <c r="E422" t="s">
        <v>213</v>
      </c>
      <c r="F422" t="s">
        <v>188</v>
      </c>
      <c r="G422">
        <v>10205031</v>
      </c>
      <c r="H422" s="35">
        <v>46163</v>
      </c>
      <c r="I422" s="35">
        <v>46163</v>
      </c>
      <c r="J422">
        <v>2026</v>
      </c>
      <c r="K422">
        <v>5</v>
      </c>
      <c r="L422" t="s">
        <v>189</v>
      </c>
      <c r="M422">
        <v>1</v>
      </c>
      <c r="N422" t="s">
        <v>190</v>
      </c>
      <c r="O422" t="s">
        <v>191</v>
      </c>
      <c r="P422" t="s">
        <v>199</v>
      </c>
      <c r="Q422" t="s">
        <v>199</v>
      </c>
      <c r="R422">
        <v>21</v>
      </c>
      <c r="S422">
        <v>21</v>
      </c>
      <c r="T422">
        <v>36908</v>
      </c>
      <c r="U422">
        <v>3</v>
      </c>
      <c r="V422" t="s">
        <v>215</v>
      </c>
      <c r="W422" t="s">
        <v>67</v>
      </c>
      <c r="X422" t="s">
        <v>28</v>
      </c>
      <c r="Y422" t="s">
        <v>30</v>
      </c>
      <c r="Z422" t="s">
        <v>30</v>
      </c>
      <c r="AA422">
        <v>11</v>
      </c>
      <c r="AB422">
        <v>101130</v>
      </c>
      <c r="AC422" t="s">
        <v>508</v>
      </c>
      <c r="AD422" t="s">
        <v>509</v>
      </c>
      <c r="AE422">
        <v>8.8888888888879997E-2</v>
      </c>
      <c r="AF422">
        <v>16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11</v>
      </c>
      <c r="AO422" t="s">
        <v>69</v>
      </c>
      <c r="AP422" t="s">
        <v>73</v>
      </c>
      <c r="AQ422">
        <v>10</v>
      </c>
      <c r="AR422">
        <v>111</v>
      </c>
      <c r="AS422" t="s">
        <v>97</v>
      </c>
      <c r="AT422">
        <v>677001</v>
      </c>
      <c r="AU422" t="s">
        <v>273</v>
      </c>
      <c r="AV422" t="s">
        <v>86</v>
      </c>
      <c r="AW422" t="s">
        <v>70</v>
      </c>
      <c r="AX422" t="s">
        <v>71</v>
      </c>
      <c r="AY422" t="s">
        <v>72</v>
      </c>
      <c r="AZ422" t="s">
        <v>221</v>
      </c>
      <c r="BA422" t="s">
        <v>574</v>
      </c>
      <c r="BB422">
        <v>0</v>
      </c>
      <c r="BC422">
        <v>1</v>
      </c>
      <c r="BD422">
        <v>3600</v>
      </c>
      <c r="BE422" t="s">
        <v>573</v>
      </c>
      <c r="BF422">
        <v>0</v>
      </c>
      <c r="BG422">
        <v>0</v>
      </c>
      <c r="BH422" t="s">
        <v>200</v>
      </c>
      <c r="BI422">
        <v>13</v>
      </c>
      <c r="BJ422">
        <v>6376107</v>
      </c>
      <c r="BK422" t="s">
        <v>201</v>
      </c>
      <c r="BL422" t="s">
        <v>190</v>
      </c>
    </row>
    <row r="423" spans="1:64" x14ac:dyDescent="0.3">
      <c r="A423">
        <v>223</v>
      </c>
      <c r="B423" t="s">
        <v>186</v>
      </c>
      <c r="C423">
        <v>3</v>
      </c>
      <c r="D423">
        <v>6380348</v>
      </c>
      <c r="E423" t="s">
        <v>202</v>
      </c>
      <c r="F423" t="s">
        <v>188</v>
      </c>
      <c r="G423">
        <v>10209272</v>
      </c>
      <c r="H423" s="35">
        <v>46167</v>
      </c>
      <c r="I423" s="35">
        <v>46167</v>
      </c>
      <c r="J423">
        <v>2026</v>
      </c>
      <c r="K423">
        <v>5</v>
      </c>
      <c r="L423" t="s">
        <v>189</v>
      </c>
      <c r="M423">
        <v>1</v>
      </c>
      <c r="N423" t="s">
        <v>190</v>
      </c>
      <c r="O423" t="s">
        <v>191</v>
      </c>
      <c r="P423" t="s">
        <v>199</v>
      </c>
      <c r="Q423" t="s">
        <v>199</v>
      </c>
      <c r="R423">
        <v>22</v>
      </c>
      <c r="S423">
        <v>25</v>
      </c>
      <c r="T423">
        <v>14167</v>
      </c>
      <c r="U423">
        <v>3</v>
      </c>
      <c r="V423" t="s">
        <v>208</v>
      </c>
      <c r="W423" t="s">
        <v>18</v>
      </c>
      <c r="X423" t="s">
        <v>19</v>
      </c>
      <c r="Y423" t="s">
        <v>20</v>
      </c>
      <c r="Z423" t="s">
        <v>20</v>
      </c>
      <c r="AA423">
        <v>91</v>
      </c>
      <c r="AB423">
        <v>960102</v>
      </c>
      <c r="AC423" t="s">
        <v>575</v>
      </c>
      <c r="AD423" t="s">
        <v>576</v>
      </c>
      <c r="AE423">
        <v>1</v>
      </c>
      <c r="AF423">
        <v>50</v>
      </c>
      <c r="AG423">
        <v>46.51</v>
      </c>
      <c r="AH423">
        <v>0</v>
      </c>
      <c r="AI423">
        <v>0</v>
      </c>
      <c r="AJ423">
        <v>0</v>
      </c>
      <c r="AK423">
        <v>418.59</v>
      </c>
      <c r="AL423">
        <v>2325.5</v>
      </c>
      <c r="AM423">
        <v>2744</v>
      </c>
      <c r="AN423">
        <v>91</v>
      </c>
      <c r="AO423" t="s">
        <v>22</v>
      </c>
      <c r="AP423" t="s">
        <v>26</v>
      </c>
      <c r="AQ423">
        <v>10</v>
      </c>
      <c r="AR423">
        <v>277</v>
      </c>
      <c r="AS423" t="s">
        <v>106</v>
      </c>
      <c r="AT423">
        <v>856801</v>
      </c>
      <c r="AU423" t="s">
        <v>112</v>
      </c>
      <c r="AV423" t="s">
        <v>107</v>
      </c>
      <c r="AW423" t="s">
        <v>23</v>
      </c>
      <c r="AX423" t="s">
        <v>24</v>
      </c>
      <c r="AY423" t="s">
        <v>25</v>
      </c>
      <c r="AZ423" t="s">
        <v>197</v>
      </c>
      <c r="BA423" t="s">
        <v>577</v>
      </c>
      <c r="BB423">
        <v>0</v>
      </c>
      <c r="BC423">
        <v>0</v>
      </c>
      <c r="BD423" t="s">
        <v>199</v>
      </c>
      <c r="BE423" t="s">
        <v>199</v>
      </c>
      <c r="BF423">
        <v>0</v>
      </c>
      <c r="BG423">
        <v>0</v>
      </c>
      <c r="BH423" t="s">
        <v>200</v>
      </c>
      <c r="BI423">
        <v>13</v>
      </c>
      <c r="BJ423">
        <v>6380348</v>
      </c>
      <c r="BK423" t="s">
        <v>201</v>
      </c>
      <c r="BL423" t="s">
        <v>190</v>
      </c>
    </row>
    <row r="424" spans="1:64" x14ac:dyDescent="0.3">
      <c r="A424">
        <v>119</v>
      </c>
      <c r="B424" t="s">
        <v>186</v>
      </c>
      <c r="C424">
        <v>3</v>
      </c>
      <c r="D424">
        <v>6381807</v>
      </c>
      <c r="E424" t="s">
        <v>489</v>
      </c>
      <c r="F424" t="s">
        <v>188</v>
      </c>
      <c r="G424">
        <v>10210731</v>
      </c>
      <c r="H424" s="35">
        <v>46168</v>
      </c>
      <c r="I424" s="35">
        <v>46168</v>
      </c>
      <c r="J424">
        <v>2026</v>
      </c>
      <c r="K424">
        <v>5</v>
      </c>
      <c r="L424" t="s">
        <v>189</v>
      </c>
      <c r="M424">
        <v>1</v>
      </c>
      <c r="N424" t="s">
        <v>190</v>
      </c>
      <c r="O424" t="s">
        <v>191</v>
      </c>
      <c r="P424" t="s">
        <v>199</v>
      </c>
      <c r="Q424" t="s">
        <v>199</v>
      </c>
      <c r="R424">
        <v>22</v>
      </c>
      <c r="S424">
        <v>26</v>
      </c>
      <c r="T424">
        <v>36908</v>
      </c>
      <c r="U424">
        <v>3</v>
      </c>
      <c r="V424" t="s">
        <v>215</v>
      </c>
      <c r="W424" t="s">
        <v>67</v>
      </c>
      <c r="X424" t="s">
        <v>28</v>
      </c>
      <c r="Y424" t="s">
        <v>30</v>
      </c>
      <c r="Z424" t="s">
        <v>30</v>
      </c>
      <c r="AA424">
        <v>11</v>
      </c>
      <c r="AB424">
        <v>201001</v>
      </c>
      <c r="AC424" t="s">
        <v>248</v>
      </c>
      <c r="AD424" t="s">
        <v>249</v>
      </c>
      <c r="AE424">
        <v>10</v>
      </c>
      <c r="AF424">
        <v>10</v>
      </c>
      <c r="AG424">
        <v>221.67</v>
      </c>
      <c r="AH424">
        <v>0</v>
      </c>
      <c r="AI424">
        <v>0</v>
      </c>
      <c r="AJ424">
        <v>0</v>
      </c>
      <c r="AK424">
        <v>399.01</v>
      </c>
      <c r="AL424">
        <v>2216.6999999999998</v>
      </c>
      <c r="AM424">
        <v>2616</v>
      </c>
      <c r="AN424">
        <v>11</v>
      </c>
      <c r="AO424" t="s">
        <v>69</v>
      </c>
      <c r="AP424" t="s">
        <v>73</v>
      </c>
      <c r="AQ424">
        <v>10</v>
      </c>
      <c r="AR424">
        <v>113</v>
      </c>
      <c r="AS424" t="s">
        <v>89</v>
      </c>
      <c r="AT424">
        <v>82101</v>
      </c>
      <c r="AU424" t="s">
        <v>252</v>
      </c>
      <c r="AV424" t="s">
        <v>80</v>
      </c>
      <c r="AW424" t="s">
        <v>70</v>
      </c>
      <c r="AX424" t="s">
        <v>71</v>
      </c>
      <c r="AY424" t="s">
        <v>72</v>
      </c>
      <c r="AZ424" t="s">
        <v>221</v>
      </c>
      <c r="BA424" t="s">
        <v>578</v>
      </c>
      <c r="BB424">
        <v>0</v>
      </c>
      <c r="BC424">
        <v>0</v>
      </c>
      <c r="BD424" t="s">
        <v>199</v>
      </c>
      <c r="BE424" t="s">
        <v>199</v>
      </c>
      <c r="BF424">
        <v>0</v>
      </c>
      <c r="BG424">
        <v>0</v>
      </c>
      <c r="BH424" t="s">
        <v>200</v>
      </c>
      <c r="BI424">
        <v>13</v>
      </c>
      <c r="BJ424">
        <v>6381807</v>
      </c>
      <c r="BK424" t="s">
        <v>201</v>
      </c>
      <c r="BL424" t="s">
        <v>190</v>
      </c>
    </row>
    <row r="425" spans="1:64" x14ac:dyDescent="0.3">
      <c r="A425">
        <v>109</v>
      </c>
      <c r="B425" t="s">
        <v>186</v>
      </c>
      <c r="C425">
        <v>3</v>
      </c>
      <c r="D425">
        <v>6382073</v>
      </c>
      <c r="E425" t="s">
        <v>187</v>
      </c>
      <c r="F425" t="s">
        <v>188</v>
      </c>
      <c r="G425">
        <v>10210997</v>
      </c>
      <c r="H425" s="35">
        <v>46168</v>
      </c>
      <c r="I425" s="35">
        <v>46168</v>
      </c>
      <c r="J425">
        <v>2026</v>
      </c>
      <c r="K425">
        <v>5</v>
      </c>
      <c r="L425" t="s">
        <v>189</v>
      </c>
      <c r="M425">
        <v>1</v>
      </c>
      <c r="N425" t="s">
        <v>190</v>
      </c>
      <c r="O425" t="s">
        <v>191</v>
      </c>
      <c r="P425" t="s">
        <v>199</v>
      </c>
      <c r="Q425" t="s">
        <v>199</v>
      </c>
      <c r="R425">
        <v>22</v>
      </c>
      <c r="S425">
        <v>26</v>
      </c>
      <c r="T425">
        <v>29579</v>
      </c>
      <c r="U425">
        <v>3</v>
      </c>
      <c r="V425" t="s">
        <v>224</v>
      </c>
      <c r="W425" t="s">
        <v>40</v>
      </c>
      <c r="X425" t="s">
        <v>19</v>
      </c>
      <c r="Y425" t="s">
        <v>41</v>
      </c>
      <c r="Z425" t="s">
        <v>41</v>
      </c>
      <c r="AA425">
        <v>60</v>
      </c>
      <c r="AB425">
        <v>800088</v>
      </c>
      <c r="AC425" t="s">
        <v>276</v>
      </c>
      <c r="AD425" t="s">
        <v>277</v>
      </c>
      <c r="AE425">
        <v>1</v>
      </c>
      <c r="AF425">
        <v>8</v>
      </c>
      <c r="AG425">
        <v>364.41</v>
      </c>
      <c r="AH425">
        <v>0</v>
      </c>
      <c r="AI425">
        <v>0</v>
      </c>
      <c r="AJ425">
        <v>0</v>
      </c>
      <c r="AK425">
        <v>524.75</v>
      </c>
      <c r="AL425">
        <v>2915.28</v>
      </c>
      <c r="AM425">
        <v>3440</v>
      </c>
      <c r="AN425">
        <v>60</v>
      </c>
      <c r="AO425" t="s">
        <v>43</v>
      </c>
      <c r="AP425" t="s">
        <v>45</v>
      </c>
      <c r="AQ425">
        <v>10</v>
      </c>
      <c r="AR425">
        <v>105</v>
      </c>
      <c r="AS425" t="s">
        <v>85</v>
      </c>
      <c r="AT425">
        <v>677001</v>
      </c>
      <c r="AU425" t="s">
        <v>273</v>
      </c>
      <c r="AV425" t="s">
        <v>86</v>
      </c>
      <c r="AW425" t="s">
        <v>23</v>
      </c>
      <c r="AX425" t="s">
        <v>24</v>
      </c>
      <c r="AY425" t="s">
        <v>44</v>
      </c>
      <c r="AZ425" t="s">
        <v>197</v>
      </c>
      <c r="BA425" t="s">
        <v>579</v>
      </c>
      <c r="BB425">
        <v>0</v>
      </c>
      <c r="BC425">
        <v>0</v>
      </c>
      <c r="BD425" t="s">
        <v>199</v>
      </c>
      <c r="BE425" t="s">
        <v>199</v>
      </c>
      <c r="BF425">
        <v>0</v>
      </c>
      <c r="BG425">
        <v>0</v>
      </c>
      <c r="BH425" t="s">
        <v>200</v>
      </c>
      <c r="BI425">
        <v>13</v>
      </c>
      <c r="BJ425">
        <v>6382073</v>
      </c>
      <c r="BK425" t="s">
        <v>201</v>
      </c>
      <c r="BL425" t="s">
        <v>190</v>
      </c>
    </row>
    <row r="426" spans="1:64" x14ac:dyDescent="0.3">
      <c r="A426">
        <v>109</v>
      </c>
      <c r="B426" t="s">
        <v>186</v>
      </c>
      <c r="C426">
        <v>3</v>
      </c>
      <c r="D426">
        <v>6382073</v>
      </c>
      <c r="E426" t="s">
        <v>187</v>
      </c>
      <c r="F426" t="s">
        <v>188</v>
      </c>
      <c r="G426">
        <v>10210997</v>
      </c>
      <c r="H426" s="35">
        <v>46168</v>
      </c>
      <c r="I426" s="35">
        <v>46168</v>
      </c>
      <c r="J426">
        <v>2026</v>
      </c>
      <c r="K426">
        <v>5</v>
      </c>
      <c r="L426" t="s">
        <v>189</v>
      </c>
      <c r="M426">
        <v>1</v>
      </c>
      <c r="N426" t="s">
        <v>190</v>
      </c>
      <c r="O426" t="s">
        <v>191</v>
      </c>
      <c r="P426" t="s">
        <v>199</v>
      </c>
      <c r="Q426" t="s">
        <v>199</v>
      </c>
      <c r="R426">
        <v>22</v>
      </c>
      <c r="S426">
        <v>26</v>
      </c>
      <c r="T426">
        <v>29579</v>
      </c>
      <c r="U426">
        <v>3</v>
      </c>
      <c r="V426" t="s">
        <v>224</v>
      </c>
      <c r="W426" t="s">
        <v>40</v>
      </c>
      <c r="X426" t="s">
        <v>19</v>
      </c>
      <c r="Y426" t="s">
        <v>41</v>
      </c>
      <c r="Z426" t="s">
        <v>41</v>
      </c>
      <c r="AA426">
        <v>60</v>
      </c>
      <c r="AB426">
        <v>101038</v>
      </c>
      <c r="AC426" t="s">
        <v>271</v>
      </c>
      <c r="AD426" t="s">
        <v>272</v>
      </c>
      <c r="AE426">
        <v>1</v>
      </c>
      <c r="AF426">
        <v>10</v>
      </c>
      <c r="AG426">
        <v>364.41</v>
      </c>
      <c r="AH426">
        <v>0</v>
      </c>
      <c r="AI426">
        <v>0</v>
      </c>
      <c r="AJ426">
        <v>0</v>
      </c>
      <c r="AK426">
        <v>655.94</v>
      </c>
      <c r="AL426">
        <v>3644.1</v>
      </c>
      <c r="AM426">
        <v>4300</v>
      </c>
      <c r="AN426">
        <v>60</v>
      </c>
      <c r="AO426" t="s">
        <v>43</v>
      </c>
      <c r="AP426" t="s">
        <v>45</v>
      </c>
      <c r="AQ426">
        <v>10</v>
      </c>
      <c r="AR426">
        <v>105</v>
      </c>
      <c r="AS426" t="s">
        <v>85</v>
      </c>
      <c r="AT426">
        <v>677001</v>
      </c>
      <c r="AU426" t="s">
        <v>273</v>
      </c>
      <c r="AV426" t="s">
        <v>86</v>
      </c>
      <c r="AW426" t="s">
        <v>23</v>
      </c>
      <c r="AX426" t="s">
        <v>24</v>
      </c>
      <c r="AY426" t="s">
        <v>44</v>
      </c>
      <c r="AZ426" t="s">
        <v>197</v>
      </c>
      <c r="BA426" t="s">
        <v>579</v>
      </c>
      <c r="BB426">
        <v>0</v>
      </c>
      <c r="BC426">
        <v>0</v>
      </c>
      <c r="BD426" t="s">
        <v>199</v>
      </c>
      <c r="BE426" t="s">
        <v>199</v>
      </c>
      <c r="BF426">
        <v>0</v>
      </c>
      <c r="BG426">
        <v>0</v>
      </c>
      <c r="BH426" t="s">
        <v>200</v>
      </c>
      <c r="BI426">
        <v>13</v>
      </c>
      <c r="BJ426">
        <v>6382073</v>
      </c>
      <c r="BK426" t="s">
        <v>201</v>
      </c>
      <c r="BL426" t="s">
        <v>190</v>
      </c>
    </row>
    <row r="427" spans="1:64" x14ac:dyDescent="0.3">
      <c r="A427">
        <v>109</v>
      </c>
      <c r="B427" t="s">
        <v>186</v>
      </c>
      <c r="C427">
        <v>3</v>
      </c>
      <c r="D427">
        <v>6382073</v>
      </c>
      <c r="E427" t="s">
        <v>187</v>
      </c>
      <c r="F427" t="s">
        <v>188</v>
      </c>
      <c r="G427">
        <v>10210997</v>
      </c>
      <c r="H427" s="35">
        <v>46168</v>
      </c>
      <c r="I427" s="35">
        <v>46168</v>
      </c>
      <c r="J427">
        <v>2026</v>
      </c>
      <c r="K427">
        <v>5</v>
      </c>
      <c r="L427" t="s">
        <v>189</v>
      </c>
      <c r="M427">
        <v>1</v>
      </c>
      <c r="N427" t="s">
        <v>190</v>
      </c>
      <c r="O427" t="s">
        <v>191</v>
      </c>
      <c r="P427" t="s">
        <v>199</v>
      </c>
      <c r="Q427" t="s">
        <v>199</v>
      </c>
      <c r="R427">
        <v>22</v>
      </c>
      <c r="S427">
        <v>26</v>
      </c>
      <c r="T427">
        <v>29579</v>
      </c>
      <c r="U427">
        <v>3</v>
      </c>
      <c r="V427" t="s">
        <v>224</v>
      </c>
      <c r="W427" t="s">
        <v>40</v>
      </c>
      <c r="X427" t="s">
        <v>19</v>
      </c>
      <c r="Y427" t="s">
        <v>41</v>
      </c>
      <c r="Z427" t="s">
        <v>41</v>
      </c>
      <c r="AA427">
        <v>60</v>
      </c>
      <c r="AB427">
        <v>101130</v>
      </c>
      <c r="AC427" t="s">
        <v>508</v>
      </c>
      <c r="AD427" t="s">
        <v>509</v>
      </c>
      <c r="AE427">
        <v>8.8888888888879997E-2</v>
      </c>
      <c r="AF427">
        <v>16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60</v>
      </c>
      <c r="AO427" t="s">
        <v>43</v>
      </c>
      <c r="AP427" t="s">
        <v>45</v>
      </c>
      <c r="AQ427">
        <v>10</v>
      </c>
      <c r="AR427">
        <v>111</v>
      </c>
      <c r="AS427" t="s">
        <v>97</v>
      </c>
      <c r="AT427">
        <v>677001</v>
      </c>
      <c r="AU427" t="s">
        <v>273</v>
      </c>
      <c r="AV427" t="s">
        <v>86</v>
      </c>
      <c r="AW427" t="s">
        <v>23</v>
      </c>
      <c r="AX427" t="s">
        <v>24</v>
      </c>
      <c r="AY427" t="s">
        <v>44</v>
      </c>
      <c r="AZ427" t="s">
        <v>197</v>
      </c>
      <c r="BA427" t="s">
        <v>579</v>
      </c>
      <c r="BB427">
        <v>0</v>
      </c>
      <c r="BC427">
        <v>1</v>
      </c>
      <c r="BD427">
        <v>3604</v>
      </c>
      <c r="BE427" t="s">
        <v>580</v>
      </c>
      <c r="BF427">
        <v>0</v>
      </c>
      <c r="BG427">
        <v>0</v>
      </c>
      <c r="BH427" t="s">
        <v>200</v>
      </c>
      <c r="BI427">
        <v>13</v>
      </c>
      <c r="BJ427">
        <v>6382073</v>
      </c>
      <c r="BK427" t="s">
        <v>201</v>
      </c>
      <c r="BL427" t="s">
        <v>190</v>
      </c>
    </row>
    <row r="428" spans="1:64" x14ac:dyDescent="0.3">
      <c r="A428">
        <v>223</v>
      </c>
      <c r="B428" t="s">
        <v>186</v>
      </c>
      <c r="C428">
        <v>3</v>
      </c>
      <c r="D428">
        <v>6382145</v>
      </c>
      <c r="E428" t="s">
        <v>202</v>
      </c>
      <c r="F428" t="s">
        <v>188</v>
      </c>
      <c r="G428">
        <v>10211069</v>
      </c>
      <c r="H428" s="35">
        <v>46168</v>
      </c>
      <c r="I428" s="35">
        <v>46168</v>
      </c>
      <c r="J428">
        <v>2026</v>
      </c>
      <c r="K428">
        <v>5</v>
      </c>
      <c r="L428" t="s">
        <v>189</v>
      </c>
      <c r="M428">
        <v>1</v>
      </c>
      <c r="N428" t="s">
        <v>203</v>
      </c>
      <c r="O428" t="s">
        <v>191</v>
      </c>
      <c r="P428" t="s">
        <v>199</v>
      </c>
      <c r="Q428" t="s">
        <v>199</v>
      </c>
      <c r="R428">
        <v>22</v>
      </c>
      <c r="S428">
        <v>26</v>
      </c>
      <c r="T428">
        <v>12191</v>
      </c>
      <c r="U428">
        <v>3</v>
      </c>
      <c r="V428" t="s">
        <v>204</v>
      </c>
      <c r="W428" t="s">
        <v>27</v>
      </c>
      <c r="X428" t="s">
        <v>28</v>
      </c>
      <c r="Y428" t="s">
        <v>20</v>
      </c>
      <c r="Z428" t="s">
        <v>20</v>
      </c>
      <c r="AA428">
        <v>91</v>
      </c>
      <c r="AB428">
        <v>930021</v>
      </c>
      <c r="AC428" t="s">
        <v>205</v>
      </c>
      <c r="AD428" t="s">
        <v>206</v>
      </c>
      <c r="AE428">
        <v>6.25E-2</v>
      </c>
      <c r="AF428">
        <v>1</v>
      </c>
      <c r="AG428">
        <v>91.09</v>
      </c>
      <c r="AH428">
        <v>0</v>
      </c>
      <c r="AI428">
        <v>0</v>
      </c>
      <c r="AJ428">
        <v>0</v>
      </c>
      <c r="AK428">
        <v>16.399999999999999</v>
      </c>
      <c r="AL428">
        <v>91.09</v>
      </c>
      <c r="AM428">
        <v>107</v>
      </c>
      <c r="AN428">
        <v>91</v>
      </c>
      <c r="AO428" t="s">
        <v>22</v>
      </c>
      <c r="AP428" t="s">
        <v>26</v>
      </c>
      <c r="AQ428">
        <v>10</v>
      </c>
      <c r="AR428">
        <v>208</v>
      </c>
      <c r="AS428" t="s">
        <v>92</v>
      </c>
      <c r="AT428">
        <v>0</v>
      </c>
      <c r="AU428" t="s">
        <v>199</v>
      </c>
      <c r="AV428" t="s">
        <v>82</v>
      </c>
      <c r="AW428" t="s">
        <v>23</v>
      </c>
      <c r="AX428" t="s">
        <v>24</v>
      </c>
      <c r="AY428" t="s">
        <v>25</v>
      </c>
      <c r="AZ428" t="s">
        <v>197</v>
      </c>
      <c r="BA428" t="s">
        <v>581</v>
      </c>
      <c r="BB428">
        <v>0</v>
      </c>
      <c r="BC428">
        <v>0</v>
      </c>
      <c r="BD428" t="s">
        <v>199</v>
      </c>
      <c r="BE428" t="s">
        <v>199</v>
      </c>
      <c r="BF428">
        <v>0</v>
      </c>
      <c r="BG428">
        <v>0</v>
      </c>
      <c r="BH428" t="s">
        <v>200</v>
      </c>
      <c r="BI428">
        <v>13</v>
      </c>
      <c r="BJ428">
        <v>6382145</v>
      </c>
      <c r="BK428" t="s">
        <v>201</v>
      </c>
      <c r="BL428" t="s">
        <v>190</v>
      </c>
    </row>
    <row r="429" spans="1:64" x14ac:dyDescent="0.3">
      <c r="A429">
        <v>223</v>
      </c>
      <c r="B429" t="s">
        <v>186</v>
      </c>
      <c r="C429">
        <v>3</v>
      </c>
      <c r="D429">
        <v>6382145</v>
      </c>
      <c r="E429" t="s">
        <v>202</v>
      </c>
      <c r="F429" t="s">
        <v>188</v>
      </c>
      <c r="G429">
        <v>10211069</v>
      </c>
      <c r="H429" s="35">
        <v>46168</v>
      </c>
      <c r="I429" s="35">
        <v>46168</v>
      </c>
      <c r="J429">
        <v>2026</v>
      </c>
      <c r="K429">
        <v>5</v>
      </c>
      <c r="L429" t="s">
        <v>189</v>
      </c>
      <c r="M429">
        <v>1</v>
      </c>
      <c r="N429" t="s">
        <v>190</v>
      </c>
      <c r="O429" t="s">
        <v>191</v>
      </c>
      <c r="P429" t="s">
        <v>199</v>
      </c>
      <c r="Q429" t="s">
        <v>199</v>
      </c>
      <c r="R429">
        <v>22</v>
      </c>
      <c r="S429">
        <v>26</v>
      </c>
      <c r="T429">
        <v>12191</v>
      </c>
      <c r="U429">
        <v>3</v>
      </c>
      <c r="V429" t="s">
        <v>204</v>
      </c>
      <c r="W429" t="s">
        <v>27</v>
      </c>
      <c r="X429" t="s">
        <v>28</v>
      </c>
      <c r="Y429" t="s">
        <v>20</v>
      </c>
      <c r="Z429" t="s">
        <v>20</v>
      </c>
      <c r="AA429">
        <v>91</v>
      </c>
      <c r="AB429">
        <v>201001</v>
      </c>
      <c r="AC429" t="s">
        <v>248</v>
      </c>
      <c r="AD429" t="s">
        <v>249</v>
      </c>
      <c r="AE429">
        <v>5</v>
      </c>
      <c r="AF429">
        <v>5</v>
      </c>
      <c r="AG429">
        <v>221.67</v>
      </c>
      <c r="AH429">
        <v>0</v>
      </c>
      <c r="AI429">
        <v>0</v>
      </c>
      <c r="AJ429">
        <v>0</v>
      </c>
      <c r="AK429">
        <v>199.5</v>
      </c>
      <c r="AL429">
        <v>1108.3499999999999</v>
      </c>
      <c r="AM429">
        <v>1308</v>
      </c>
      <c r="AN429">
        <v>91</v>
      </c>
      <c r="AO429" t="s">
        <v>22</v>
      </c>
      <c r="AP429" t="s">
        <v>26</v>
      </c>
      <c r="AQ429">
        <v>10</v>
      </c>
      <c r="AR429">
        <v>113</v>
      </c>
      <c r="AS429" t="s">
        <v>89</v>
      </c>
      <c r="AT429">
        <v>82101</v>
      </c>
      <c r="AU429" t="s">
        <v>252</v>
      </c>
      <c r="AV429" t="s">
        <v>80</v>
      </c>
      <c r="AW429" t="s">
        <v>23</v>
      </c>
      <c r="AX429" t="s">
        <v>24</v>
      </c>
      <c r="AY429" t="s">
        <v>25</v>
      </c>
      <c r="AZ429" t="s">
        <v>197</v>
      </c>
      <c r="BA429" t="s">
        <v>581</v>
      </c>
      <c r="BB429">
        <v>0</v>
      </c>
      <c r="BC429">
        <v>0</v>
      </c>
      <c r="BD429" t="s">
        <v>199</v>
      </c>
      <c r="BE429" t="s">
        <v>199</v>
      </c>
      <c r="BF429">
        <v>0</v>
      </c>
      <c r="BG429">
        <v>0</v>
      </c>
      <c r="BH429" t="s">
        <v>200</v>
      </c>
      <c r="BI429">
        <v>13</v>
      </c>
      <c r="BJ429">
        <v>6382145</v>
      </c>
      <c r="BK429" t="s">
        <v>201</v>
      </c>
      <c r="BL429" t="s">
        <v>190</v>
      </c>
    </row>
    <row r="430" spans="1:64" x14ac:dyDescent="0.3">
      <c r="A430">
        <v>119</v>
      </c>
      <c r="B430" t="s">
        <v>186</v>
      </c>
      <c r="C430">
        <v>3</v>
      </c>
      <c r="D430">
        <v>6384904</v>
      </c>
      <c r="E430" t="s">
        <v>489</v>
      </c>
      <c r="F430" t="s">
        <v>188</v>
      </c>
      <c r="G430">
        <v>10213828</v>
      </c>
      <c r="H430" s="35">
        <v>46170</v>
      </c>
      <c r="I430" s="35">
        <v>46170</v>
      </c>
      <c r="J430">
        <v>2026</v>
      </c>
      <c r="K430">
        <v>5</v>
      </c>
      <c r="L430" t="s">
        <v>189</v>
      </c>
      <c r="M430">
        <v>1</v>
      </c>
      <c r="N430" t="s">
        <v>190</v>
      </c>
      <c r="O430" t="s">
        <v>191</v>
      </c>
      <c r="P430" t="s">
        <v>199</v>
      </c>
      <c r="Q430" t="s">
        <v>199</v>
      </c>
      <c r="R430">
        <v>22</v>
      </c>
      <c r="S430">
        <v>28</v>
      </c>
      <c r="T430">
        <v>36908</v>
      </c>
      <c r="U430">
        <v>3</v>
      </c>
      <c r="V430" t="s">
        <v>215</v>
      </c>
      <c r="W430" t="s">
        <v>67</v>
      </c>
      <c r="X430" t="s">
        <v>28</v>
      </c>
      <c r="Y430" t="s">
        <v>30</v>
      </c>
      <c r="Z430" t="s">
        <v>30</v>
      </c>
      <c r="AA430">
        <v>11</v>
      </c>
      <c r="AB430">
        <v>201001</v>
      </c>
      <c r="AC430" t="s">
        <v>248</v>
      </c>
      <c r="AD430" t="s">
        <v>249</v>
      </c>
      <c r="AE430">
        <v>5</v>
      </c>
      <c r="AF430">
        <v>5</v>
      </c>
      <c r="AG430">
        <v>221.67</v>
      </c>
      <c r="AH430">
        <v>0</v>
      </c>
      <c r="AI430">
        <v>0</v>
      </c>
      <c r="AJ430">
        <v>0</v>
      </c>
      <c r="AK430">
        <v>199.5</v>
      </c>
      <c r="AL430">
        <v>1108.3499999999999</v>
      </c>
      <c r="AM430">
        <v>1308</v>
      </c>
      <c r="AN430">
        <v>11</v>
      </c>
      <c r="AO430" t="s">
        <v>69</v>
      </c>
      <c r="AP430" t="s">
        <v>73</v>
      </c>
      <c r="AQ430">
        <v>10</v>
      </c>
      <c r="AR430">
        <v>113</v>
      </c>
      <c r="AS430" t="s">
        <v>89</v>
      </c>
      <c r="AT430">
        <v>82101</v>
      </c>
      <c r="AU430" t="s">
        <v>252</v>
      </c>
      <c r="AV430" t="s">
        <v>80</v>
      </c>
      <c r="AW430" t="s">
        <v>70</v>
      </c>
      <c r="AX430" t="s">
        <v>71</v>
      </c>
      <c r="AY430" t="s">
        <v>72</v>
      </c>
      <c r="AZ430" t="s">
        <v>221</v>
      </c>
      <c r="BA430" t="s">
        <v>582</v>
      </c>
      <c r="BB430">
        <v>0</v>
      </c>
      <c r="BC430">
        <v>0</v>
      </c>
      <c r="BD430" t="s">
        <v>199</v>
      </c>
      <c r="BE430" t="s">
        <v>199</v>
      </c>
      <c r="BF430">
        <v>0</v>
      </c>
      <c r="BG430">
        <v>0</v>
      </c>
      <c r="BH430" t="s">
        <v>200</v>
      </c>
      <c r="BI430">
        <v>13</v>
      </c>
      <c r="BJ430">
        <v>6384904</v>
      </c>
      <c r="BK430" t="s">
        <v>201</v>
      </c>
      <c r="BL430" t="s">
        <v>190</v>
      </c>
    </row>
    <row r="431" spans="1:64" x14ac:dyDescent="0.3">
      <c r="A431">
        <v>109</v>
      </c>
      <c r="B431" t="s">
        <v>186</v>
      </c>
      <c r="C431">
        <v>3</v>
      </c>
      <c r="D431">
        <v>6384981</v>
      </c>
      <c r="E431" t="s">
        <v>187</v>
      </c>
      <c r="F431" t="s">
        <v>188</v>
      </c>
      <c r="G431">
        <v>10213905</v>
      </c>
      <c r="H431" s="35">
        <v>46170</v>
      </c>
      <c r="I431" s="35">
        <v>46170</v>
      </c>
      <c r="J431">
        <v>2026</v>
      </c>
      <c r="K431">
        <v>5</v>
      </c>
      <c r="L431" t="s">
        <v>189</v>
      </c>
      <c r="M431">
        <v>1</v>
      </c>
      <c r="N431" t="s">
        <v>190</v>
      </c>
      <c r="O431" t="s">
        <v>191</v>
      </c>
      <c r="P431" t="s">
        <v>199</v>
      </c>
      <c r="Q431" t="s">
        <v>199</v>
      </c>
      <c r="R431">
        <v>22</v>
      </c>
      <c r="S431">
        <v>28</v>
      </c>
      <c r="T431">
        <v>2280</v>
      </c>
      <c r="U431">
        <v>3</v>
      </c>
      <c r="V431" t="s">
        <v>193</v>
      </c>
      <c r="W431" t="s">
        <v>29</v>
      </c>
      <c r="X431" t="s">
        <v>19</v>
      </c>
      <c r="Y431" t="s">
        <v>30</v>
      </c>
      <c r="Z431" t="s">
        <v>30</v>
      </c>
      <c r="AA431">
        <v>14</v>
      </c>
      <c r="AB431">
        <v>611052</v>
      </c>
      <c r="AC431" t="s">
        <v>225</v>
      </c>
      <c r="AD431" t="s">
        <v>226</v>
      </c>
      <c r="AE431">
        <v>1</v>
      </c>
      <c r="AF431">
        <v>24</v>
      </c>
      <c r="AG431">
        <v>20</v>
      </c>
      <c r="AH431">
        <v>0</v>
      </c>
      <c r="AI431">
        <v>0</v>
      </c>
      <c r="AJ431">
        <v>0</v>
      </c>
      <c r="AK431">
        <v>86.4</v>
      </c>
      <c r="AL431">
        <v>480</v>
      </c>
      <c r="AM431">
        <v>566</v>
      </c>
      <c r="AN431">
        <v>14</v>
      </c>
      <c r="AO431" t="s">
        <v>32</v>
      </c>
      <c r="AP431" t="s">
        <v>34</v>
      </c>
      <c r="AQ431">
        <v>10</v>
      </c>
      <c r="AR431">
        <v>114</v>
      </c>
      <c r="AS431" t="s">
        <v>79</v>
      </c>
      <c r="AT431">
        <v>66102</v>
      </c>
      <c r="AU431" t="s">
        <v>227</v>
      </c>
      <c r="AV431" t="s">
        <v>80</v>
      </c>
      <c r="AW431" t="s">
        <v>23</v>
      </c>
      <c r="AX431" t="s">
        <v>24</v>
      </c>
      <c r="AY431" t="s">
        <v>33</v>
      </c>
      <c r="AZ431" t="s">
        <v>197</v>
      </c>
      <c r="BA431" t="s">
        <v>583</v>
      </c>
      <c r="BB431">
        <v>0</v>
      </c>
      <c r="BC431">
        <v>0</v>
      </c>
      <c r="BD431" t="s">
        <v>199</v>
      </c>
      <c r="BE431" t="s">
        <v>199</v>
      </c>
      <c r="BF431">
        <v>0</v>
      </c>
      <c r="BG431">
        <v>0</v>
      </c>
      <c r="BH431" t="s">
        <v>200</v>
      </c>
      <c r="BI431">
        <v>13</v>
      </c>
      <c r="BJ431">
        <v>6384981</v>
      </c>
      <c r="BK431" t="s">
        <v>201</v>
      </c>
      <c r="BL431" t="s">
        <v>190</v>
      </c>
    </row>
    <row r="432" spans="1:64" x14ac:dyDescent="0.3">
      <c r="A432">
        <v>109</v>
      </c>
      <c r="B432" t="s">
        <v>186</v>
      </c>
      <c r="C432">
        <v>3</v>
      </c>
      <c r="D432">
        <v>6384981</v>
      </c>
      <c r="E432" t="s">
        <v>187</v>
      </c>
      <c r="F432" t="s">
        <v>188</v>
      </c>
      <c r="G432">
        <v>10213905</v>
      </c>
      <c r="H432" s="35">
        <v>46170</v>
      </c>
      <c r="I432" s="35">
        <v>46170</v>
      </c>
      <c r="J432">
        <v>2026</v>
      </c>
      <c r="K432">
        <v>5</v>
      </c>
      <c r="L432" t="s">
        <v>189</v>
      </c>
      <c r="M432">
        <v>1</v>
      </c>
      <c r="N432" t="s">
        <v>190</v>
      </c>
      <c r="O432" t="s">
        <v>191</v>
      </c>
      <c r="P432" t="s">
        <v>199</v>
      </c>
      <c r="Q432" t="s">
        <v>199</v>
      </c>
      <c r="R432">
        <v>22</v>
      </c>
      <c r="S432">
        <v>28</v>
      </c>
      <c r="T432">
        <v>2280</v>
      </c>
      <c r="U432">
        <v>3</v>
      </c>
      <c r="V432" t="s">
        <v>193</v>
      </c>
      <c r="W432" t="s">
        <v>29</v>
      </c>
      <c r="X432" t="s">
        <v>19</v>
      </c>
      <c r="Y432" t="s">
        <v>30</v>
      </c>
      <c r="Z432" t="s">
        <v>30</v>
      </c>
      <c r="AA432">
        <v>14</v>
      </c>
      <c r="AB432">
        <v>611053</v>
      </c>
      <c r="AC432" t="s">
        <v>229</v>
      </c>
      <c r="AD432" t="s">
        <v>230</v>
      </c>
      <c r="AE432">
        <v>1</v>
      </c>
      <c r="AF432">
        <v>24</v>
      </c>
      <c r="AG432">
        <v>20</v>
      </c>
      <c r="AH432">
        <v>0</v>
      </c>
      <c r="AI432">
        <v>0</v>
      </c>
      <c r="AJ432">
        <v>0</v>
      </c>
      <c r="AK432">
        <v>86.4</v>
      </c>
      <c r="AL432">
        <v>480</v>
      </c>
      <c r="AM432">
        <v>566</v>
      </c>
      <c r="AN432">
        <v>14</v>
      </c>
      <c r="AO432" t="s">
        <v>32</v>
      </c>
      <c r="AP432" t="s">
        <v>34</v>
      </c>
      <c r="AQ432">
        <v>10</v>
      </c>
      <c r="AR432">
        <v>114</v>
      </c>
      <c r="AS432" t="s">
        <v>79</v>
      </c>
      <c r="AT432">
        <v>66102</v>
      </c>
      <c r="AU432" t="s">
        <v>227</v>
      </c>
      <c r="AV432" t="s">
        <v>80</v>
      </c>
      <c r="AW432" t="s">
        <v>23</v>
      </c>
      <c r="AX432" t="s">
        <v>24</v>
      </c>
      <c r="AY432" t="s">
        <v>33</v>
      </c>
      <c r="AZ432" t="s">
        <v>197</v>
      </c>
      <c r="BA432" t="s">
        <v>583</v>
      </c>
      <c r="BB432">
        <v>0</v>
      </c>
      <c r="BC432">
        <v>0</v>
      </c>
      <c r="BD432" t="s">
        <v>199</v>
      </c>
      <c r="BE432" t="s">
        <v>199</v>
      </c>
      <c r="BF432">
        <v>0</v>
      </c>
      <c r="BG432">
        <v>0</v>
      </c>
      <c r="BH432" t="s">
        <v>200</v>
      </c>
      <c r="BI432">
        <v>13</v>
      </c>
      <c r="BJ432">
        <v>6384981</v>
      </c>
      <c r="BK432" t="s">
        <v>201</v>
      </c>
      <c r="BL432" t="s">
        <v>190</v>
      </c>
    </row>
    <row r="433" spans="1:64" x14ac:dyDescent="0.3">
      <c r="A433">
        <v>109</v>
      </c>
      <c r="B433" t="s">
        <v>186</v>
      </c>
      <c r="C433">
        <v>3</v>
      </c>
      <c r="D433">
        <v>6384981</v>
      </c>
      <c r="E433" t="s">
        <v>187</v>
      </c>
      <c r="F433" t="s">
        <v>188</v>
      </c>
      <c r="G433">
        <v>10213905</v>
      </c>
      <c r="H433" s="35">
        <v>46170</v>
      </c>
      <c r="I433" s="35">
        <v>46170</v>
      </c>
      <c r="J433">
        <v>2026</v>
      </c>
      <c r="K433">
        <v>5</v>
      </c>
      <c r="L433" t="s">
        <v>189</v>
      </c>
      <c r="M433">
        <v>1</v>
      </c>
      <c r="N433" t="s">
        <v>190</v>
      </c>
      <c r="O433" t="s">
        <v>191</v>
      </c>
      <c r="P433" t="s">
        <v>199</v>
      </c>
      <c r="Q433" t="s">
        <v>199</v>
      </c>
      <c r="R433">
        <v>22</v>
      </c>
      <c r="S433">
        <v>28</v>
      </c>
      <c r="T433">
        <v>2280</v>
      </c>
      <c r="U433">
        <v>3</v>
      </c>
      <c r="V433" t="s">
        <v>193</v>
      </c>
      <c r="W433" t="s">
        <v>29</v>
      </c>
      <c r="X433" t="s">
        <v>19</v>
      </c>
      <c r="Y433" t="s">
        <v>30</v>
      </c>
      <c r="Z433" t="s">
        <v>30</v>
      </c>
      <c r="AA433">
        <v>14</v>
      </c>
      <c r="AB433">
        <v>621008</v>
      </c>
      <c r="AC433" t="s">
        <v>194</v>
      </c>
      <c r="AD433" t="s">
        <v>195</v>
      </c>
      <c r="AE433">
        <v>1</v>
      </c>
      <c r="AF433">
        <v>12</v>
      </c>
      <c r="AG433">
        <v>186.87</v>
      </c>
      <c r="AH433">
        <v>0</v>
      </c>
      <c r="AI433">
        <v>0</v>
      </c>
      <c r="AJ433">
        <v>0</v>
      </c>
      <c r="AK433">
        <v>403.64</v>
      </c>
      <c r="AL433">
        <v>2242.44</v>
      </c>
      <c r="AM433">
        <v>2646</v>
      </c>
      <c r="AN433">
        <v>14</v>
      </c>
      <c r="AO433" t="s">
        <v>32</v>
      </c>
      <c r="AP433" t="s">
        <v>34</v>
      </c>
      <c r="AQ433">
        <v>10</v>
      </c>
      <c r="AR433">
        <v>138</v>
      </c>
      <c r="AS433" t="s">
        <v>90</v>
      </c>
      <c r="AT433">
        <v>73102</v>
      </c>
      <c r="AU433" t="s">
        <v>196</v>
      </c>
      <c r="AV433" t="s">
        <v>91</v>
      </c>
      <c r="AW433" t="s">
        <v>23</v>
      </c>
      <c r="AX433" t="s">
        <v>24</v>
      </c>
      <c r="AY433" t="s">
        <v>33</v>
      </c>
      <c r="AZ433" t="s">
        <v>197</v>
      </c>
      <c r="BA433" t="s">
        <v>583</v>
      </c>
      <c r="BB433">
        <v>0</v>
      </c>
      <c r="BC433">
        <v>0</v>
      </c>
      <c r="BD433" t="s">
        <v>199</v>
      </c>
      <c r="BE433" t="s">
        <v>199</v>
      </c>
      <c r="BF433">
        <v>0</v>
      </c>
      <c r="BG433">
        <v>0</v>
      </c>
      <c r="BH433" t="s">
        <v>200</v>
      </c>
      <c r="BI433">
        <v>13</v>
      </c>
      <c r="BJ433">
        <v>6384981</v>
      </c>
      <c r="BK433" t="s">
        <v>201</v>
      </c>
      <c r="BL433" t="s">
        <v>190</v>
      </c>
    </row>
    <row r="434" spans="1:64" x14ac:dyDescent="0.3">
      <c r="A434">
        <v>264</v>
      </c>
      <c r="B434" t="s">
        <v>186</v>
      </c>
      <c r="C434">
        <v>3</v>
      </c>
      <c r="D434">
        <v>6386125</v>
      </c>
      <c r="E434" t="s">
        <v>233</v>
      </c>
      <c r="F434" t="s">
        <v>188</v>
      </c>
      <c r="G434">
        <v>10215050</v>
      </c>
      <c r="H434" s="35">
        <v>46171</v>
      </c>
      <c r="I434" s="35">
        <v>46171</v>
      </c>
      <c r="J434">
        <v>2026</v>
      </c>
      <c r="K434">
        <v>5</v>
      </c>
      <c r="L434" t="s">
        <v>189</v>
      </c>
      <c r="M434">
        <v>1</v>
      </c>
      <c r="N434" t="s">
        <v>203</v>
      </c>
      <c r="O434" t="s">
        <v>191</v>
      </c>
      <c r="P434" t="s">
        <v>199</v>
      </c>
      <c r="Q434" t="s">
        <v>199</v>
      </c>
      <c r="R434">
        <v>22</v>
      </c>
      <c r="S434">
        <v>29</v>
      </c>
      <c r="T434">
        <v>5474</v>
      </c>
      <c r="U434">
        <v>3</v>
      </c>
      <c r="V434" t="s">
        <v>298</v>
      </c>
      <c r="W434" t="s">
        <v>54</v>
      </c>
      <c r="X434" t="s">
        <v>19</v>
      </c>
      <c r="Y434" t="s">
        <v>55</v>
      </c>
      <c r="Z434" t="s">
        <v>56</v>
      </c>
      <c r="AA434">
        <v>70</v>
      </c>
      <c r="AB434">
        <v>930023</v>
      </c>
      <c r="AC434" t="s">
        <v>332</v>
      </c>
      <c r="AD434" t="s">
        <v>333</v>
      </c>
      <c r="AE434">
        <v>0.5</v>
      </c>
      <c r="AF434">
        <v>10</v>
      </c>
      <c r="AG434">
        <v>140.75</v>
      </c>
      <c r="AH434">
        <v>0</v>
      </c>
      <c r="AI434">
        <v>0</v>
      </c>
      <c r="AJ434">
        <v>0</v>
      </c>
      <c r="AK434">
        <v>253.35</v>
      </c>
      <c r="AL434">
        <v>1407.5</v>
      </c>
      <c r="AM434">
        <v>1661</v>
      </c>
      <c r="AN434">
        <v>70</v>
      </c>
      <c r="AO434" t="s">
        <v>58</v>
      </c>
      <c r="AP434" t="s">
        <v>60</v>
      </c>
      <c r="AQ434">
        <v>10</v>
      </c>
      <c r="AR434">
        <v>208</v>
      </c>
      <c r="AS434" t="s">
        <v>92</v>
      </c>
      <c r="AT434">
        <v>0</v>
      </c>
      <c r="AU434" t="s">
        <v>199</v>
      </c>
      <c r="AV434" t="s">
        <v>82</v>
      </c>
      <c r="AW434" t="s">
        <v>50</v>
      </c>
      <c r="AX434" t="s">
        <v>51</v>
      </c>
      <c r="AY434" t="s">
        <v>59</v>
      </c>
      <c r="AZ434" t="s">
        <v>240</v>
      </c>
      <c r="BA434" t="s">
        <v>584</v>
      </c>
      <c r="BB434">
        <v>0</v>
      </c>
      <c r="BC434">
        <v>0</v>
      </c>
      <c r="BD434" t="s">
        <v>199</v>
      </c>
      <c r="BE434" t="s">
        <v>199</v>
      </c>
      <c r="BF434">
        <v>0</v>
      </c>
      <c r="BG434">
        <v>0</v>
      </c>
      <c r="BH434" t="s">
        <v>200</v>
      </c>
      <c r="BI434">
        <v>13</v>
      </c>
      <c r="BJ434">
        <v>6386125</v>
      </c>
      <c r="BK434" t="s">
        <v>201</v>
      </c>
      <c r="BL434" t="s">
        <v>190</v>
      </c>
    </row>
    <row r="435" spans="1:64" x14ac:dyDescent="0.3">
      <c r="A435">
        <v>223</v>
      </c>
      <c r="B435" t="s">
        <v>186</v>
      </c>
      <c r="C435">
        <v>3</v>
      </c>
      <c r="D435">
        <v>6387476</v>
      </c>
      <c r="E435" t="s">
        <v>202</v>
      </c>
      <c r="F435" t="s">
        <v>188</v>
      </c>
      <c r="G435">
        <v>10216401</v>
      </c>
      <c r="H435" s="35">
        <v>46172</v>
      </c>
      <c r="I435" s="35">
        <v>46172</v>
      </c>
      <c r="J435">
        <v>2026</v>
      </c>
      <c r="K435">
        <v>5</v>
      </c>
      <c r="L435" t="s">
        <v>189</v>
      </c>
      <c r="M435">
        <v>1</v>
      </c>
      <c r="N435" t="s">
        <v>190</v>
      </c>
      <c r="O435" t="s">
        <v>191</v>
      </c>
      <c r="P435" t="s">
        <v>199</v>
      </c>
      <c r="Q435" t="s">
        <v>199</v>
      </c>
      <c r="R435">
        <v>22</v>
      </c>
      <c r="S435">
        <v>30</v>
      </c>
      <c r="T435">
        <v>1019</v>
      </c>
      <c r="U435">
        <v>3</v>
      </c>
      <c r="V435" t="s">
        <v>270</v>
      </c>
      <c r="W435" t="s">
        <v>46</v>
      </c>
      <c r="X435" t="s">
        <v>19</v>
      </c>
      <c r="Y435" t="s">
        <v>41</v>
      </c>
      <c r="Z435" t="s">
        <v>41</v>
      </c>
      <c r="AA435">
        <v>60</v>
      </c>
      <c r="AB435">
        <v>511005</v>
      </c>
      <c r="AC435" t="s">
        <v>231</v>
      </c>
      <c r="AD435" t="s">
        <v>232</v>
      </c>
      <c r="AE435">
        <v>1</v>
      </c>
      <c r="AF435">
        <v>12</v>
      </c>
      <c r="AG435">
        <v>64.44</v>
      </c>
      <c r="AH435">
        <v>0</v>
      </c>
      <c r="AI435">
        <v>0</v>
      </c>
      <c r="AJ435">
        <v>0</v>
      </c>
      <c r="AK435">
        <v>139.19</v>
      </c>
      <c r="AL435">
        <v>773.28</v>
      </c>
      <c r="AM435">
        <v>912</v>
      </c>
      <c r="AN435">
        <v>60</v>
      </c>
      <c r="AO435" t="s">
        <v>43</v>
      </c>
      <c r="AP435" t="s">
        <v>45</v>
      </c>
      <c r="AQ435">
        <v>10</v>
      </c>
      <c r="AR435">
        <v>114</v>
      </c>
      <c r="AS435" t="s">
        <v>79</v>
      </c>
      <c r="AT435">
        <v>66102</v>
      </c>
      <c r="AU435" t="s">
        <v>227</v>
      </c>
      <c r="AV435" t="s">
        <v>80</v>
      </c>
      <c r="AW435" t="s">
        <v>23</v>
      </c>
      <c r="AX435" t="s">
        <v>24</v>
      </c>
      <c r="AY435" t="s">
        <v>44</v>
      </c>
      <c r="AZ435" t="s">
        <v>197</v>
      </c>
      <c r="BA435" t="s">
        <v>585</v>
      </c>
      <c r="BB435">
        <v>0</v>
      </c>
      <c r="BC435">
        <v>0</v>
      </c>
      <c r="BD435" t="s">
        <v>199</v>
      </c>
      <c r="BE435" t="s">
        <v>199</v>
      </c>
      <c r="BF435">
        <v>0</v>
      </c>
      <c r="BG435">
        <v>0</v>
      </c>
      <c r="BH435" t="s">
        <v>200</v>
      </c>
      <c r="BI435">
        <v>13</v>
      </c>
      <c r="BJ435">
        <v>6387476</v>
      </c>
      <c r="BK435" t="s">
        <v>201</v>
      </c>
      <c r="BL435" t="s">
        <v>190</v>
      </c>
    </row>
    <row r="436" spans="1:64" x14ac:dyDescent="0.3">
      <c r="A436">
        <v>223</v>
      </c>
      <c r="B436" t="s">
        <v>186</v>
      </c>
      <c r="C436">
        <v>3</v>
      </c>
      <c r="D436">
        <v>6387476</v>
      </c>
      <c r="E436" t="s">
        <v>202</v>
      </c>
      <c r="F436" t="s">
        <v>188</v>
      </c>
      <c r="G436">
        <v>10216401</v>
      </c>
      <c r="H436" s="35">
        <v>46172</v>
      </c>
      <c r="I436" s="35">
        <v>46172</v>
      </c>
      <c r="J436">
        <v>2026</v>
      </c>
      <c r="K436">
        <v>5</v>
      </c>
      <c r="L436" t="s">
        <v>189</v>
      </c>
      <c r="M436">
        <v>1</v>
      </c>
      <c r="N436" t="s">
        <v>190</v>
      </c>
      <c r="O436" t="s">
        <v>191</v>
      </c>
      <c r="P436" t="s">
        <v>199</v>
      </c>
      <c r="Q436" t="s">
        <v>199</v>
      </c>
      <c r="R436">
        <v>22</v>
      </c>
      <c r="S436">
        <v>30</v>
      </c>
      <c r="T436">
        <v>1019</v>
      </c>
      <c r="U436">
        <v>3</v>
      </c>
      <c r="V436" t="s">
        <v>270</v>
      </c>
      <c r="W436" t="s">
        <v>46</v>
      </c>
      <c r="X436" t="s">
        <v>19</v>
      </c>
      <c r="Y436" t="s">
        <v>41</v>
      </c>
      <c r="Z436" t="s">
        <v>41</v>
      </c>
      <c r="AA436">
        <v>60</v>
      </c>
      <c r="AB436">
        <v>101028</v>
      </c>
      <c r="AC436" t="s">
        <v>325</v>
      </c>
      <c r="AD436" t="s">
        <v>326</v>
      </c>
      <c r="AE436">
        <v>1</v>
      </c>
      <c r="AF436">
        <v>18</v>
      </c>
      <c r="AG436">
        <v>98.4</v>
      </c>
      <c r="AH436">
        <v>0</v>
      </c>
      <c r="AI436">
        <v>0</v>
      </c>
      <c r="AJ436">
        <v>0</v>
      </c>
      <c r="AK436">
        <v>318.82</v>
      </c>
      <c r="AL436">
        <v>1771.2</v>
      </c>
      <c r="AM436">
        <v>2090</v>
      </c>
      <c r="AN436">
        <v>60</v>
      </c>
      <c r="AO436" t="s">
        <v>43</v>
      </c>
      <c r="AP436" t="s">
        <v>45</v>
      </c>
      <c r="AQ436">
        <v>10</v>
      </c>
      <c r="AR436">
        <v>105</v>
      </c>
      <c r="AS436" t="s">
        <v>85</v>
      </c>
      <c r="AT436">
        <v>677001</v>
      </c>
      <c r="AU436" t="s">
        <v>273</v>
      </c>
      <c r="AV436" t="s">
        <v>86</v>
      </c>
      <c r="AW436" t="s">
        <v>23</v>
      </c>
      <c r="AX436" t="s">
        <v>24</v>
      </c>
      <c r="AY436" t="s">
        <v>44</v>
      </c>
      <c r="AZ436" t="s">
        <v>197</v>
      </c>
      <c r="BA436" t="s">
        <v>585</v>
      </c>
      <c r="BB436">
        <v>0</v>
      </c>
      <c r="BC436">
        <v>0</v>
      </c>
      <c r="BD436" t="s">
        <v>199</v>
      </c>
      <c r="BE436" t="s">
        <v>199</v>
      </c>
      <c r="BF436">
        <v>0</v>
      </c>
      <c r="BG436">
        <v>0</v>
      </c>
      <c r="BH436" t="s">
        <v>200</v>
      </c>
      <c r="BI436">
        <v>13</v>
      </c>
      <c r="BJ436">
        <v>6387476</v>
      </c>
      <c r="BK436" t="s">
        <v>201</v>
      </c>
      <c r="BL436" t="s">
        <v>190</v>
      </c>
    </row>
    <row r="437" spans="1:64" x14ac:dyDescent="0.3">
      <c r="A437">
        <v>223</v>
      </c>
      <c r="B437" t="s">
        <v>186</v>
      </c>
      <c r="C437">
        <v>3</v>
      </c>
      <c r="D437">
        <v>6387481</v>
      </c>
      <c r="E437" t="s">
        <v>202</v>
      </c>
      <c r="F437" t="s">
        <v>188</v>
      </c>
      <c r="G437">
        <v>10216406</v>
      </c>
      <c r="H437" s="35">
        <v>46172</v>
      </c>
      <c r="I437" s="35">
        <v>46172</v>
      </c>
      <c r="J437">
        <v>2026</v>
      </c>
      <c r="K437">
        <v>5</v>
      </c>
      <c r="L437" t="s">
        <v>189</v>
      </c>
      <c r="M437">
        <v>1</v>
      </c>
      <c r="N437" t="s">
        <v>203</v>
      </c>
      <c r="O437" t="s">
        <v>191</v>
      </c>
      <c r="P437" t="s">
        <v>199</v>
      </c>
      <c r="Q437" t="s">
        <v>199</v>
      </c>
      <c r="R437">
        <v>22</v>
      </c>
      <c r="S437">
        <v>30</v>
      </c>
      <c r="T437">
        <v>29579</v>
      </c>
      <c r="U437">
        <v>3</v>
      </c>
      <c r="V437" t="s">
        <v>224</v>
      </c>
      <c r="W437" t="s">
        <v>40</v>
      </c>
      <c r="X437" t="s">
        <v>19</v>
      </c>
      <c r="Y437" t="s">
        <v>41</v>
      </c>
      <c r="Z437" t="s">
        <v>41</v>
      </c>
      <c r="AA437">
        <v>60</v>
      </c>
      <c r="AB437">
        <v>930025</v>
      </c>
      <c r="AC437" t="s">
        <v>306</v>
      </c>
      <c r="AD437" t="s">
        <v>307</v>
      </c>
      <c r="AE437">
        <v>0.44444444444443998</v>
      </c>
      <c r="AF437">
        <v>16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60</v>
      </c>
      <c r="AO437" t="s">
        <v>43</v>
      </c>
      <c r="AP437" t="s">
        <v>45</v>
      </c>
      <c r="AQ437">
        <v>10</v>
      </c>
      <c r="AR437">
        <v>209</v>
      </c>
      <c r="AS437" t="s">
        <v>88</v>
      </c>
      <c r="AT437">
        <v>0</v>
      </c>
      <c r="AU437" t="s">
        <v>199</v>
      </c>
      <c r="AV437" t="s">
        <v>82</v>
      </c>
      <c r="AW437" t="s">
        <v>23</v>
      </c>
      <c r="AX437" t="s">
        <v>24</v>
      </c>
      <c r="AY437" t="s">
        <v>44</v>
      </c>
      <c r="AZ437" t="s">
        <v>197</v>
      </c>
      <c r="BA437" t="s">
        <v>586</v>
      </c>
      <c r="BB437">
        <v>0</v>
      </c>
      <c r="BC437">
        <v>1</v>
      </c>
      <c r="BD437">
        <v>3618</v>
      </c>
      <c r="BE437" t="s">
        <v>566</v>
      </c>
      <c r="BF437">
        <v>0</v>
      </c>
      <c r="BG437">
        <v>0</v>
      </c>
      <c r="BH437" t="s">
        <v>200</v>
      </c>
      <c r="BI437">
        <v>13</v>
      </c>
      <c r="BJ437">
        <v>6387481</v>
      </c>
      <c r="BK437" t="s">
        <v>201</v>
      </c>
      <c r="BL437" t="s">
        <v>190</v>
      </c>
    </row>
    <row r="438" spans="1:64" x14ac:dyDescent="0.3">
      <c r="A438">
        <v>223</v>
      </c>
      <c r="B438" t="s">
        <v>186</v>
      </c>
      <c r="C438">
        <v>3</v>
      </c>
      <c r="D438">
        <v>6387481</v>
      </c>
      <c r="E438" t="s">
        <v>202</v>
      </c>
      <c r="F438" t="s">
        <v>188</v>
      </c>
      <c r="G438">
        <v>10216406</v>
      </c>
      <c r="H438" s="35">
        <v>46172</v>
      </c>
      <c r="I438" s="35">
        <v>46172</v>
      </c>
      <c r="J438">
        <v>2026</v>
      </c>
      <c r="K438">
        <v>5</v>
      </c>
      <c r="L438" t="s">
        <v>189</v>
      </c>
      <c r="M438">
        <v>1</v>
      </c>
      <c r="N438" t="s">
        <v>203</v>
      </c>
      <c r="O438" t="s">
        <v>191</v>
      </c>
      <c r="P438" t="s">
        <v>199</v>
      </c>
      <c r="Q438" t="s">
        <v>199</v>
      </c>
      <c r="R438">
        <v>22</v>
      </c>
      <c r="S438">
        <v>30</v>
      </c>
      <c r="T438">
        <v>29579</v>
      </c>
      <c r="U438">
        <v>3</v>
      </c>
      <c r="V438" t="s">
        <v>224</v>
      </c>
      <c r="W438" t="s">
        <v>40</v>
      </c>
      <c r="X438" t="s">
        <v>19</v>
      </c>
      <c r="Y438" t="s">
        <v>41</v>
      </c>
      <c r="Z438" t="s">
        <v>41</v>
      </c>
      <c r="AA438">
        <v>60</v>
      </c>
      <c r="AB438">
        <v>930025</v>
      </c>
      <c r="AC438" t="s">
        <v>306</v>
      </c>
      <c r="AD438" t="s">
        <v>307</v>
      </c>
      <c r="AE438">
        <v>0.16666666666666</v>
      </c>
      <c r="AF438">
        <v>6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60</v>
      </c>
      <c r="AO438" t="s">
        <v>43</v>
      </c>
      <c r="AP438" t="s">
        <v>45</v>
      </c>
      <c r="AQ438">
        <v>10</v>
      </c>
      <c r="AR438">
        <v>209</v>
      </c>
      <c r="AS438" t="s">
        <v>88</v>
      </c>
      <c r="AT438">
        <v>0</v>
      </c>
      <c r="AU438" t="s">
        <v>199</v>
      </c>
      <c r="AV438" t="s">
        <v>82</v>
      </c>
      <c r="AW438" t="s">
        <v>23</v>
      </c>
      <c r="AX438" t="s">
        <v>24</v>
      </c>
      <c r="AY438" t="s">
        <v>44</v>
      </c>
      <c r="AZ438" t="s">
        <v>197</v>
      </c>
      <c r="BA438" t="s">
        <v>586</v>
      </c>
      <c r="BB438">
        <v>0</v>
      </c>
      <c r="BC438">
        <v>1</v>
      </c>
      <c r="BD438">
        <v>3619</v>
      </c>
      <c r="BE438" t="s">
        <v>587</v>
      </c>
      <c r="BF438">
        <v>0</v>
      </c>
      <c r="BG438">
        <v>0</v>
      </c>
      <c r="BH438" t="s">
        <v>200</v>
      </c>
      <c r="BI438">
        <v>13</v>
      </c>
      <c r="BJ438">
        <v>6387481</v>
      </c>
      <c r="BK438" t="s">
        <v>201</v>
      </c>
      <c r="BL438" t="s">
        <v>190</v>
      </c>
    </row>
    <row r="439" spans="1:64" x14ac:dyDescent="0.3">
      <c r="A439">
        <v>223</v>
      </c>
      <c r="B439" t="s">
        <v>186</v>
      </c>
      <c r="C439">
        <v>3</v>
      </c>
      <c r="D439">
        <v>6387481</v>
      </c>
      <c r="E439" t="s">
        <v>202</v>
      </c>
      <c r="F439" t="s">
        <v>188</v>
      </c>
      <c r="G439">
        <v>10216406</v>
      </c>
      <c r="H439" s="35">
        <v>46172</v>
      </c>
      <c r="I439" s="35">
        <v>46172</v>
      </c>
      <c r="J439">
        <v>2026</v>
      </c>
      <c r="K439">
        <v>5</v>
      </c>
      <c r="L439" t="s">
        <v>189</v>
      </c>
      <c r="M439">
        <v>1</v>
      </c>
      <c r="N439" t="s">
        <v>203</v>
      </c>
      <c r="O439" t="s">
        <v>191</v>
      </c>
      <c r="P439" t="s">
        <v>199</v>
      </c>
      <c r="Q439" t="s">
        <v>199</v>
      </c>
      <c r="R439">
        <v>22</v>
      </c>
      <c r="S439">
        <v>30</v>
      </c>
      <c r="T439">
        <v>29579</v>
      </c>
      <c r="U439">
        <v>3</v>
      </c>
      <c r="V439" t="s">
        <v>224</v>
      </c>
      <c r="W439" t="s">
        <v>40</v>
      </c>
      <c r="X439" t="s">
        <v>19</v>
      </c>
      <c r="Y439" t="s">
        <v>41</v>
      </c>
      <c r="Z439" t="s">
        <v>41</v>
      </c>
      <c r="AA439">
        <v>60</v>
      </c>
      <c r="AB439">
        <v>930021</v>
      </c>
      <c r="AC439" t="s">
        <v>205</v>
      </c>
      <c r="AD439" t="s">
        <v>206</v>
      </c>
      <c r="AE439">
        <v>0.5</v>
      </c>
      <c r="AF439">
        <v>8</v>
      </c>
      <c r="AG439">
        <v>90.18</v>
      </c>
      <c r="AH439">
        <v>0</v>
      </c>
      <c r="AI439">
        <v>0</v>
      </c>
      <c r="AJ439">
        <v>0</v>
      </c>
      <c r="AK439">
        <v>129.86000000000001</v>
      </c>
      <c r="AL439">
        <v>721.44</v>
      </c>
      <c r="AM439">
        <v>851</v>
      </c>
      <c r="AN439">
        <v>60</v>
      </c>
      <c r="AO439" t="s">
        <v>43</v>
      </c>
      <c r="AP439" t="s">
        <v>45</v>
      </c>
      <c r="AQ439">
        <v>10</v>
      </c>
      <c r="AR439">
        <v>208</v>
      </c>
      <c r="AS439" t="s">
        <v>92</v>
      </c>
      <c r="AT439">
        <v>0</v>
      </c>
      <c r="AU439" t="s">
        <v>199</v>
      </c>
      <c r="AV439" t="s">
        <v>82</v>
      </c>
      <c r="AW439" t="s">
        <v>23</v>
      </c>
      <c r="AX439" t="s">
        <v>24</v>
      </c>
      <c r="AY439" t="s">
        <v>44</v>
      </c>
      <c r="AZ439" t="s">
        <v>197</v>
      </c>
      <c r="BA439" t="s">
        <v>586</v>
      </c>
      <c r="BB439">
        <v>0</v>
      </c>
      <c r="BC439">
        <v>0</v>
      </c>
      <c r="BD439" t="s">
        <v>199</v>
      </c>
      <c r="BE439" t="s">
        <v>199</v>
      </c>
      <c r="BF439">
        <v>0</v>
      </c>
      <c r="BG439">
        <v>0</v>
      </c>
      <c r="BH439" t="s">
        <v>200</v>
      </c>
      <c r="BI439">
        <v>13</v>
      </c>
      <c r="BJ439">
        <v>6387481</v>
      </c>
      <c r="BK439" t="s">
        <v>201</v>
      </c>
      <c r="BL439" t="s">
        <v>190</v>
      </c>
    </row>
    <row r="440" spans="1:64" x14ac:dyDescent="0.3">
      <c r="A440">
        <v>223</v>
      </c>
      <c r="B440" t="s">
        <v>186</v>
      </c>
      <c r="C440">
        <v>3</v>
      </c>
      <c r="D440">
        <v>6387481</v>
      </c>
      <c r="E440" t="s">
        <v>202</v>
      </c>
      <c r="F440" t="s">
        <v>188</v>
      </c>
      <c r="G440">
        <v>10216406</v>
      </c>
      <c r="H440" s="35">
        <v>46172</v>
      </c>
      <c r="I440" s="35">
        <v>46172</v>
      </c>
      <c r="J440">
        <v>2026</v>
      </c>
      <c r="K440">
        <v>5</v>
      </c>
      <c r="L440" t="s">
        <v>189</v>
      </c>
      <c r="M440">
        <v>1</v>
      </c>
      <c r="N440" t="s">
        <v>203</v>
      </c>
      <c r="O440" t="s">
        <v>191</v>
      </c>
      <c r="P440" t="s">
        <v>199</v>
      </c>
      <c r="Q440" t="s">
        <v>199</v>
      </c>
      <c r="R440">
        <v>22</v>
      </c>
      <c r="S440">
        <v>30</v>
      </c>
      <c r="T440">
        <v>29579</v>
      </c>
      <c r="U440">
        <v>3</v>
      </c>
      <c r="V440" t="s">
        <v>224</v>
      </c>
      <c r="W440" t="s">
        <v>40</v>
      </c>
      <c r="X440" t="s">
        <v>19</v>
      </c>
      <c r="Y440" t="s">
        <v>41</v>
      </c>
      <c r="Z440" t="s">
        <v>41</v>
      </c>
      <c r="AA440">
        <v>60</v>
      </c>
      <c r="AB440">
        <v>930022</v>
      </c>
      <c r="AC440" t="s">
        <v>518</v>
      </c>
      <c r="AD440" t="s">
        <v>519</v>
      </c>
      <c r="AE440">
        <v>0.5</v>
      </c>
      <c r="AF440">
        <v>8</v>
      </c>
      <c r="AG440">
        <v>90.18</v>
      </c>
      <c r="AH440">
        <v>0</v>
      </c>
      <c r="AI440">
        <v>0</v>
      </c>
      <c r="AJ440">
        <v>0</v>
      </c>
      <c r="AK440">
        <v>129.86000000000001</v>
      </c>
      <c r="AL440">
        <v>721.44</v>
      </c>
      <c r="AM440">
        <v>851</v>
      </c>
      <c r="AN440">
        <v>60</v>
      </c>
      <c r="AO440" t="s">
        <v>43</v>
      </c>
      <c r="AP440" t="s">
        <v>45</v>
      </c>
      <c r="AQ440">
        <v>10</v>
      </c>
      <c r="AR440">
        <v>208</v>
      </c>
      <c r="AS440" t="s">
        <v>92</v>
      </c>
      <c r="AT440">
        <v>0</v>
      </c>
      <c r="AU440" t="s">
        <v>199</v>
      </c>
      <c r="AV440" t="s">
        <v>82</v>
      </c>
      <c r="AW440" t="s">
        <v>23</v>
      </c>
      <c r="AX440" t="s">
        <v>24</v>
      </c>
      <c r="AY440" t="s">
        <v>44</v>
      </c>
      <c r="AZ440" t="s">
        <v>197</v>
      </c>
      <c r="BA440" t="s">
        <v>586</v>
      </c>
      <c r="BB440">
        <v>0</v>
      </c>
      <c r="BC440">
        <v>0</v>
      </c>
      <c r="BD440" t="s">
        <v>199</v>
      </c>
      <c r="BE440" t="s">
        <v>199</v>
      </c>
      <c r="BF440">
        <v>0</v>
      </c>
      <c r="BG440">
        <v>0</v>
      </c>
      <c r="BH440" t="s">
        <v>200</v>
      </c>
      <c r="BI440">
        <v>13</v>
      </c>
      <c r="BJ440">
        <v>6387481</v>
      </c>
      <c r="BK440" t="s">
        <v>201</v>
      </c>
      <c r="BL440" t="s">
        <v>190</v>
      </c>
    </row>
    <row r="441" spans="1:64" x14ac:dyDescent="0.3">
      <c r="A441">
        <v>223</v>
      </c>
      <c r="B441" t="s">
        <v>186</v>
      </c>
      <c r="C441">
        <v>3</v>
      </c>
      <c r="D441">
        <v>6387481</v>
      </c>
      <c r="E441" t="s">
        <v>202</v>
      </c>
      <c r="F441" t="s">
        <v>188</v>
      </c>
      <c r="G441">
        <v>10216406</v>
      </c>
      <c r="H441" s="35">
        <v>46172</v>
      </c>
      <c r="I441" s="35">
        <v>46172</v>
      </c>
      <c r="J441">
        <v>2026</v>
      </c>
      <c r="K441">
        <v>5</v>
      </c>
      <c r="L441" t="s">
        <v>189</v>
      </c>
      <c r="M441">
        <v>1</v>
      </c>
      <c r="N441" t="s">
        <v>203</v>
      </c>
      <c r="O441" t="s">
        <v>191</v>
      </c>
      <c r="P441" t="s">
        <v>199</v>
      </c>
      <c r="Q441" t="s">
        <v>199</v>
      </c>
      <c r="R441">
        <v>22</v>
      </c>
      <c r="S441">
        <v>30</v>
      </c>
      <c r="T441">
        <v>29579</v>
      </c>
      <c r="U441">
        <v>3</v>
      </c>
      <c r="V441" t="s">
        <v>224</v>
      </c>
      <c r="W441" t="s">
        <v>40</v>
      </c>
      <c r="X441" t="s">
        <v>19</v>
      </c>
      <c r="Y441" t="s">
        <v>41</v>
      </c>
      <c r="Z441" t="s">
        <v>41</v>
      </c>
      <c r="AA441">
        <v>60</v>
      </c>
      <c r="AB441">
        <v>930012</v>
      </c>
      <c r="AC441" t="s">
        <v>312</v>
      </c>
      <c r="AD441" t="s">
        <v>313</v>
      </c>
      <c r="AE441">
        <v>1</v>
      </c>
      <c r="AF441">
        <v>16</v>
      </c>
      <c r="AG441">
        <v>90.18</v>
      </c>
      <c r="AH441">
        <v>0</v>
      </c>
      <c r="AI441">
        <v>0</v>
      </c>
      <c r="AJ441">
        <v>0</v>
      </c>
      <c r="AK441">
        <v>259.72000000000003</v>
      </c>
      <c r="AL441">
        <v>1442.88</v>
      </c>
      <c r="AM441">
        <v>1703</v>
      </c>
      <c r="AN441">
        <v>60</v>
      </c>
      <c r="AO441" t="s">
        <v>43</v>
      </c>
      <c r="AP441" t="s">
        <v>45</v>
      </c>
      <c r="AQ441">
        <v>10</v>
      </c>
      <c r="AR441">
        <v>208</v>
      </c>
      <c r="AS441" t="s">
        <v>92</v>
      </c>
      <c r="AT441">
        <v>0</v>
      </c>
      <c r="AU441" t="s">
        <v>199</v>
      </c>
      <c r="AV441" t="s">
        <v>82</v>
      </c>
      <c r="AW441" t="s">
        <v>23</v>
      </c>
      <c r="AX441" t="s">
        <v>24</v>
      </c>
      <c r="AY441" t="s">
        <v>44</v>
      </c>
      <c r="AZ441" t="s">
        <v>197</v>
      </c>
      <c r="BA441" t="s">
        <v>586</v>
      </c>
      <c r="BB441">
        <v>0</v>
      </c>
      <c r="BC441">
        <v>0</v>
      </c>
      <c r="BD441" t="s">
        <v>199</v>
      </c>
      <c r="BE441" t="s">
        <v>199</v>
      </c>
      <c r="BF441">
        <v>0</v>
      </c>
      <c r="BG441">
        <v>0</v>
      </c>
      <c r="BH441" t="s">
        <v>200</v>
      </c>
      <c r="BI441">
        <v>13</v>
      </c>
      <c r="BJ441">
        <v>6387481</v>
      </c>
      <c r="BK441" t="s">
        <v>201</v>
      </c>
      <c r="BL441" t="s">
        <v>190</v>
      </c>
    </row>
    <row r="442" spans="1:64" x14ac:dyDescent="0.3">
      <c r="A442">
        <v>223</v>
      </c>
      <c r="B442" t="s">
        <v>186</v>
      </c>
      <c r="C442">
        <v>3</v>
      </c>
      <c r="D442">
        <v>6387481</v>
      </c>
      <c r="E442" t="s">
        <v>202</v>
      </c>
      <c r="F442" t="s">
        <v>188</v>
      </c>
      <c r="G442">
        <v>10216406</v>
      </c>
      <c r="H442" s="35">
        <v>46172</v>
      </c>
      <c r="I442" s="35">
        <v>46172</v>
      </c>
      <c r="J442">
        <v>2026</v>
      </c>
      <c r="K442">
        <v>5</v>
      </c>
      <c r="L442" t="s">
        <v>189</v>
      </c>
      <c r="M442">
        <v>1</v>
      </c>
      <c r="N442" t="s">
        <v>203</v>
      </c>
      <c r="O442" t="s">
        <v>191</v>
      </c>
      <c r="P442" t="s">
        <v>199</v>
      </c>
      <c r="Q442" t="s">
        <v>199</v>
      </c>
      <c r="R442">
        <v>22</v>
      </c>
      <c r="S442">
        <v>30</v>
      </c>
      <c r="T442">
        <v>29579</v>
      </c>
      <c r="U442">
        <v>3</v>
      </c>
      <c r="V442" t="s">
        <v>224</v>
      </c>
      <c r="W442" t="s">
        <v>40</v>
      </c>
      <c r="X442" t="s">
        <v>19</v>
      </c>
      <c r="Y442" t="s">
        <v>41</v>
      </c>
      <c r="Z442" t="s">
        <v>41</v>
      </c>
      <c r="AA442">
        <v>60</v>
      </c>
      <c r="AB442">
        <v>800792</v>
      </c>
      <c r="AC442" t="s">
        <v>304</v>
      </c>
      <c r="AD442" t="s">
        <v>305</v>
      </c>
      <c r="AE442">
        <v>1.48</v>
      </c>
      <c r="AF442">
        <v>37</v>
      </c>
      <c r="AG442">
        <v>151.58000000000001</v>
      </c>
      <c r="AH442">
        <v>0</v>
      </c>
      <c r="AI442">
        <v>0</v>
      </c>
      <c r="AJ442">
        <v>0</v>
      </c>
      <c r="AK442">
        <v>1009.52</v>
      </c>
      <c r="AL442">
        <v>5608.46</v>
      </c>
      <c r="AM442">
        <v>6618</v>
      </c>
      <c r="AN442">
        <v>60</v>
      </c>
      <c r="AO442" t="s">
        <v>43</v>
      </c>
      <c r="AP442" t="s">
        <v>45</v>
      </c>
      <c r="AQ442">
        <v>10</v>
      </c>
      <c r="AR442">
        <v>207</v>
      </c>
      <c r="AS442" t="s">
        <v>81</v>
      </c>
      <c r="AT442">
        <v>65103</v>
      </c>
      <c r="AU442" t="s">
        <v>266</v>
      </c>
      <c r="AV442" t="s">
        <v>82</v>
      </c>
      <c r="AW442" t="s">
        <v>23</v>
      </c>
      <c r="AX442" t="s">
        <v>24</v>
      </c>
      <c r="AY442" t="s">
        <v>44</v>
      </c>
      <c r="AZ442" t="s">
        <v>197</v>
      </c>
      <c r="BA442" t="s">
        <v>586</v>
      </c>
      <c r="BB442">
        <v>0</v>
      </c>
      <c r="BC442">
        <v>0</v>
      </c>
      <c r="BD442" t="s">
        <v>199</v>
      </c>
      <c r="BE442" t="s">
        <v>199</v>
      </c>
      <c r="BF442">
        <v>0</v>
      </c>
      <c r="BG442">
        <v>0</v>
      </c>
      <c r="BH442" t="s">
        <v>200</v>
      </c>
      <c r="BI442">
        <v>13</v>
      </c>
      <c r="BJ442">
        <v>6387481</v>
      </c>
      <c r="BK442" t="s">
        <v>201</v>
      </c>
      <c r="BL442" t="s">
        <v>190</v>
      </c>
    </row>
    <row r="443" spans="1:64" x14ac:dyDescent="0.3">
      <c r="A443">
        <v>223</v>
      </c>
      <c r="B443" t="s">
        <v>186</v>
      </c>
      <c r="C443">
        <v>3</v>
      </c>
      <c r="D443">
        <v>6387481</v>
      </c>
      <c r="E443" t="s">
        <v>202</v>
      </c>
      <c r="F443" t="s">
        <v>188</v>
      </c>
      <c r="G443">
        <v>10216406</v>
      </c>
      <c r="H443" s="35">
        <v>46172</v>
      </c>
      <c r="I443" s="35">
        <v>46172</v>
      </c>
      <c r="J443">
        <v>2026</v>
      </c>
      <c r="K443">
        <v>5</v>
      </c>
      <c r="L443" t="s">
        <v>189</v>
      </c>
      <c r="M443">
        <v>1</v>
      </c>
      <c r="N443" t="s">
        <v>203</v>
      </c>
      <c r="O443" t="s">
        <v>191</v>
      </c>
      <c r="P443" t="s">
        <v>199</v>
      </c>
      <c r="Q443" t="s">
        <v>199</v>
      </c>
      <c r="R443">
        <v>22</v>
      </c>
      <c r="S443">
        <v>30</v>
      </c>
      <c r="T443">
        <v>29579</v>
      </c>
      <c r="U443">
        <v>3</v>
      </c>
      <c r="V443" t="s">
        <v>224</v>
      </c>
      <c r="W443" t="s">
        <v>40</v>
      </c>
      <c r="X443" t="s">
        <v>19</v>
      </c>
      <c r="Y443" t="s">
        <v>41</v>
      </c>
      <c r="Z443" t="s">
        <v>41</v>
      </c>
      <c r="AA443">
        <v>60</v>
      </c>
      <c r="AB443">
        <v>800793</v>
      </c>
      <c r="AC443" t="s">
        <v>361</v>
      </c>
      <c r="AD443" t="s">
        <v>362</v>
      </c>
      <c r="AE443">
        <v>0.52</v>
      </c>
      <c r="AF443">
        <v>13</v>
      </c>
      <c r="AG443">
        <v>151.58000000000001</v>
      </c>
      <c r="AH443">
        <v>0</v>
      </c>
      <c r="AI443">
        <v>0</v>
      </c>
      <c r="AJ443">
        <v>0</v>
      </c>
      <c r="AK443">
        <v>354.7</v>
      </c>
      <c r="AL443">
        <v>1970.54</v>
      </c>
      <c r="AM443">
        <v>2325</v>
      </c>
      <c r="AN443">
        <v>60</v>
      </c>
      <c r="AO443" t="s">
        <v>43</v>
      </c>
      <c r="AP443" t="s">
        <v>45</v>
      </c>
      <c r="AQ443">
        <v>10</v>
      </c>
      <c r="AR443">
        <v>207</v>
      </c>
      <c r="AS443" t="s">
        <v>81</v>
      </c>
      <c r="AT443">
        <v>65103</v>
      </c>
      <c r="AU443" t="s">
        <v>266</v>
      </c>
      <c r="AV443" t="s">
        <v>82</v>
      </c>
      <c r="AW443" t="s">
        <v>23</v>
      </c>
      <c r="AX443" t="s">
        <v>24</v>
      </c>
      <c r="AY443" t="s">
        <v>44</v>
      </c>
      <c r="AZ443" t="s">
        <v>197</v>
      </c>
      <c r="BA443" t="s">
        <v>586</v>
      </c>
      <c r="BB443">
        <v>0</v>
      </c>
      <c r="BC443">
        <v>0</v>
      </c>
      <c r="BD443" t="s">
        <v>199</v>
      </c>
      <c r="BE443" t="s">
        <v>199</v>
      </c>
      <c r="BF443">
        <v>0</v>
      </c>
      <c r="BG443">
        <v>0</v>
      </c>
      <c r="BH443" t="s">
        <v>200</v>
      </c>
      <c r="BI443">
        <v>13</v>
      </c>
      <c r="BJ443">
        <v>6387481</v>
      </c>
      <c r="BK443" t="s">
        <v>201</v>
      </c>
      <c r="BL443" t="s">
        <v>190</v>
      </c>
    </row>
    <row r="444" spans="1:64" x14ac:dyDescent="0.3">
      <c r="A444">
        <v>223</v>
      </c>
      <c r="B444" t="s">
        <v>186</v>
      </c>
      <c r="C444">
        <v>3</v>
      </c>
      <c r="D444">
        <v>6387493</v>
      </c>
      <c r="E444" t="s">
        <v>202</v>
      </c>
      <c r="F444" t="s">
        <v>188</v>
      </c>
      <c r="G444">
        <v>10216418</v>
      </c>
      <c r="H444" s="35">
        <v>46172</v>
      </c>
      <c r="I444" s="35">
        <v>46172</v>
      </c>
      <c r="J444">
        <v>2026</v>
      </c>
      <c r="K444">
        <v>5</v>
      </c>
      <c r="L444" t="s">
        <v>189</v>
      </c>
      <c r="M444">
        <v>1</v>
      </c>
      <c r="N444" t="s">
        <v>190</v>
      </c>
      <c r="O444" t="s">
        <v>191</v>
      </c>
      <c r="P444" t="s">
        <v>199</v>
      </c>
      <c r="Q444" t="s">
        <v>199</v>
      </c>
      <c r="R444">
        <v>22</v>
      </c>
      <c r="S444">
        <v>30</v>
      </c>
      <c r="T444">
        <v>29579</v>
      </c>
      <c r="U444">
        <v>3</v>
      </c>
      <c r="V444" t="s">
        <v>224</v>
      </c>
      <c r="W444" t="s">
        <v>40</v>
      </c>
      <c r="X444" t="s">
        <v>19</v>
      </c>
      <c r="Y444" t="s">
        <v>41</v>
      </c>
      <c r="Z444" t="s">
        <v>41</v>
      </c>
      <c r="AA444">
        <v>60</v>
      </c>
      <c r="AB444">
        <v>800089</v>
      </c>
      <c r="AC444" t="s">
        <v>295</v>
      </c>
      <c r="AD444" t="s">
        <v>296</v>
      </c>
      <c r="AE444">
        <v>0.5</v>
      </c>
      <c r="AF444">
        <v>4</v>
      </c>
      <c r="AG444">
        <v>364.41</v>
      </c>
      <c r="AH444">
        <v>0</v>
      </c>
      <c r="AI444">
        <v>0</v>
      </c>
      <c r="AJ444">
        <v>0</v>
      </c>
      <c r="AK444">
        <v>262.38</v>
      </c>
      <c r="AL444">
        <v>1457.64</v>
      </c>
      <c r="AM444">
        <v>1720</v>
      </c>
      <c r="AN444">
        <v>60</v>
      </c>
      <c r="AO444" t="s">
        <v>43</v>
      </c>
      <c r="AP444" t="s">
        <v>45</v>
      </c>
      <c r="AQ444">
        <v>10</v>
      </c>
      <c r="AR444">
        <v>105</v>
      </c>
      <c r="AS444" t="s">
        <v>85</v>
      </c>
      <c r="AT444">
        <v>677001</v>
      </c>
      <c r="AU444" t="s">
        <v>273</v>
      </c>
      <c r="AV444" t="s">
        <v>86</v>
      </c>
      <c r="AW444" t="s">
        <v>23</v>
      </c>
      <c r="AX444" t="s">
        <v>24</v>
      </c>
      <c r="AY444" t="s">
        <v>44</v>
      </c>
      <c r="AZ444" t="s">
        <v>197</v>
      </c>
      <c r="BA444" t="s">
        <v>588</v>
      </c>
      <c r="BB444">
        <v>0</v>
      </c>
      <c r="BC444">
        <v>0</v>
      </c>
      <c r="BD444" t="s">
        <v>199</v>
      </c>
      <c r="BE444" t="s">
        <v>199</v>
      </c>
      <c r="BF444">
        <v>0</v>
      </c>
      <c r="BG444">
        <v>0</v>
      </c>
      <c r="BH444" t="s">
        <v>200</v>
      </c>
      <c r="BI444">
        <v>13</v>
      </c>
      <c r="BJ444">
        <v>6387493</v>
      </c>
      <c r="BK444" t="s">
        <v>201</v>
      </c>
      <c r="BL444" t="s">
        <v>190</v>
      </c>
    </row>
    <row r="445" spans="1:64" x14ac:dyDescent="0.3">
      <c r="A445">
        <v>223</v>
      </c>
      <c r="B445" t="s">
        <v>186</v>
      </c>
      <c r="C445">
        <v>3</v>
      </c>
      <c r="D445">
        <v>6387493</v>
      </c>
      <c r="E445" t="s">
        <v>202</v>
      </c>
      <c r="F445" t="s">
        <v>188</v>
      </c>
      <c r="G445">
        <v>10216418</v>
      </c>
      <c r="H445" s="35">
        <v>46172</v>
      </c>
      <c r="I445" s="35">
        <v>46172</v>
      </c>
      <c r="J445">
        <v>2026</v>
      </c>
      <c r="K445">
        <v>5</v>
      </c>
      <c r="L445" t="s">
        <v>189</v>
      </c>
      <c r="M445">
        <v>1</v>
      </c>
      <c r="N445" t="s">
        <v>190</v>
      </c>
      <c r="O445" t="s">
        <v>191</v>
      </c>
      <c r="P445" t="s">
        <v>199</v>
      </c>
      <c r="Q445" t="s">
        <v>199</v>
      </c>
      <c r="R445">
        <v>22</v>
      </c>
      <c r="S445">
        <v>30</v>
      </c>
      <c r="T445">
        <v>29579</v>
      </c>
      <c r="U445">
        <v>3</v>
      </c>
      <c r="V445" t="s">
        <v>224</v>
      </c>
      <c r="W445" t="s">
        <v>40</v>
      </c>
      <c r="X445" t="s">
        <v>19</v>
      </c>
      <c r="Y445" t="s">
        <v>41</v>
      </c>
      <c r="Z445" t="s">
        <v>41</v>
      </c>
      <c r="AA445">
        <v>60</v>
      </c>
      <c r="AB445">
        <v>800088</v>
      </c>
      <c r="AC445" t="s">
        <v>276</v>
      </c>
      <c r="AD445" t="s">
        <v>277</v>
      </c>
      <c r="AE445">
        <v>0.5</v>
      </c>
      <c r="AF445">
        <v>4</v>
      </c>
      <c r="AG445">
        <v>364.41</v>
      </c>
      <c r="AH445">
        <v>0</v>
      </c>
      <c r="AI445">
        <v>0</v>
      </c>
      <c r="AJ445">
        <v>0</v>
      </c>
      <c r="AK445">
        <v>262.38</v>
      </c>
      <c r="AL445">
        <v>1457.64</v>
      </c>
      <c r="AM445">
        <v>1720</v>
      </c>
      <c r="AN445">
        <v>60</v>
      </c>
      <c r="AO445" t="s">
        <v>43</v>
      </c>
      <c r="AP445" t="s">
        <v>45</v>
      </c>
      <c r="AQ445">
        <v>10</v>
      </c>
      <c r="AR445">
        <v>105</v>
      </c>
      <c r="AS445" t="s">
        <v>85</v>
      </c>
      <c r="AT445">
        <v>677001</v>
      </c>
      <c r="AU445" t="s">
        <v>273</v>
      </c>
      <c r="AV445" t="s">
        <v>86</v>
      </c>
      <c r="AW445" t="s">
        <v>23</v>
      </c>
      <c r="AX445" t="s">
        <v>24</v>
      </c>
      <c r="AY445" t="s">
        <v>44</v>
      </c>
      <c r="AZ445" t="s">
        <v>197</v>
      </c>
      <c r="BA445" t="s">
        <v>588</v>
      </c>
      <c r="BB445">
        <v>0</v>
      </c>
      <c r="BC445">
        <v>0</v>
      </c>
      <c r="BD445" t="s">
        <v>199</v>
      </c>
      <c r="BE445" t="s">
        <v>199</v>
      </c>
      <c r="BF445">
        <v>0</v>
      </c>
      <c r="BG445">
        <v>0</v>
      </c>
      <c r="BH445" t="s">
        <v>200</v>
      </c>
      <c r="BI445">
        <v>13</v>
      </c>
      <c r="BJ445">
        <v>6387493</v>
      </c>
      <c r="BK445" t="s">
        <v>201</v>
      </c>
      <c r="BL445" t="s">
        <v>190</v>
      </c>
    </row>
    <row r="446" spans="1:64" x14ac:dyDescent="0.3">
      <c r="A446">
        <v>223</v>
      </c>
      <c r="B446" t="s">
        <v>186</v>
      </c>
      <c r="C446">
        <v>3</v>
      </c>
      <c r="D446">
        <v>6387493</v>
      </c>
      <c r="E446" t="s">
        <v>202</v>
      </c>
      <c r="F446" t="s">
        <v>188</v>
      </c>
      <c r="G446">
        <v>10216418</v>
      </c>
      <c r="H446" s="35">
        <v>46172</v>
      </c>
      <c r="I446" s="35">
        <v>46172</v>
      </c>
      <c r="J446">
        <v>2026</v>
      </c>
      <c r="K446">
        <v>5</v>
      </c>
      <c r="L446" t="s">
        <v>189</v>
      </c>
      <c r="M446">
        <v>1</v>
      </c>
      <c r="N446" t="s">
        <v>190</v>
      </c>
      <c r="O446" t="s">
        <v>191</v>
      </c>
      <c r="P446" t="s">
        <v>199</v>
      </c>
      <c r="Q446" t="s">
        <v>199</v>
      </c>
      <c r="R446">
        <v>22</v>
      </c>
      <c r="S446">
        <v>30</v>
      </c>
      <c r="T446">
        <v>29579</v>
      </c>
      <c r="U446">
        <v>3</v>
      </c>
      <c r="V446" t="s">
        <v>224</v>
      </c>
      <c r="W446" t="s">
        <v>40</v>
      </c>
      <c r="X446" t="s">
        <v>19</v>
      </c>
      <c r="Y446" t="s">
        <v>41</v>
      </c>
      <c r="Z446" t="s">
        <v>41</v>
      </c>
      <c r="AA446">
        <v>60</v>
      </c>
      <c r="AB446">
        <v>101130</v>
      </c>
      <c r="AC446" t="s">
        <v>508</v>
      </c>
      <c r="AD446" t="s">
        <v>509</v>
      </c>
      <c r="AE446">
        <v>8.8888888888879997E-2</v>
      </c>
      <c r="AF446">
        <v>16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60</v>
      </c>
      <c r="AO446" t="s">
        <v>43</v>
      </c>
      <c r="AP446" t="s">
        <v>45</v>
      </c>
      <c r="AQ446">
        <v>10</v>
      </c>
      <c r="AR446">
        <v>111</v>
      </c>
      <c r="AS446" t="s">
        <v>97</v>
      </c>
      <c r="AT446">
        <v>677001</v>
      </c>
      <c r="AU446" t="s">
        <v>273</v>
      </c>
      <c r="AV446" t="s">
        <v>86</v>
      </c>
      <c r="AW446" t="s">
        <v>23</v>
      </c>
      <c r="AX446" t="s">
        <v>24</v>
      </c>
      <c r="AY446" t="s">
        <v>44</v>
      </c>
      <c r="AZ446" t="s">
        <v>197</v>
      </c>
      <c r="BA446" t="s">
        <v>588</v>
      </c>
      <c r="BB446">
        <v>0</v>
      </c>
      <c r="BC446">
        <v>1</v>
      </c>
      <c r="BD446">
        <v>3621</v>
      </c>
      <c r="BE446" t="s">
        <v>580</v>
      </c>
      <c r="BF446">
        <v>0</v>
      </c>
      <c r="BG446">
        <v>0</v>
      </c>
      <c r="BH446" t="s">
        <v>200</v>
      </c>
      <c r="BI446">
        <v>13</v>
      </c>
      <c r="BJ446">
        <v>6387493</v>
      </c>
      <c r="BK446" t="s">
        <v>201</v>
      </c>
      <c r="BL446" t="s">
        <v>190</v>
      </c>
    </row>
    <row r="447" spans="1:64" x14ac:dyDescent="0.3">
      <c r="A447">
        <v>223</v>
      </c>
      <c r="B447" t="s">
        <v>186</v>
      </c>
      <c r="C447">
        <v>3</v>
      </c>
      <c r="D447">
        <v>6390100</v>
      </c>
      <c r="E447" t="s">
        <v>202</v>
      </c>
      <c r="F447" t="s">
        <v>188</v>
      </c>
      <c r="G447">
        <v>10219025</v>
      </c>
      <c r="H447" s="35">
        <v>46175</v>
      </c>
      <c r="I447" s="35">
        <v>46175</v>
      </c>
      <c r="J447">
        <v>2026</v>
      </c>
      <c r="K447">
        <v>6</v>
      </c>
      <c r="L447" t="s">
        <v>189</v>
      </c>
      <c r="M447">
        <v>1</v>
      </c>
      <c r="N447" t="s">
        <v>190</v>
      </c>
      <c r="O447" t="s">
        <v>191</v>
      </c>
      <c r="P447" t="s">
        <v>199</v>
      </c>
      <c r="Q447" t="s">
        <v>199</v>
      </c>
      <c r="R447">
        <v>23</v>
      </c>
      <c r="S447">
        <v>2</v>
      </c>
      <c r="T447">
        <v>12191</v>
      </c>
      <c r="U447">
        <v>3</v>
      </c>
      <c r="V447" t="s">
        <v>204</v>
      </c>
      <c r="W447" t="s">
        <v>27</v>
      </c>
      <c r="X447" t="s">
        <v>28</v>
      </c>
      <c r="Y447" t="s">
        <v>20</v>
      </c>
      <c r="Z447" t="s">
        <v>20</v>
      </c>
      <c r="AA447">
        <v>91</v>
      </c>
      <c r="AB447">
        <v>800089</v>
      </c>
      <c r="AC447" t="s">
        <v>295</v>
      </c>
      <c r="AD447" t="s">
        <v>296</v>
      </c>
      <c r="AE447">
        <v>0.25</v>
      </c>
      <c r="AF447">
        <v>2</v>
      </c>
      <c r="AG447">
        <v>364.41</v>
      </c>
      <c r="AH447">
        <v>0</v>
      </c>
      <c r="AI447">
        <v>0</v>
      </c>
      <c r="AJ447">
        <v>0</v>
      </c>
      <c r="AK447">
        <v>131.19</v>
      </c>
      <c r="AL447">
        <v>728.82</v>
      </c>
      <c r="AM447">
        <v>860</v>
      </c>
      <c r="AN447">
        <v>91</v>
      </c>
      <c r="AO447" t="s">
        <v>22</v>
      </c>
      <c r="AP447" t="s">
        <v>26</v>
      </c>
      <c r="AQ447">
        <v>10</v>
      </c>
      <c r="AR447">
        <v>105</v>
      </c>
      <c r="AS447" t="s">
        <v>85</v>
      </c>
      <c r="AT447">
        <v>677001</v>
      </c>
      <c r="AU447" t="s">
        <v>273</v>
      </c>
      <c r="AV447" t="s">
        <v>86</v>
      </c>
      <c r="AW447" t="s">
        <v>23</v>
      </c>
      <c r="AX447" t="s">
        <v>24</v>
      </c>
      <c r="AY447" t="s">
        <v>25</v>
      </c>
      <c r="AZ447" t="s">
        <v>197</v>
      </c>
      <c r="BA447" t="s">
        <v>589</v>
      </c>
      <c r="BB447">
        <v>0</v>
      </c>
      <c r="BC447">
        <v>0</v>
      </c>
      <c r="BD447" t="s">
        <v>199</v>
      </c>
      <c r="BE447" t="s">
        <v>199</v>
      </c>
      <c r="BF447">
        <v>0</v>
      </c>
      <c r="BG447">
        <v>0</v>
      </c>
      <c r="BH447" t="s">
        <v>200</v>
      </c>
      <c r="BI447">
        <v>13</v>
      </c>
      <c r="BJ447">
        <v>6390100</v>
      </c>
      <c r="BK447" t="s">
        <v>201</v>
      </c>
      <c r="BL447" t="s">
        <v>190</v>
      </c>
    </row>
    <row r="448" spans="1:64" x14ac:dyDescent="0.3">
      <c r="A448">
        <v>223</v>
      </c>
      <c r="B448" t="s">
        <v>186</v>
      </c>
      <c r="C448">
        <v>3</v>
      </c>
      <c r="D448">
        <v>6390100</v>
      </c>
      <c r="E448" t="s">
        <v>202</v>
      </c>
      <c r="F448" t="s">
        <v>188</v>
      </c>
      <c r="G448">
        <v>10219025</v>
      </c>
      <c r="H448" s="35">
        <v>46175</v>
      </c>
      <c r="I448" s="35">
        <v>46175</v>
      </c>
      <c r="J448">
        <v>2026</v>
      </c>
      <c r="K448">
        <v>6</v>
      </c>
      <c r="L448" t="s">
        <v>189</v>
      </c>
      <c r="M448">
        <v>1</v>
      </c>
      <c r="N448" t="s">
        <v>190</v>
      </c>
      <c r="O448" t="s">
        <v>191</v>
      </c>
      <c r="P448" t="s">
        <v>199</v>
      </c>
      <c r="Q448" t="s">
        <v>199</v>
      </c>
      <c r="R448">
        <v>23</v>
      </c>
      <c r="S448">
        <v>2</v>
      </c>
      <c r="T448">
        <v>12191</v>
      </c>
      <c r="U448">
        <v>3</v>
      </c>
      <c r="V448" t="s">
        <v>204</v>
      </c>
      <c r="W448" t="s">
        <v>27</v>
      </c>
      <c r="X448" t="s">
        <v>28</v>
      </c>
      <c r="Y448" t="s">
        <v>20</v>
      </c>
      <c r="Z448" t="s">
        <v>20</v>
      </c>
      <c r="AA448">
        <v>91</v>
      </c>
      <c r="AB448">
        <v>800088</v>
      </c>
      <c r="AC448" t="s">
        <v>276</v>
      </c>
      <c r="AD448" t="s">
        <v>277</v>
      </c>
      <c r="AE448">
        <v>0.25</v>
      </c>
      <c r="AF448">
        <v>2</v>
      </c>
      <c r="AG448">
        <v>364.41</v>
      </c>
      <c r="AH448">
        <v>0</v>
      </c>
      <c r="AI448">
        <v>0</v>
      </c>
      <c r="AJ448">
        <v>0</v>
      </c>
      <c r="AK448">
        <v>131.19</v>
      </c>
      <c r="AL448">
        <v>728.82</v>
      </c>
      <c r="AM448">
        <v>860</v>
      </c>
      <c r="AN448">
        <v>91</v>
      </c>
      <c r="AO448" t="s">
        <v>22</v>
      </c>
      <c r="AP448" t="s">
        <v>26</v>
      </c>
      <c r="AQ448">
        <v>10</v>
      </c>
      <c r="AR448">
        <v>105</v>
      </c>
      <c r="AS448" t="s">
        <v>85</v>
      </c>
      <c r="AT448">
        <v>677001</v>
      </c>
      <c r="AU448" t="s">
        <v>273</v>
      </c>
      <c r="AV448" t="s">
        <v>86</v>
      </c>
      <c r="AW448" t="s">
        <v>23</v>
      </c>
      <c r="AX448" t="s">
        <v>24</v>
      </c>
      <c r="AY448" t="s">
        <v>25</v>
      </c>
      <c r="AZ448" t="s">
        <v>197</v>
      </c>
      <c r="BA448" t="s">
        <v>589</v>
      </c>
      <c r="BB448">
        <v>0</v>
      </c>
      <c r="BC448">
        <v>0</v>
      </c>
      <c r="BD448" t="s">
        <v>199</v>
      </c>
      <c r="BE448" t="s">
        <v>199</v>
      </c>
      <c r="BF448">
        <v>0</v>
      </c>
      <c r="BG448">
        <v>0</v>
      </c>
      <c r="BH448" t="s">
        <v>200</v>
      </c>
      <c r="BI448">
        <v>13</v>
      </c>
      <c r="BJ448">
        <v>6390100</v>
      </c>
      <c r="BK448" t="s">
        <v>201</v>
      </c>
      <c r="BL448" t="s">
        <v>190</v>
      </c>
    </row>
    <row r="449" spans="1:64" x14ac:dyDescent="0.3">
      <c r="A449">
        <v>223</v>
      </c>
      <c r="B449" t="s">
        <v>186</v>
      </c>
      <c r="C449">
        <v>3</v>
      </c>
      <c r="D449">
        <v>6390100</v>
      </c>
      <c r="E449" t="s">
        <v>202</v>
      </c>
      <c r="F449" t="s">
        <v>188</v>
      </c>
      <c r="G449">
        <v>10219025</v>
      </c>
      <c r="H449" s="35">
        <v>46175</v>
      </c>
      <c r="I449" s="35">
        <v>46175</v>
      </c>
      <c r="J449">
        <v>2026</v>
      </c>
      <c r="K449">
        <v>6</v>
      </c>
      <c r="L449" t="s">
        <v>189</v>
      </c>
      <c r="M449">
        <v>1</v>
      </c>
      <c r="N449" t="s">
        <v>190</v>
      </c>
      <c r="O449" t="s">
        <v>191</v>
      </c>
      <c r="P449" t="s">
        <v>199</v>
      </c>
      <c r="Q449" t="s">
        <v>199</v>
      </c>
      <c r="R449">
        <v>23</v>
      </c>
      <c r="S449">
        <v>2</v>
      </c>
      <c r="T449">
        <v>12191</v>
      </c>
      <c r="U449">
        <v>3</v>
      </c>
      <c r="V449" t="s">
        <v>204</v>
      </c>
      <c r="W449" t="s">
        <v>27</v>
      </c>
      <c r="X449" t="s">
        <v>28</v>
      </c>
      <c r="Y449" t="s">
        <v>20</v>
      </c>
      <c r="Z449" t="s">
        <v>20</v>
      </c>
      <c r="AA449">
        <v>91</v>
      </c>
      <c r="AB449">
        <v>101038</v>
      </c>
      <c r="AC449" t="s">
        <v>271</v>
      </c>
      <c r="AD449" t="s">
        <v>272</v>
      </c>
      <c r="AE449">
        <v>0.4</v>
      </c>
      <c r="AF449">
        <v>4</v>
      </c>
      <c r="AG449">
        <v>364.41</v>
      </c>
      <c r="AH449">
        <v>0</v>
      </c>
      <c r="AI449">
        <v>0</v>
      </c>
      <c r="AJ449">
        <v>0</v>
      </c>
      <c r="AK449">
        <v>262.38</v>
      </c>
      <c r="AL449">
        <v>1457.64</v>
      </c>
      <c r="AM449">
        <v>1720</v>
      </c>
      <c r="AN449">
        <v>91</v>
      </c>
      <c r="AO449" t="s">
        <v>22</v>
      </c>
      <c r="AP449" t="s">
        <v>26</v>
      </c>
      <c r="AQ449">
        <v>10</v>
      </c>
      <c r="AR449">
        <v>105</v>
      </c>
      <c r="AS449" t="s">
        <v>85</v>
      </c>
      <c r="AT449">
        <v>677001</v>
      </c>
      <c r="AU449" t="s">
        <v>273</v>
      </c>
      <c r="AV449" t="s">
        <v>86</v>
      </c>
      <c r="AW449" t="s">
        <v>23</v>
      </c>
      <c r="AX449" t="s">
        <v>24</v>
      </c>
      <c r="AY449" t="s">
        <v>25</v>
      </c>
      <c r="AZ449" t="s">
        <v>197</v>
      </c>
      <c r="BA449" t="s">
        <v>589</v>
      </c>
      <c r="BB449">
        <v>0</v>
      </c>
      <c r="BC449">
        <v>0</v>
      </c>
      <c r="BD449" t="s">
        <v>199</v>
      </c>
      <c r="BE449" t="s">
        <v>199</v>
      </c>
      <c r="BF449">
        <v>0</v>
      </c>
      <c r="BG449">
        <v>0</v>
      </c>
      <c r="BH449" t="s">
        <v>200</v>
      </c>
      <c r="BI449">
        <v>13</v>
      </c>
      <c r="BJ449">
        <v>6390100</v>
      </c>
      <c r="BK449" t="s">
        <v>201</v>
      </c>
      <c r="BL449" t="s">
        <v>190</v>
      </c>
    </row>
    <row r="450" spans="1:64" x14ac:dyDescent="0.3">
      <c r="A450">
        <v>223</v>
      </c>
      <c r="B450" t="s">
        <v>186</v>
      </c>
      <c r="C450">
        <v>3</v>
      </c>
      <c r="D450">
        <v>6390100</v>
      </c>
      <c r="E450" t="s">
        <v>202</v>
      </c>
      <c r="F450" t="s">
        <v>188</v>
      </c>
      <c r="G450">
        <v>10219025</v>
      </c>
      <c r="H450" s="35">
        <v>46175</v>
      </c>
      <c r="I450" s="35">
        <v>46175</v>
      </c>
      <c r="J450">
        <v>2026</v>
      </c>
      <c r="K450">
        <v>6</v>
      </c>
      <c r="L450" t="s">
        <v>189</v>
      </c>
      <c r="M450">
        <v>1</v>
      </c>
      <c r="N450" t="s">
        <v>190</v>
      </c>
      <c r="O450" t="s">
        <v>191</v>
      </c>
      <c r="P450" t="s">
        <v>199</v>
      </c>
      <c r="Q450" t="s">
        <v>199</v>
      </c>
      <c r="R450">
        <v>23</v>
      </c>
      <c r="S450">
        <v>2</v>
      </c>
      <c r="T450">
        <v>12191</v>
      </c>
      <c r="U450">
        <v>3</v>
      </c>
      <c r="V450" t="s">
        <v>204</v>
      </c>
      <c r="W450" t="s">
        <v>27</v>
      </c>
      <c r="X450" t="s">
        <v>28</v>
      </c>
      <c r="Y450" t="s">
        <v>20</v>
      </c>
      <c r="Z450" t="s">
        <v>20</v>
      </c>
      <c r="AA450">
        <v>91</v>
      </c>
      <c r="AB450">
        <v>201001</v>
      </c>
      <c r="AC450" t="s">
        <v>248</v>
      </c>
      <c r="AD450" t="s">
        <v>249</v>
      </c>
      <c r="AE450">
        <v>5</v>
      </c>
      <c r="AF450">
        <v>5</v>
      </c>
      <c r="AG450">
        <v>221.67</v>
      </c>
      <c r="AH450">
        <v>0</v>
      </c>
      <c r="AI450">
        <v>0</v>
      </c>
      <c r="AJ450">
        <v>0</v>
      </c>
      <c r="AK450">
        <v>199.5</v>
      </c>
      <c r="AL450">
        <v>1108.3499999999999</v>
      </c>
      <c r="AM450">
        <v>1308</v>
      </c>
      <c r="AN450">
        <v>91</v>
      </c>
      <c r="AO450" t="s">
        <v>22</v>
      </c>
      <c r="AP450" t="s">
        <v>26</v>
      </c>
      <c r="AQ450">
        <v>10</v>
      </c>
      <c r="AR450">
        <v>113</v>
      </c>
      <c r="AS450" t="s">
        <v>89</v>
      </c>
      <c r="AT450">
        <v>82101</v>
      </c>
      <c r="AU450" t="s">
        <v>252</v>
      </c>
      <c r="AV450" t="s">
        <v>80</v>
      </c>
      <c r="AW450" t="s">
        <v>23</v>
      </c>
      <c r="AX450" t="s">
        <v>24</v>
      </c>
      <c r="AY450" t="s">
        <v>25</v>
      </c>
      <c r="AZ450" t="s">
        <v>197</v>
      </c>
      <c r="BA450" t="s">
        <v>589</v>
      </c>
      <c r="BB450">
        <v>0</v>
      </c>
      <c r="BC450">
        <v>0</v>
      </c>
      <c r="BD450" t="s">
        <v>199</v>
      </c>
      <c r="BE450" t="s">
        <v>199</v>
      </c>
      <c r="BF450">
        <v>0</v>
      </c>
      <c r="BG450">
        <v>0</v>
      </c>
      <c r="BH450" t="s">
        <v>200</v>
      </c>
      <c r="BI450">
        <v>13</v>
      </c>
      <c r="BJ450">
        <v>6390100</v>
      </c>
      <c r="BK450" t="s">
        <v>201</v>
      </c>
      <c r="BL450" t="s">
        <v>190</v>
      </c>
    </row>
    <row r="451" spans="1:64" x14ac:dyDescent="0.3">
      <c r="A451">
        <v>289</v>
      </c>
      <c r="B451" t="s">
        <v>186</v>
      </c>
      <c r="C451">
        <v>3</v>
      </c>
      <c r="D451">
        <v>6392842</v>
      </c>
      <c r="E451" t="s">
        <v>379</v>
      </c>
      <c r="F451" t="s">
        <v>188</v>
      </c>
      <c r="G451">
        <v>10221767</v>
      </c>
      <c r="H451" s="35">
        <v>46177</v>
      </c>
      <c r="I451" s="35">
        <v>46177</v>
      </c>
      <c r="J451">
        <v>2026</v>
      </c>
      <c r="K451">
        <v>6</v>
      </c>
      <c r="L451" t="s">
        <v>189</v>
      </c>
      <c r="M451">
        <v>1</v>
      </c>
      <c r="N451" t="s">
        <v>190</v>
      </c>
      <c r="O451" t="s">
        <v>191</v>
      </c>
      <c r="P451" t="s">
        <v>199</v>
      </c>
      <c r="Q451" t="s">
        <v>199</v>
      </c>
      <c r="R451">
        <v>23</v>
      </c>
      <c r="S451">
        <v>4</v>
      </c>
      <c r="T451">
        <v>37594</v>
      </c>
      <c r="U451">
        <v>3</v>
      </c>
      <c r="V451" t="s">
        <v>234</v>
      </c>
      <c r="W451" t="s">
        <v>47</v>
      </c>
      <c r="X451" t="s">
        <v>19</v>
      </c>
      <c r="Y451" t="s">
        <v>30</v>
      </c>
      <c r="Z451" t="s">
        <v>30</v>
      </c>
      <c r="AA451">
        <v>72</v>
      </c>
      <c r="AB451">
        <v>101026</v>
      </c>
      <c r="AC451" t="s">
        <v>372</v>
      </c>
      <c r="AD451" t="s">
        <v>373</v>
      </c>
      <c r="AE451">
        <v>0.5</v>
      </c>
      <c r="AF451">
        <v>18</v>
      </c>
      <c r="AG451">
        <v>32.729999999999997</v>
      </c>
      <c r="AH451">
        <v>0</v>
      </c>
      <c r="AI451">
        <v>0</v>
      </c>
      <c r="AJ451">
        <v>0</v>
      </c>
      <c r="AK451">
        <v>106.05</v>
      </c>
      <c r="AL451">
        <v>589.14</v>
      </c>
      <c r="AM451">
        <v>695</v>
      </c>
      <c r="AN451">
        <v>72</v>
      </c>
      <c r="AO451" t="s">
        <v>49</v>
      </c>
      <c r="AP451" t="s">
        <v>53</v>
      </c>
      <c r="AQ451">
        <v>10</v>
      </c>
      <c r="AR451">
        <v>136</v>
      </c>
      <c r="AS451" t="s">
        <v>87</v>
      </c>
      <c r="AT451">
        <v>677001</v>
      </c>
      <c r="AU451" t="s">
        <v>273</v>
      </c>
      <c r="AV451" t="s">
        <v>86</v>
      </c>
      <c r="AW451" t="s">
        <v>50</v>
      </c>
      <c r="AX451" t="s">
        <v>51</v>
      </c>
      <c r="AY451" t="s">
        <v>52</v>
      </c>
      <c r="AZ451" t="s">
        <v>240</v>
      </c>
      <c r="BA451" t="s">
        <v>590</v>
      </c>
      <c r="BB451">
        <v>0</v>
      </c>
      <c r="BC451">
        <v>0</v>
      </c>
      <c r="BD451" t="s">
        <v>199</v>
      </c>
      <c r="BE451" t="s">
        <v>199</v>
      </c>
      <c r="BF451">
        <v>0</v>
      </c>
      <c r="BG451">
        <v>0</v>
      </c>
      <c r="BH451" t="s">
        <v>200</v>
      </c>
      <c r="BI451">
        <v>3</v>
      </c>
      <c r="BJ451">
        <v>6392842</v>
      </c>
      <c r="BK451" t="s">
        <v>201</v>
      </c>
      <c r="BL451" t="s">
        <v>190</v>
      </c>
    </row>
    <row r="452" spans="1:64" x14ac:dyDescent="0.3">
      <c r="A452">
        <v>289</v>
      </c>
      <c r="B452" t="s">
        <v>186</v>
      </c>
      <c r="C452">
        <v>3</v>
      </c>
      <c r="D452">
        <v>6392842</v>
      </c>
      <c r="E452" t="s">
        <v>379</v>
      </c>
      <c r="F452" t="s">
        <v>188</v>
      </c>
      <c r="G452">
        <v>10221767</v>
      </c>
      <c r="H452" s="35">
        <v>46177</v>
      </c>
      <c r="I452" s="35">
        <v>46177</v>
      </c>
      <c r="J452">
        <v>2026</v>
      </c>
      <c r="K452">
        <v>6</v>
      </c>
      <c r="L452" t="s">
        <v>189</v>
      </c>
      <c r="M452">
        <v>1</v>
      </c>
      <c r="N452" t="s">
        <v>190</v>
      </c>
      <c r="O452" t="s">
        <v>191</v>
      </c>
      <c r="P452" t="s">
        <v>199</v>
      </c>
      <c r="Q452" t="s">
        <v>199</v>
      </c>
      <c r="R452">
        <v>23</v>
      </c>
      <c r="S452">
        <v>4</v>
      </c>
      <c r="T452">
        <v>37594</v>
      </c>
      <c r="U452">
        <v>3</v>
      </c>
      <c r="V452" t="s">
        <v>234</v>
      </c>
      <c r="W452" t="s">
        <v>47</v>
      </c>
      <c r="X452" t="s">
        <v>19</v>
      </c>
      <c r="Y452" t="s">
        <v>30</v>
      </c>
      <c r="Z452" t="s">
        <v>30</v>
      </c>
      <c r="AA452">
        <v>72</v>
      </c>
      <c r="AB452">
        <v>101028</v>
      </c>
      <c r="AC452" t="s">
        <v>325</v>
      </c>
      <c r="AD452" t="s">
        <v>326</v>
      </c>
      <c r="AE452">
        <v>1</v>
      </c>
      <c r="AF452">
        <v>18</v>
      </c>
      <c r="AG452">
        <v>97.42</v>
      </c>
      <c r="AH452">
        <v>0</v>
      </c>
      <c r="AI452">
        <v>0</v>
      </c>
      <c r="AJ452">
        <v>0</v>
      </c>
      <c r="AK452">
        <v>315.64</v>
      </c>
      <c r="AL452">
        <v>1753.56</v>
      </c>
      <c r="AM452">
        <v>2069</v>
      </c>
      <c r="AN452">
        <v>72</v>
      </c>
      <c r="AO452" t="s">
        <v>49</v>
      </c>
      <c r="AP452" t="s">
        <v>53</v>
      </c>
      <c r="AQ452">
        <v>10</v>
      </c>
      <c r="AR452">
        <v>105</v>
      </c>
      <c r="AS452" t="s">
        <v>85</v>
      </c>
      <c r="AT452">
        <v>677001</v>
      </c>
      <c r="AU452" t="s">
        <v>273</v>
      </c>
      <c r="AV452" t="s">
        <v>86</v>
      </c>
      <c r="AW452" t="s">
        <v>50</v>
      </c>
      <c r="AX452" t="s">
        <v>51</v>
      </c>
      <c r="AY452" t="s">
        <v>52</v>
      </c>
      <c r="AZ452" t="s">
        <v>240</v>
      </c>
      <c r="BA452" t="s">
        <v>590</v>
      </c>
      <c r="BB452">
        <v>0</v>
      </c>
      <c r="BC452">
        <v>0</v>
      </c>
      <c r="BD452" t="s">
        <v>199</v>
      </c>
      <c r="BE452" t="s">
        <v>199</v>
      </c>
      <c r="BF452">
        <v>0</v>
      </c>
      <c r="BG452">
        <v>0</v>
      </c>
      <c r="BH452" t="s">
        <v>200</v>
      </c>
      <c r="BI452">
        <v>3</v>
      </c>
      <c r="BJ452">
        <v>6392842</v>
      </c>
      <c r="BK452" t="s">
        <v>201</v>
      </c>
      <c r="BL452" t="s">
        <v>190</v>
      </c>
    </row>
    <row r="453" spans="1:64" x14ac:dyDescent="0.3">
      <c r="A453">
        <v>289</v>
      </c>
      <c r="B453" t="s">
        <v>186</v>
      </c>
      <c r="C453">
        <v>3</v>
      </c>
      <c r="D453">
        <v>6392842</v>
      </c>
      <c r="E453" t="s">
        <v>379</v>
      </c>
      <c r="F453" t="s">
        <v>188</v>
      </c>
      <c r="G453">
        <v>10221767</v>
      </c>
      <c r="H453" s="35">
        <v>46177</v>
      </c>
      <c r="I453" s="35">
        <v>46177</v>
      </c>
      <c r="J453">
        <v>2026</v>
      </c>
      <c r="K453">
        <v>6</v>
      </c>
      <c r="L453" t="s">
        <v>189</v>
      </c>
      <c r="M453">
        <v>1</v>
      </c>
      <c r="N453" t="s">
        <v>190</v>
      </c>
      <c r="O453" t="s">
        <v>191</v>
      </c>
      <c r="P453" t="s">
        <v>199</v>
      </c>
      <c r="Q453" t="s">
        <v>199</v>
      </c>
      <c r="R453">
        <v>23</v>
      </c>
      <c r="S453">
        <v>4</v>
      </c>
      <c r="T453">
        <v>37594</v>
      </c>
      <c r="U453">
        <v>3</v>
      </c>
      <c r="V453" t="s">
        <v>234</v>
      </c>
      <c r="W453" t="s">
        <v>47</v>
      </c>
      <c r="X453" t="s">
        <v>19</v>
      </c>
      <c r="Y453" t="s">
        <v>30</v>
      </c>
      <c r="Z453" t="s">
        <v>30</v>
      </c>
      <c r="AA453">
        <v>72</v>
      </c>
      <c r="AB453">
        <v>101027</v>
      </c>
      <c r="AC453" t="s">
        <v>323</v>
      </c>
      <c r="AD453" t="s">
        <v>324</v>
      </c>
      <c r="AE453">
        <v>0.5</v>
      </c>
      <c r="AF453">
        <v>12</v>
      </c>
      <c r="AG453">
        <v>72.680000000000007</v>
      </c>
      <c r="AH453">
        <v>0</v>
      </c>
      <c r="AI453">
        <v>0</v>
      </c>
      <c r="AJ453">
        <v>0</v>
      </c>
      <c r="AK453">
        <v>156.99</v>
      </c>
      <c r="AL453">
        <v>872.16</v>
      </c>
      <c r="AM453">
        <v>1029</v>
      </c>
      <c r="AN453">
        <v>72</v>
      </c>
      <c r="AO453" t="s">
        <v>49</v>
      </c>
      <c r="AP453" t="s">
        <v>53</v>
      </c>
      <c r="AQ453">
        <v>10</v>
      </c>
      <c r="AR453">
        <v>105</v>
      </c>
      <c r="AS453" t="s">
        <v>85</v>
      </c>
      <c r="AT453">
        <v>677001</v>
      </c>
      <c r="AU453" t="s">
        <v>273</v>
      </c>
      <c r="AV453" t="s">
        <v>86</v>
      </c>
      <c r="AW453" t="s">
        <v>50</v>
      </c>
      <c r="AX453" t="s">
        <v>51</v>
      </c>
      <c r="AY453" t="s">
        <v>52</v>
      </c>
      <c r="AZ453" t="s">
        <v>240</v>
      </c>
      <c r="BA453" t="s">
        <v>590</v>
      </c>
      <c r="BB453">
        <v>0</v>
      </c>
      <c r="BC453">
        <v>0</v>
      </c>
      <c r="BD453" t="s">
        <v>199</v>
      </c>
      <c r="BE453" t="s">
        <v>199</v>
      </c>
      <c r="BF453">
        <v>0</v>
      </c>
      <c r="BG453">
        <v>0</v>
      </c>
      <c r="BH453" t="s">
        <v>200</v>
      </c>
      <c r="BI453">
        <v>3</v>
      </c>
      <c r="BJ453">
        <v>6392842</v>
      </c>
      <c r="BK453" t="s">
        <v>201</v>
      </c>
      <c r="BL453" t="s">
        <v>190</v>
      </c>
    </row>
    <row r="454" spans="1:64" x14ac:dyDescent="0.3">
      <c r="A454">
        <v>289</v>
      </c>
      <c r="B454" t="s">
        <v>186</v>
      </c>
      <c r="C454">
        <v>3</v>
      </c>
      <c r="D454">
        <v>6392842</v>
      </c>
      <c r="E454" t="s">
        <v>379</v>
      </c>
      <c r="F454" t="s">
        <v>188</v>
      </c>
      <c r="G454">
        <v>10221767</v>
      </c>
      <c r="H454" s="35">
        <v>46177</v>
      </c>
      <c r="I454" s="35">
        <v>46177</v>
      </c>
      <c r="J454">
        <v>2026</v>
      </c>
      <c r="K454">
        <v>6</v>
      </c>
      <c r="L454" t="s">
        <v>189</v>
      </c>
      <c r="M454">
        <v>1</v>
      </c>
      <c r="N454" t="s">
        <v>190</v>
      </c>
      <c r="O454" t="s">
        <v>191</v>
      </c>
      <c r="P454" t="s">
        <v>199</v>
      </c>
      <c r="Q454" t="s">
        <v>199</v>
      </c>
      <c r="R454">
        <v>23</v>
      </c>
      <c r="S454">
        <v>4</v>
      </c>
      <c r="T454">
        <v>37594</v>
      </c>
      <c r="U454">
        <v>3</v>
      </c>
      <c r="V454" t="s">
        <v>234</v>
      </c>
      <c r="W454" t="s">
        <v>47</v>
      </c>
      <c r="X454" t="s">
        <v>19</v>
      </c>
      <c r="Y454" t="s">
        <v>30</v>
      </c>
      <c r="Z454" t="s">
        <v>30</v>
      </c>
      <c r="AA454">
        <v>72</v>
      </c>
      <c r="AB454">
        <v>101005</v>
      </c>
      <c r="AC454" t="s">
        <v>320</v>
      </c>
      <c r="AD454" t="s">
        <v>321</v>
      </c>
      <c r="AE454">
        <v>1</v>
      </c>
      <c r="AF454">
        <v>30</v>
      </c>
      <c r="AG454">
        <v>72.680000000000007</v>
      </c>
      <c r="AH454">
        <v>0</v>
      </c>
      <c r="AI454">
        <v>0</v>
      </c>
      <c r="AJ454">
        <v>0</v>
      </c>
      <c r="AK454">
        <v>392.47</v>
      </c>
      <c r="AL454">
        <v>2180.4</v>
      </c>
      <c r="AM454">
        <v>2573</v>
      </c>
      <c r="AN454">
        <v>72</v>
      </c>
      <c r="AO454" t="s">
        <v>49</v>
      </c>
      <c r="AP454" t="s">
        <v>53</v>
      </c>
      <c r="AQ454">
        <v>10</v>
      </c>
      <c r="AR454">
        <v>105</v>
      </c>
      <c r="AS454" t="s">
        <v>85</v>
      </c>
      <c r="AT454">
        <v>677001</v>
      </c>
      <c r="AU454" t="s">
        <v>273</v>
      </c>
      <c r="AV454" t="s">
        <v>86</v>
      </c>
      <c r="AW454" t="s">
        <v>50</v>
      </c>
      <c r="AX454" t="s">
        <v>51</v>
      </c>
      <c r="AY454" t="s">
        <v>52</v>
      </c>
      <c r="AZ454" t="s">
        <v>240</v>
      </c>
      <c r="BA454" t="s">
        <v>590</v>
      </c>
      <c r="BB454">
        <v>0</v>
      </c>
      <c r="BC454">
        <v>0</v>
      </c>
      <c r="BD454" t="s">
        <v>199</v>
      </c>
      <c r="BE454" t="s">
        <v>199</v>
      </c>
      <c r="BF454">
        <v>0</v>
      </c>
      <c r="BG454">
        <v>0</v>
      </c>
      <c r="BH454" t="s">
        <v>200</v>
      </c>
      <c r="BI454">
        <v>3</v>
      </c>
      <c r="BJ454">
        <v>6392842</v>
      </c>
      <c r="BK454" t="s">
        <v>201</v>
      </c>
      <c r="BL454" t="s">
        <v>190</v>
      </c>
    </row>
    <row r="455" spans="1:64" x14ac:dyDescent="0.3">
      <c r="A455">
        <v>119</v>
      </c>
      <c r="B455" t="s">
        <v>186</v>
      </c>
      <c r="C455">
        <v>3</v>
      </c>
      <c r="D455">
        <v>6392967</v>
      </c>
      <c r="E455" t="s">
        <v>489</v>
      </c>
      <c r="F455" t="s">
        <v>188</v>
      </c>
      <c r="G455">
        <v>10221892</v>
      </c>
      <c r="H455" s="35">
        <v>46177</v>
      </c>
      <c r="I455" s="35">
        <v>46177</v>
      </c>
      <c r="J455">
        <v>2026</v>
      </c>
      <c r="K455">
        <v>6</v>
      </c>
      <c r="L455" t="s">
        <v>189</v>
      </c>
      <c r="M455">
        <v>1</v>
      </c>
      <c r="N455" t="s">
        <v>190</v>
      </c>
      <c r="O455" t="s">
        <v>191</v>
      </c>
      <c r="P455" t="s">
        <v>199</v>
      </c>
      <c r="Q455" t="s">
        <v>199</v>
      </c>
      <c r="R455">
        <v>23</v>
      </c>
      <c r="S455">
        <v>4</v>
      </c>
      <c r="T455">
        <v>36908</v>
      </c>
      <c r="U455">
        <v>3</v>
      </c>
      <c r="V455" t="s">
        <v>215</v>
      </c>
      <c r="W455" t="s">
        <v>67</v>
      </c>
      <c r="X455" t="s">
        <v>28</v>
      </c>
      <c r="Y455" t="s">
        <v>30</v>
      </c>
      <c r="Z455" t="s">
        <v>30</v>
      </c>
      <c r="AA455">
        <v>11</v>
      </c>
      <c r="AB455">
        <v>101038</v>
      </c>
      <c r="AC455" t="s">
        <v>271</v>
      </c>
      <c r="AD455" t="s">
        <v>272</v>
      </c>
      <c r="AE455">
        <v>2</v>
      </c>
      <c r="AF455">
        <v>20</v>
      </c>
      <c r="AG455">
        <v>353.48</v>
      </c>
      <c r="AH455">
        <v>0</v>
      </c>
      <c r="AI455">
        <v>0</v>
      </c>
      <c r="AJ455">
        <v>0</v>
      </c>
      <c r="AK455">
        <v>1272.53</v>
      </c>
      <c r="AL455">
        <v>7069.6</v>
      </c>
      <c r="AM455">
        <v>8342</v>
      </c>
      <c r="AN455">
        <v>11</v>
      </c>
      <c r="AO455" t="s">
        <v>69</v>
      </c>
      <c r="AP455" t="s">
        <v>73</v>
      </c>
      <c r="AQ455">
        <v>10</v>
      </c>
      <c r="AR455">
        <v>105</v>
      </c>
      <c r="AS455" t="s">
        <v>85</v>
      </c>
      <c r="AT455">
        <v>677001</v>
      </c>
      <c r="AU455" t="s">
        <v>273</v>
      </c>
      <c r="AV455" t="s">
        <v>86</v>
      </c>
      <c r="AW455" t="s">
        <v>70</v>
      </c>
      <c r="AX455" t="s">
        <v>71</v>
      </c>
      <c r="AY455" t="s">
        <v>72</v>
      </c>
      <c r="AZ455" t="s">
        <v>221</v>
      </c>
      <c r="BA455" t="s">
        <v>591</v>
      </c>
      <c r="BB455">
        <v>0</v>
      </c>
      <c r="BC455">
        <v>0</v>
      </c>
      <c r="BD455" t="s">
        <v>199</v>
      </c>
      <c r="BE455" t="s">
        <v>199</v>
      </c>
      <c r="BF455">
        <v>0</v>
      </c>
      <c r="BG455">
        <v>0</v>
      </c>
      <c r="BH455" t="s">
        <v>200</v>
      </c>
      <c r="BI455">
        <v>3</v>
      </c>
      <c r="BJ455">
        <v>6392967</v>
      </c>
      <c r="BK455" t="s">
        <v>201</v>
      </c>
      <c r="BL455" t="s">
        <v>190</v>
      </c>
    </row>
    <row r="456" spans="1:64" x14ac:dyDescent="0.3">
      <c r="A456">
        <v>119</v>
      </c>
      <c r="B456" t="s">
        <v>186</v>
      </c>
      <c r="C456">
        <v>3</v>
      </c>
      <c r="D456">
        <v>6392967</v>
      </c>
      <c r="E456" t="s">
        <v>489</v>
      </c>
      <c r="F456" t="s">
        <v>188</v>
      </c>
      <c r="G456">
        <v>10221892</v>
      </c>
      <c r="H456" s="35">
        <v>46177</v>
      </c>
      <c r="I456" s="35">
        <v>46177</v>
      </c>
      <c r="J456">
        <v>2026</v>
      </c>
      <c r="K456">
        <v>6</v>
      </c>
      <c r="L456" t="s">
        <v>189</v>
      </c>
      <c r="M456">
        <v>1</v>
      </c>
      <c r="N456" t="s">
        <v>190</v>
      </c>
      <c r="O456" t="s">
        <v>191</v>
      </c>
      <c r="P456" t="s">
        <v>199</v>
      </c>
      <c r="Q456" t="s">
        <v>199</v>
      </c>
      <c r="R456">
        <v>23</v>
      </c>
      <c r="S456">
        <v>4</v>
      </c>
      <c r="T456">
        <v>36908</v>
      </c>
      <c r="U456">
        <v>3</v>
      </c>
      <c r="V456" t="s">
        <v>215</v>
      </c>
      <c r="W456" t="s">
        <v>67</v>
      </c>
      <c r="X456" t="s">
        <v>28</v>
      </c>
      <c r="Y456" t="s">
        <v>30</v>
      </c>
      <c r="Z456" t="s">
        <v>30</v>
      </c>
      <c r="AA456">
        <v>11</v>
      </c>
      <c r="AB456">
        <v>800089</v>
      </c>
      <c r="AC456" t="s">
        <v>295</v>
      </c>
      <c r="AD456" t="s">
        <v>296</v>
      </c>
      <c r="AE456">
        <v>1</v>
      </c>
      <c r="AF456">
        <v>8</v>
      </c>
      <c r="AG456">
        <v>353.48</v>
      </c>
      <c r="AH456">
        <v>0</v>
      </c>
      <c r="AI456">
        <v>0</v>
      </c>
      <c r="AJ456">
        <v>0</v>
      </c>
      <c r="AK456">
        <v>509.01</v>
      </c>
      <c r="AL456">
        <v>2827.84</v>
      </c>
      <c r="AM456">
        <v>3337</v>
      </c>
      <c r="AN456">
        <v>11</v>
      </c>
      <c r="AO456" t="s">
        <v>69</v>
      </c>
      <c r="AP456" t="s">
        <v>73</v>
      </c>
      <c r="AQ456">
        <v>10</v>
      </c>
      <c r="AR456">
        <v>105</v>
      </c>
      <c r="AS456" t="s">
        <v>85</v>
      </c>
      <c r="AT456">
        <v>677001</v>
      </c>
      <c r="AU456" t="s">
        <v>273</v>
      </c>
      <c r="AV456" t="s">
        <v>86</v>
      </c>
      <c r="AW456" t="s">
        <v>70</v>
      </c>
      <c r="AX456" t="s">
        <v>71</v>
      </c>
      <c r="AY456" t="s">
        <v>72</v>
      </c>
      <c r="AZ456" t="s">
        <v>221</v>
      </c>
      <c r="BA456" t="s">
        <v>591</v>
      </c>
      <c r="BB456">
        <v>0</v>
      </c>
      <c r="BC456">
        <v>0</v>
      </c>
      <c r="BD456" t="s">
        <v>199</v>
      </c>
      <c r="BE456" t="s">
        <v>199</v>
      </c>
      <c r="BF456">
        <v>0</v>
      </c>
      <c r="BG456">
        <v>0</v>
      </c>
      <c r="BH456" t="s">
        <v>200</v>
      </c>
      <c r="BI456">
        <v>3</v>
      </c>
      <c r="BJ456">
        <v>6392967</v>
      </c>
      <c r="BK456" t="s">
        <v>201</v>
      </c>
      <c r="BL456" t="s">
        <v>190</v>
      </c>
    </row>
    <row r="457" spans="1:64" x14ac:dyDescent="0.3">
      <c r="A457">
        <v>119</v>
      </c>
      <c r="B457" t="s">
        <v>186</v>
      </c>
      <c r="C457">
        <v>3</v>
      </c>
      <c r="D457">
        <v>6392967</v>
      </c>
      <c r="E457" t="s">
        <v>489</v>
      </c>
      <c r="F457" t="s">
        <v>188</v>
      </c>
      <c r="G457">
        <v>10221892</v>
      </c>
      <c r="H457" s="35">
        <v>46177</v>
      </c>
      <c r="I457" s="35">
        <v>46177</v>
      </c>
      <c r="J457">
        <v>2026</v>
      </c>
      <c r="K457">
        <v>6</v>
      </c>
      <c r="L457" t="s">
        <v>189</v>
      </c>
      <c r="M457">
        <v>1</v>
      </c>
      <c r="N457" t="s">
        <v>190</v>
      </c>
      <c r="O457" t="s">
        <v>191</v>
      </c>
      <c r="P457" t="s">
        <v>199</v>
      </c>
      <c r="Q457" t="s">
        <v>199</v>
      </c>
      <c r="R457">
        <v>23</v>
      </c>
      <c r="S457">
        <v>4</v>
      </c>
      <c r="T457">
        <v>36908</v>
      </c>
      <c r="U457">
        <v>3</v>
      </c>
      <c r="V457" t="s">
        <v>215</v>
      </c>
      <c r="W457" t="s">
        <v>67</v>
      </c>
      <c r="X457" t="s">
        <v>28</v>
      </c>
      <c r="Y457" t="s">
        <v>30</v>
      </c>
      <c r="Z457" t="s">
        <v>30</v>
      </c>
      <c r="AA457">
        <v>11</v>
      </c>
      <c r="AB457">
        <v>800088</v>
      </c>
      <c r="AC457" t="s">
        <v>276</v>
      </c>
      <c r="AD457" t="s">
        <v>277</v>
      </c>
      <c r="AE457">
        <v>1</v>
      </c>
      <c r="AF457">
        <v>8</v>
      </c>
      <c r="AG457">
        <v>353.48</v>
      </c>
      <c r="AH457">
        <v>0</v>
      </c>
      <c r="AI457">
        <v>0</v>
      </c>
      <c r="AJ457">
        <v>0</v>
      </c>
      <c r="AK457">
        <v>509.01</v>
      </c>
      <c r="AL457">
        <v>2827.84</v>
      </c>
      <c r="AM457">
        <v>3337</v>
      </c>
      <c r="AN457">
        <v>11</v>
      </c>
      <c r="AO457" t="s">
        <v>69</v>
      </c>
      <c r="AP457" t="s">
        <v>73</v>
      </c>
      <c r="AQ457">
        <v>10</v>
      </c>
      <c r="AR457">
        <v>105</v>
      </c>
      <c r="AS457" t="s">
        <v>85</v>
      </c>
      <c r="AT457">
        <v>677001</v>
      </c>
      <c r="AU457" t="s">
        <v>273</v>
      </c>
      <c r="AV457" t="s">
        <v>86</v>
      </c>
      <c r="AW457" t="s">
        <v>70</v>
      </c>
      <c r="AX457" t="s">
        <v>71</v>
      </c>
      <c r="AY457" t="s">
        <v>72</v>
      </c>
      <c r="AZ457" t="s">
        <v>221</v>
      </c>
      <c r="BA457" t="s">
        <v>591</v>
      </c>
      <c r="BB457">
        <v>0</v>
      </c>
      <c r="BC457">
        <v>0</v>
      </c>
      <c r="BD457" t="s">
        <v>199</v>
      </c>
      <c r="BE457" t="s">
        <v>199</v>
      </c>
      <c r="BF457">
        <v>0</v>
      </c>
      <c r="BG457">
        <v>0</v>
      </c>
      <c r="BH457" t="s">
        <v>200</v>
      </c>
      <c r="BI457">
        <v>3</v>
      </c>
      <c r="BJ457">
        <v>6392967</v>
      </c>
      <c r="BK457" t="s">
        <v>201</v>
      </c>
      <c r="BL457" t="s">
        <v>190</v>
      </c>
    </row>
    <row r="458" spans="1:64" x14ac:dyDescent="0.3">
      <c r="A458">
        <v>109</v>
      </c>
      <c r="B458" t="s">
        <v>186</v>
      </c>
      <c r="C458">
        <v>3</v>
      </c>
      <c r="D458">
        <v>6393277</v>
      </c>
      <c r="E458" t="s">
        <v>187</v>
      </c>
      <c r="F458" t="s">
        <v>188</v>
      </c>
      <c r="G458">
        <v>10222202</v>
      </c>
      <c r="H458" s="35">
        <v>46177</v>
      </c>
      <c r="I458" s="35">
        <v>46177</v>
      </c>
      <c r="J458">
        <v>2026</v>
      </c>
      <c r="K458">
        <v>6</v>
      </c>
      <c r="L458" t="s">
        <v>189</v>
      </c>
      <c r="M458">
        <v>1</v>
      </c>
      <c r="N458" t="s">
        <v>190</v>
      </c>
      <c r="O458" t="s">
        <v>191</v>
      </c>
      <c r="P458" t="s">
        <v>199</v>
      </c>
      <c r="Q458" t="s">
        <v>199</v>
      </c>
      <c r="R458">
        <v>23</v>
      </c>
      <c r="S458">
        <v>4</v>
      </c>
      <c r="T458">
        <v>2280</v>
      </c>
      <c r="U458">
        <v>3</v>
      </c>
      <c r="V458" t="s">
        <v>193</v>
      </c>
      <c r="W458" t="s">
        <v>29</v>
      </c>
      <c r="X458" t="s">
        <v>19</v>
      </c>
      <c r="Y458" t="s">
        <v>30</v>
      </c>
      <c r="Z458" t="s">
        <v>30</v>
      </c>
      <c r="AA458">
        <v>14</v>
      </c>
      <c r="AB458">
        <v>201001</v>
      </c>
      <c r="AC458" t="s">
        <v>248</v>
      </c>
      <c r="AD458" t="s">
        <v>249</v>
      </c>
      <c r="AE458">
        <v>3</v>
      </c>
      <c r="AF458">
        <v>3</v>
      </c>
      <c r="AG458">
        <v>221.67</v>
      </c>
      <c r="AH458">
        <v>0</v>
      </c>
      <c r="AI458">
        <v>0</v>
      </c>
      <c r="AJ458">
        <v>0</v>
      </c>
      <c r="AK458">
        <v>119.7</v>
      </c>
      <c r="AL458">
        <v>665.01</v>
      </c>
      <c r="AM458">
        <v>785</v>
      </c>
      <c r="AN458">
        <v>14</v>
      </c>
      <c r="AO458" t="s">
        <v>32</v>
      </c>
      <c r="AP458" t="s">
        <v>34</v>
      </c>
      <c r="AQ458">
        <v>10</v>
      </c>
      <c r="AR458">
        <v>113</v>
      </c>
      <c r="AS458" t="s">
        <v>89</v>
      </c>
      <c r="AT458">
        <v>82101</v>
      </c>
      <c r="AU458" t="s">
        <v>252</v>
      </c>
      <c r="AV458" t="s">
        <v>80</v>
      </c>
      <c r="AW458" t="s">
        <v>23</v>
      </c>
      <c r="AX458" t="s">
        <v>24</v>
      </c>
      <c r="AY458" t="s">
        <v>33</v>
      </c>
      <c r="AZ458" t="s">
        <v>197</v>
      </c>
      <c r="BA458" t="s">
        <v>592</v>
      </c>
      <c r="BB458">
        <v>0</v>
      </c>
      <c r="BC458">
        <v>0</v>
      </c>
      <c r="BD458" t="s">
        <v>199</v>
      </c>
      <c r="BE458" t="s">
        <v>199</v>
      </c>
      <c r="BF458">
        <v>0</v>
      </c>
      <c r="BG458">
        <v>0</v>
      </c>
      <c r="BH458" t="s">
        <v>200</v>
      </c>
      <c r="BI458">
        <v>3</v>
      </c>
      <c r="BJ458">
        <v>6393277</v>
      </c>
      <c r="BK458" t="s">
        <v>201</v>
      </c>
      <c r="BL458" t="s">
        <v>190</v>
      </c>
    </row>
    <row r="459" spans="1:64" x14ac:dyDescent="0.3">
      <c r="A459">
        <v>223</v>
      </c>
      <c r="B459" t="s">
        <v>186</v>
      </c>
      <c r="C459">
        <v>3</v>
      </c>
      <c r="D459">
        <v>6394286</v>
      </c>
      <c r="E459" t="s">
        <v>202</v>
      </c>
      <c r="F459" t="s">
        <v>188</v>
      </c>
      <c r="G459">
        <v>10223211</v>
      </c>
      <c r="H459" s="35">
        <v>46178</v>
      </c>
      <c r="I459" s="35">
        <v>46178</v>
      </c>
      <c r="J459">
        <v>2026</v>
      </c>
      <c r="K459">
        <v>6</v>
      </c>
      <c r="L459" t="s">
        <v>189</v>
      </c>
      <c r="M459">
        <v>1</v>
      </c>
      <c r="N459" t="s">
        <v>190</v>
      </c>
      <c r="O459" t="s">
        <v>191</v>
      </c>
      <c r="P459" t="s">
        <v>199</v>
      </c>
      <c r="Q459" t="s">
        <v>199</v>
      </c>
      <c r="R459">
        <v>23</v>
      </c>
      <c r="S459">
        <v>5</v>
      </c>
      <c r="T459">
        <v>14167</v>
      </c>
      <c r="U459">
        <v>3</v>
      </c>
      <c r="V459" t="s">
        <v>208</v>
      </c>
      <c r="W459" t="s">
        <v>18</v>
      </c>
      <c r="X459" t="s">
        <v>19</v>
      </c>
      <c r="Y459" t="s">
        <v>20</v>
      </c>
      <c r="Z459" t="s">
        <v>20</v>
      </c>
      <c r="AA459">
        <v>91</v>
      </c>
      <c r="AB459">
        <v>800089</v>
      </c>
      <c r="AC459" t="s">
        <v>295</v>
      </c>
      <c r="AD459" t="s">
        <v>296</v>
      </c>
      <c r="AE459">
        <v>1</v>
      </c>
      <c r="AF459">
        <v>8</v>
      </c>
      <c r="AG459">
        <v>364.41</v>
      </c>
      <c r="AH459">
        <v>0</v>
      </c>
      <c r="AI459">
        <v>0</v>
      </c>
      <c r="AJ459">
        <v>0</v>
      </c>
      <c r="AK459">
        <v>524.75</v>
      </c>
      <c r="AL459">
        <v>2915.28</v>
      </c>
      <c r="AM459">
        <v>3440</v>
      </c>
      <c r="AN459">
        <v>91</v>
      </c>
      <c r="AO459" t="s">
        <v>22</v>
      </c>
      <c r="AP459" t="s">
        <v>26</v>
      </c>
      <c r="AQ459">
        <v>10</v>
      </c>
      <c r="AR459">
        <v>105</v>
      </c>
      <c r="AS459" t="s">
        <v>85</v>
      </c>
      <c r="AT459">
        <v>677001</v>
      </c>
      <c r="AU459" t="s">
        <v>273</v>
      </c>
      <c r="AV459" t="s">
        <v>86</v>
      </c>
      <c r="AW459" t="s">
        <v>23</v>
      </c>
      <c r="AX459" t="s">
        <v>24</v>
      </c>
      <c r="AY459" t="s">
        <v>25</v>
      </c>
      <c r="AZ459" t="s">
        <v>197</v>
      </c>
      <c r="BA459" t="s">
        <v>593</v>
      </c>
      <c r="BB459">
        <v>0</v>
      </c>
      <c r="BC459">
        <v>0</v>
      </c>
      <c r="BD459" t="s">
        <v>199</v>
      </c>
      <c r="BE459" t="s">
        <v>199</v>
      </c>
      <c r="BF459">
        <v>0</v>
      </c>
      <c r="BG459">
        <v>0</v>
      </c>
      <c r="BH459" t="s">
        <v>200</v>
      </c>
      <c r="BI459">
        <v>3</v>
      </c>
      <c r="BJ459">
        <v>6394286</v>
      </c>
      <c r="BK459" t="s">
        <v>201</v>
      </c>
      <c r="BL459" t="s">
        <v>190</v>
      </c>
    </row>
    <row r="460" spans="1:64" x14ac:dyDescent="0.3">
      <c r="A460">
        <v>119</v>
      </c>
      <c r="B460" t="s">
        <v>186</v>
      </c>
      <c r="C460">
        <v>3</v>
      </c>
      <c r="D460">
        <v>6395841</v>
      </c>
      <c r="E460" t="s">
        <v>489</v>
      </c>
      <c r="F460" t="s">
        <v>188</v>
      </c>
      <c r="G460">
        <v>10224766</v>
      </c>
      <c r="H460" s="35">
        <v>46179</v>
      </c>
      <c r="I460" s="35">
        <v>46179</v>
      </c>
      <c r="J460">
        <v>2026</v>
      </c>
      <c r="K460">
        <v>6</v>
      </c>
      <c r="L460" t="s">
        <v>189</v>
      </c>
      <c r="M460">
        <v>1</v>
      </c>
      <c r="N460" t="s">
        <v>190</v>
      </c>
      <c r="O460" t="s">
        <v>191</v>
      </c>
      <c r="P460" t="s">
        <v>199</v>
      </c>
      <c r="Q460" t="s">
        <v>199</v>
      </c>
      <c r="R460">
        <v>23</v>
      </c>
      <c r="S460">
        <v>6</v>
      </c>
      <c r="T460">
        <v>36908</v>
      </c>
      <c r="U460">
        <v>3</v>
      </c>
      <c r="V460" t="s">
        <v>215</v>
      </c>
      <c r="W460" t="s">
        <v>67</v>
      </c>
      <c r="X460" t="s">
        <v>28</v>
      </c>
      <c r="Y460" t="s">
        <v>30</v>
      </c>
      <c r="Z460" t="s">
        <v>30</v>
      </c>
      <c r="AA460">
        <v>11</v>
      </c>
      <c r="AB460">
        <v>621043</v>
      </c>
      <c r="AC460" t="s">
        <v>594</v>
      </c>
      <c r="AD460" t="s">
        <v>595</v>
      </c>
      <c r="AE460">
        <v>6.6666666666660004E-2</v>
      </c>
      <c r="AF460">
        <v>4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11</v>
      </c>
      <c r="AO460" t="s">
        <v>69</v>
      </c>
      <c r="AP460" t="s">
        <v>73</v>
      </c>
      <c r="AQ460">
        <v>10</v>
      </c>
      <c r="AR460">
        <v>138</v>
      </c>
      <c r="AS460" t="s">
        <v>90</v>
      </c>
      <c r="AT460">
        <v>0</v>
      </c>
      <c r="AU460" t="s">
        <v>199</v>
      </c>
      <c r="AV460" t="s">
        <v>91</v>
      </c>
      <c r="AW460" t="s">
        <v>70</v>
      </c>
      <c r="AX460" t="s">
        <v>71</v>
      </c>
      <c r="AY460" t="s">
        <v>72</v>
      </c>
      <c r="AZ460" t="s">
        <v>221</v>
      </c>
      <c r="BA460" t="s">
        <v>596</v>
      </c>
      <c r="BB460">
        <v>0</v>
      </c>
      <c r="BC460">
        <v>1</v>
      </c>
      <c r="BD460">
        <v>3645</v>
      </c>
      <c r="BE460" t="s">
        <v>597</v>
      </c>
      <c r="BF460">
        <v>0</v>
      </c>
      <c r="BG460">
        <v>0</v>
      </c>
      <c r="BH460" t="s">
        <v>200</v>
      </c>
      <c r="BI460">
        <v>3</v>
      </c>
      <c r="BJ460">
        <v>6395841</v>
      </c>
      <c r="BK460" t="s">
        <v>201</v>
      </c>
      <c r="BL460" t="s">
        <v>190</v>
      </c>
    </row>
    <row r="461" spans="1:64" x14ac:dyDescent="0.3">
      <c r="A461">
        <v>119</v>
      </c>
      <c r="B461" t="s">
        <v>186</v>
      </c>
      <c r="C461">
        <v>3</v>
      </c>
      <c r="D461">
        <v>6395841</v>
      </c>
      <c r="E461" t="s">
        <v>489</v>
      </c>
      <c r="F461" t="s">
        <v>188</v>
      </c>
      <c r="G461">
        <v>10224766</v>
      </c>
      <c r="H461" s="35">
        <v>46179</v>
      </c>
      <c r="I461" s="35">
        <v>46179</v>
      </c>
      <c r="J461">
        <v>2026</v>
      </c>
      <c r="K461">
        <v>6</v>
      </c>
      <c r="L461" t="s">
        <v>189</v>
      </c>
      <c r="M461">
        <v>1</v>
      </c>
      <c r="N461" t="s">
        <v>190</v>
      </c>
      <c r="O461" t="s">
        <v>191</v>
      </c>
      <c r="P461" t="s">
        <v>199</v>
      </c>
      <c r="Q461" t="s">
        <v>199</v>
      </c>
      <c r="R461">
        <v>23</v>
      </c>
      <c r="S461">
        <v>6</v>
      </c>
      <c r="T461">
        <v>36908</v>
      </c>
      <c r="U461">
        <v>3</v>
      </c>
      <c r="V461" t="s">
        <v>215</v>
      </c>
      <c r="W461" t="s">
        <v>67</v>
      </c>
      <c r="X461" t="s">
        <v>28</v>
      </c>
      <c r="Y461" t="s">
        <v>30</v>
      </c>
      <c r="Z461" t="s">
        <v>30</v>
      </c>
      <c r="AA461">
        <v>11</v>
      </c>
      <c r="AB461">
        <v>800088</v>
      </c>
      <c r="AC461" t="s">
        <v>276</v>
      </c>
      <c r="AD461" t="s">
        <v>277</v>
      </c>
      <c r="AE461">
        <v>1</v>
      </c>
      <c r="AF461">
        <v>8</v>
      </c>
      <c r="AG461">
        <v>360.77</v>
      </c>
      <c r="AH461">
        <v>0</v>
      </c>
      <c r="AI461">
        <v>0</v>
      </c>
      <c r="AJ461">
        <v>0</v>
      </c>
      <c r="AK461">
        <v>519.51</v>
      </c>
      <c r="AL461">
        <v>2886.16</v>
      </c>
      <c r="AM461">
        <v>3406</v>
      </c>
      <c r="AN461">
        <v>11</v>
      </c>
      <c r="AO461" t="s">
        <v>69</v>
      </c>
      <c r="AP461" t="s">
        <v>73</v>
      </c>
      <c r="AQ461">
        <v>10</v>
      </c>
      <c r="AR461">
        <v>105</v>
      </c>
      <c r="AS461" t="s">
        <v>85</v>
      </c>
      <c r="AT461">
        <v>677001</v>
      </c>
      <c r="AU461" t="s">
        <v>273</v>
      </c>
      <c r="AV461" t="s">
        <v>86</v>
      </c>
      <c r="AW461" t="s">
        <v>70</v>
      </c>
      <c r="AX461" t="s">
        <v>71</v>
      </c>
      <c r="AY461" t="s">
        <v>72</v>
      </c>
      <c r="AZ461" t="s">
        <v>221</v>
      </c>
      <c r="BA461" t="s">
        <v>596</v>
      </c>
      <c r="BB461">
        <v>0</v>
      </c>
      <c r="BC461">
        <v>0</v>
      </c>
      <c r="BD461" t="s">
        <v>199</v>
      </c>
      <c r="BE461" t="s">
        <v>199</v>
      </c>
      <c r="BF461">
        <v>0</v>
      </c>
      <c r="BG461">
        <v>0</v>
      </c>
      <c r="BH461" t="s">
        <v>200</v>
      </c>
      <c r="BI461">
        <v>3</v>
      </c>
      <c r="BJ461">
        <v>6395841</v>
      </c>
      <c r="BK461" t="s">
        <v>201</v>
      </c>
      <c r="BL461" t="s">
        <v>190</v>
      </c>
    </row>
    <row r="462" spans="1:64" x14ac:dyDescent="0.3">
      <c r="A462">
        <v>119</v>
      </c>
      <c r="B462" t="s">
        <v>186</v>
      </c>
      <c r="C462">
        <v>3</v>
      </c>
      <c r="D462">
        <v>6395841</v>
      </c>
      <c r="E462" t="s">
        <v>489</v>
      </c>
      <c r="F462" t="s">
        <v>188</v>
      </c>
      <c r="G462">
        <v>10224766</v>
      </c>
      <c r="H462" s="35">
        <v>46179</v>
      </c>
      <c r="I462" s="35">
        <v>46179</v>
      </c>
      <c r="J462">
        <v>2026</v>
      </c>
      <c r="K462">
        <v>6</v>
      </c>
      <c r="L462" t="s">
        <v>189</v>
      </c>
      <c r="M462">
        <v>1</v>
      </c>
      <c r="N462" t="s">
        <v>190</v>
      </c>
      <c r="O462" t="s">
        <v>191</v>
      </c>
      <c r="P462" t="s">
        <v>199</v>
      </c>
      <c r="Q462" t="s">
        <v>199</v>
      </c>
      <c r="R462">
        <v>23</v>
      </c>
      <c r="S462">
        <v>6</v>
      </c>
      <c r="T462">
        <v>36908</v>
      </c>
      <c r="U462">
        <v>3</v>
      </c>
      <c r="V462" t="s">
        <v>215</v>
      </c>
      <c r="W462" t="s">
        <v>67</v>
      </c>
      <c r="X462" t="s">
        <v>28</v>
      </c>
      <c r="Y462" t="s">
        <v>30</v>
      </c>
      <c r="Z462" t="s">
        <v>30</v>
      </c>
      <c r="AA462">
        <v>11</v>
      </c>
      <c r="AB462">
        <v>101038</v>
      </c>
      <c r="AC462" t="s">
        <v>271</v>
      </c>
      <c r="AD462" t="s">
        <v>272</v>
      </c>
      <c r="AE462">
        <v>0.5</v>
      </c>
      <c r="AF462">
        <v>5</v>
      </c>
      <c r="AG462">
        <v>360.77</v>
      </c>
      <c r="AH462">
        <v>0</v>
      </c>
      <c r="AI462">
        <v>0</v>
      </c>
      <c r="AJ462">
        <v>0</v>
      </c>
      <c r="AK462">
        <v>324.69</v>
      </c>
      <c r="AL462">
        <v>1803.85</v>
      </c>
      <c r="AM462">
        <v>2129</v>
      </c>
      <c r="AN462">
        <v>11</v>
      </c>
      <c r="AO462" t="s">
        <v>69</v>
      </c>
      <c r="AP462" t="s">
        <v>73</v>
      </c>
      <c r="AQ462">
        <v>10</v>
      </c>
      <c r="AR462">
        <v>105</v>
      </c>
      <c r="AS462" t="s">
        <v>85</v>
      </c>
      <c r="AT462">
        <v>677001</v>
      </c>
      <c r="AU462" t="s">
        <v>273</v>
      </c>
      <c r="AV462" t="s">
        <v>86</v>
      </c>
      <c r="AW462" t="s">
        <v>70</v>
      </c>
      <c r="AX462" t="s">
        <v>71</v>
      </c>
      <c r="AY462" t="s">
        <v>72</v>
      </c>
      <c r="AZ462" t="s">
        <v>221</v>
      </c>
      <c r="BA462" t="s">
        <v>596</v>
      </c>
      <c r="BB462">
        <v>0</v>
      </c>
      <c r="BC462">
        <v>0</v>
      </c>
      <c r="BD462" t="s">
        <v>199</v>
      </c>
      <c r="BE462" t="s">
        <v>199</v>
      </c>
      <c r="BF462">
        <v>0</v>
      </c>
      <c r="BG462">
        <v>0</v>
      </c>
      <c r="BH462" t="s">
        <v>200</v>
      </c>
      <c r="BI462">
        <v>3</v>
      </c>
      <c r="BJ462">
        <v>6395841</v>
      </c>
      <c r="BK462" t="s">
        <v>201</v>
      </c>
      <c r="BL462" t="s">
        <v>190</v>
      </c>
    </row>
    <row r="463" spans="1:64" x14ac:dyDescent="0.3">
      <c r="A463">
        <v>119</v>
      </c>
      <c r="B463" t="s">
        <v>186</v>
      </c>
      <c r="C463">
        <v>3</v>
      </c>
      <c r="D463">
        <v>6395841</v>
      </c>
      <c r="E463" t="s">
        <v>489</v>
      </c>
      <c r="F463" t="s">
        <v>188</v>
      </c>
      <c r="G463">
        <v>10224766</v>
      </c>
      <c r="H463" s="35">
        <v>46179</v>
      </c>
      <c r="I463" s="35">
        <v>46179</v>
      </c>
      <c r="J463">
        <v>2026</v>
      </c>
      <c r="K463">
        <v>6</v>
      </c>
      <c r="L463" t="s">
        <v>189</v>
      </c>
      <c r="M463">
        <v>1</v>
      </c>
      <c r="N463" t="s">
        <v>190</v>
      </c>
      <c r="O463" t="s">
        <v>191</v>
      </c>
      <c r="P463" t="s">
        <v>199</v>
      </c>
      <c r="Q463" t="s">
        <v>199</v>
      </c>
      <c r="R463">
        <v>23</v>
      </c>
      <c r="S463">
        <v>6</v>
      </c>
      <c r="T463">
        <v>36908</v>
      </c>
      <c r="U463">
        <v>3</v>
      </c>
      <c r="V463" t="s">
        <v>215</v>
      </c>
      <c r="W463" t="s">
        <v>67</v>
      </c>
      <c r="X463" t="s">
        <v>28</v>
      </c>
      <c r="Y463" t="s">
        <v>30</v>
      </c>
      <c r="Z463" t="s">
        <v>30</v>
      </c>
      <c r="AA463">
        <v>11</v>
      </c>
      <c r="AB463">
        <v>621045</v>
      </c>
      <c r="AC463" t="s">
        <v>209</v>
      </c>
      <c r="AD463" t="s">
        <v>210</v>
      </c>
      <c r="AE463">
        <v>1</v>
      </c>
      <c r="AF463">
        <v>12</v>
      </c>
      <c r="AG463">
        <v>160.33000000000001</v>
      </c>
      <c r="AH463">
        <v>0</v>
      </c>
      <c r="AI463">
        <v>0</v>
      </c>
      <c r="AJ463">
        <v>0</v>
      </c>
      <c r="AK463">
        <v>346.31</v>
      </c>
      <c r="AL463">
        <v>1923.96</v>
      </c>
      <c r="AM463">
        <v>2270</v>
      </c>
      <c r="AN463">
        <v>11</v>
      </c>
      <c r="AO463" t="s">
        <v>69</v>
      </c>
      <c r="AP463" t="s">
        <v>73</v>
      </c>
      <c r="AQ463">
        <v>10</v>
      </c>
      <c r="AR463">
        <v>138</v>
      </c>
      <c r="AS463" t="s">
        <v>90</v>
      </c>
      <c r="AT463">
        <v>73101</v>
      </c>
      <c r="AU463" t="s">
        <v>211</v>
      </c>
      <c r="AV463" t="s">
        <v>91</v>
      </c>
      <c r="AW463" t="s">
        <v>70</v>
      </c>
      <c r="AX463" t="s">
        <v>71</v>
      </c>
      <c r="AY463" t="s">
        <v>72</v>
      </c>
      <c r="AZ463" t="s">
        <v>221</v>
      </c>
      <c r="BA463" t="s">
        <v>596</v>
      </c>
      <c r="BB463">
        <v>0</v>
      </c>
      <c r="BC463">
        <v>0</v>
      </c>
      <c r="BD463" t="s">
        <v>199</v>
      </c>
      <c r="BE463" t="s">
        <v>199</v>
      </c>
      <c r="BF463">
        <v>0</v>
      </c>
      <c r="BG463">
        <v>0</v>
      </c>
      <c r="BH463" t="s">
        <v>200</v>
      </c>
      <c r="BI463">
        <v>3</v>
      </c>
      <c r="BJ463">
        <v>6395841</v>
      </c>
      <c r="BK463" t="s">
        <v>201</v>
      </c>
      <c r="BL463" t="s">
        <v>190</v>
      </c>
    </row>
    <row r="464" spans="1:64" x14ac:dyDescent="0.3">
      <c r="A464">
        <v>223</v>
      </c>
      <c r="B464" t="s">
        <v>186</v>
      </c>
      <c r="C464">
        <v>3</v>
      </c>
      <c r="D464">
        <v>6397323</v>
      </c>
      <c r="E464" t="s">
        <v>202</v>
      </c>
      <c r="F464" t="s">
        <v>188</v>
      </c>
      <c r="G464">
        <v>10226248</v>
      </c>
      <c r="H464" s="35">
        <v>46181</v>
      </c>
      <c r="I464" s="35">
        <v>46181</v>
      </c>
      <c r="J464">
        <v>2026</v>
      </c>
      <c r="K464">
        <v>6</v>
      </c>
      <c r="L464" t="s">
        <v>189</v>
      </c>
      <c r="M464">
        <v>1</v>
      </c>
      <c r="N464" t="s">
        <v>190</v>
      </c>
      <c r="O464" t="s">
        <v>191</v>
      </c>
      <c r="P464" t="s">
        <v>199</v>
      </c>
      <c r="Q464" t="s">
        <v>199</v>
      </c>
      <c r="R464">
        <v>24</v>
      </c>
      <c r="S464">
        <v>8</v>
      </c>
      <c r="T464">
        <v>14167</v>
      </c>
      <c r="U464">
        <v>3</v>
      </c>
      <c r="V464" t="s">
        <v>208</v>
      </c>
      <c r="W464" t="s">
        <v>18</v>
      </c>
      <c r="X464" t="s">
        <v>19</v>
      </c>
      <c r="Y464" t="s">
        <v>20</v>
      </c>
      <c r="Z464" t="s">
        <v>20</v>
      </c>
      <c r="AA464">
        <v>91</v>
      </c>
      <c r="AB464">
        <v>201001</v>
      </c>
      <c r="AC464" t="s">
        <v>248</v>
      </c>
      <c r="AD464" t="s">
        <v>249</v>
      </c>
      <c r="AE464">
        <v>10</v>
      </c>
      <c r="AF464">
        <v>10</v>
      </c>
      <c r="AG464">
        <v>221.67</v>
      </c>
      <c r="AH464">
        <v>0</v>
      </c>
      <c r="AI464">
        <v>0</v>
      </c>
      <c r="AJ464">
        <v>0</v>
      </c>
      <c r="AK464">
        <v>399.01</v>
      </c>
      <c r="AL464">
        <v>2216.6999999999998</v>
      </c>
      <c r="AM464">
        <v>2616</v>
      </c>
      <c r="AN464">
        <v>91</v>
      </c>
      <c r="AO464" t="s">
        <v>22</v>
      </c>
      <c r="AP464" t="s">
        <v>26</v>
      </c>
      <c r="AQ464">
        <v>10</v>
      </c>
      <c r="AR464">
        <v>113</v>
      </c>
      <c r="AS464" t="s">
        <v>89</v>
      </c>
      <c r="AT464">
        <v>82101</v>
      </c>
      <c r="AU464" t="s">
        <v>252</v>
      </c>
      <c r="AV464" t="s">
        <v>80</v>
      </c>
      <c r="AW464" t="s">
        <v>23</v>
      </c>
      <c r="AX464" t="s">
        <v>24</v>
      </c>
      <c r="AY464" t="s">
        <v>25</v>
      </c>
      <c r="AZ464" t="s">
        <v>197</v>
      </c>
      <c r="BA464" t="s">
        <v>598</v>
      </c>
      <c r="BB464">
        <v>0</v>
      </c>
      <c r="BC464">
        <v>0</v>
      </c>
      <c r="BD464" t="s">
        <v>199</v>
      </c>
      <c r="BE464" t="s">
        <v>199</v>
      </c>
      <c r="BF464">
        <v>0</v>
      </c>
      <c r="BG464">
        <v>0</v>
      </c>
      <c r="BH464" t="s">
        <v>200</v>
      </c>
      <c r="BI464">
        <v>3</v>
      </c>
      <c r="BJ464">
        <v>6397323</v>
      </c>
      <c r="BK464" t="s">
        <v>201</v>
      </c>
      <c r="BL464" t="s">
        <v>190</v>
      </c>
    </row>
    <row r="465" spans="1:64" x14ac:dyDescent="0.3">
      <c r="A465">
        <v>223</v>
      </c>
      <c r="B465" t="s">
        <v>186</v>
      </c>
      <c r="C465">
        <v>3</v>
      </c>
      <c r="D465">
        <v>6397323</v>
      </c>
      <c r="E465" t="s">
        <v>202</v>
      </c>
      <c r="F465" t="s">
        <v>188</v>
      </c>
      <c r="G465">
        <v>10226248</v>
      </c>
      <c r="H465" s="35">
        <v>46181</v>
      </c>
      <c r="I465" s="35">
        <v>46181</v>
      </c>
      <c r="J465">
        <v>2026</v>
      </c>
      <c r="K465">
        <v>6</v>
      </c>
      <c r="L465" t="s">
        <v>189</v>
      </c>
      <c r="M465">
        <v>1</v>
      </c>
      <c r="N465" t="s">
        <v>190</v>
      </c>
      <c r="O465" t="s">
        <v>191</v>
      </c>
      <c r="P465" t="s">
        <v>199</v>
      </c>
      <c r="Q465" t="s">
        <v>199</v>
      </c>
      <c r="R465">
        <v>24</v>
      </c>
      <c r="S465">
        <v>8</v>
      </c>
      <c r="T465">
        <v>14167</v>
      </c>
      <c r="U465">
        <v>3</v>
      </c>
      <c r="V465" t="s">
        <v>208</v>
      </c>
      <c r="W465" t="s">
        <v>18</v>
      </c>
      <c r="X465" t="s">
        <v>19</v>
      </c>
      <c r="Y465" t="s">
        <v>20</v>
      </c>
      <c r="Z465" t="s">
        <v>20</v>
      </c>
      <c r="AA465">
        <v>91</v>
      </c>
      <c r="AB465">
        <v>621045</v>
      </c>
      <c r="AC465" t="s">
        <v>209</v>
      </c>
      <c r="AD465" t="s">
        <v>210</v>
      </c>
      <c r="AE465">
        <v>1</v>
      </c>
      <c r="AF465">
        <v>12</v>
      </c>
      <c r="AG465">
        <v>161.94999999999999</v>
      </c>
      <c r="AH465">
        <v>0</v>
      </c>
      <c r="AI465">
        <v>0</v>
      </c>
      <c r="AJ465">
        <v>0</v>
      </c>
      <c r="AK465">
        <v>349.81</v>
      </c>
      <c r="AL465">
        <v>1943.4</v>
      </c>
      <c r="AM465">
        <v>2293</v>
      </c>
      <c r="AN465">
        <v>91</v>
      </c>
      <c r="AO465" t="s">
        <v>22</v>
      </c>
      <c r="AP465" t="s">
        <v>26</v>
      </c>
      <c r="AQ465">
        <v>10</v>
      </c>
      <c r="AR465">
        <v>138</v>
      </c>
      <c r="AS465" t="s">
        <v>90</v>
      </c>
      <c r="AT465">
        <v>73101</v>
      </c>
      <c r="AU465" t="s">
        <v>211</v>
      </c>
      <c r="AV465" t="s">
        <v>91</v>
      </c>
      <c r="AW465" t="s">
        <v>23</v>
      </c>
      <c r="AX465" t="s">
        <v>24</v>
      </c>
      <c r="AY465" t="s">
        <v>25</v>
      </c>
      <c r="AZ465" t="s">
        <v>197</v>
      </c>
      <c r="BA465" t="s">
        <v>598</v>
      </c>
      <c r="BB465">
        <v>0</v>
      </c>
      <c r="BC465">
        <v>0</v>
      </c>
      <c r="BD465" t="s">
        <v>199</v>
      </c>
      <c r="BE465" t="s">
        <v>199</v>
      </c>
      <c r="BF465">
        <v>0</v>
      </c>
      <c r="BG465">
        <v>0</v>
      </c>
      <c r="BH465" t="s">
        <v>200</v>
      </c>
      <c r="BI465">
        <v>3</v>
      </c>
      <c r="BJ465">
        <v>6397323</v>
      </c>
      <c r="BK465" t="s">
        <v>201</v>
      </c>
      <c r="BL465" t="s">
        <v>190</v>
      </c>
    </row>
    <row r="466" spans="1:64" x14ac:dyDescent="0.3">
      <c r="A466">
        <v>223</v>
      </c>
      <c r="B466" t="s">
        <v>186</v>
      </c>
      <c r="C466">
        <v>3</v>
      </c>
      <c r="D466">
        <v>6397323</v>
      </c>
      <c r="E466" t="s">
        <v>202</v>
      </c>
      <c r="F466" t="s">
        <v>188</v>
      </c>
      <c r="G466">
        <v>10226248</v>
      </c>
      <c r="H466" s="35">
        <v>46181</v>
      </c>
      <c r="I466" s="35">
        <v>46181</v>
      </c>
      <c r="J466">
        <v>2026</v>
      </c>
      <c r="K466">
        <v>6</v>
      </c>
      <c r="L466" t="s">
        <v>189</v>
      </c>
      <c r="M466">
        <v>1</v>
      </c>
      <c r="N466" t="s">
        <v>190</v>
      </c>
      <c r="O466" t="s">
        <v>191</v>
      </c>
      <c r="P466" t="s">
        <v>199</v>
      </c>
      <c r="Q466" t="s">
        <v>199</v>
      </c>
      <c r="R466">
        <v>24</v>
      </c>
      <c r="S466">
        <v>8</v>
      </c>
      <c r="T466">
        <v>14167</v>
      </c>
      <c r="U466">
        <v>3</v>
      </c>
      <c r="V466" t="s">
        <v>208</v>
      </c>
      <c r="W466" t="s">
        <v>18</v>
      </c>
      <c r="X466" t="s">
        <v>19</v>
      </c>
      <c r="Y466" t="s">
        <v>20</v>
      </c>
      <c r="Z466" t="s">
        <v>20</v>
      </c>
      <c r="AA466">
        <v>91</v>
      </c>
      <c r="AB466">
        <v>621043</v>
      </c>
      <c r="AC466" t="s">
        <v>594</v>
      </c>
      <c r="AD466" t="s">
        <v>595</v>
      </c>
      <c r="AE466">
        <v>6.6666666666660004E-2</v>
      </c>
      <c r="AF466">
        <v>4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91</v>
      </c>
      <c r="AO466" t="s">
        <v>22</v>
      </c>
      <c r="AP466" t="s">
        <v>26</v>
      </c>
      <c r="AQ466">
        <v>10</v>
      </c>
      <c r="AR466">
        <v>138</v>
      </c>
      <c r="AS466" t="s">
        <v>90</v>
      </c>
      <c r="AT466">
        <v>0</v>
      </c>
      <c r="AU466" t="s">
        <v>199</v>
      </c>
      <c r="AV466" t="s">
        <v>91</v>
      </c>
      <c r="AW466" t="s">
        <v>23</v>
      </c>
      <c r="AX466" t="s">
        <v>24</v>
      </c>
      <c r="AY466" t="s">
        <v>25</v>
      </c>
      <c r="AZ466" t="s">
        <v>197</v>
      </c>
      <c r="BA466" t="s">
        <v>598</v>
      </c>
      <c r="BB466">
        <v>0</v>
      </c>
      <c r="BC466">
        <v>1</v>
      </c>
      <c r="BD466">
        <v>3645</v>
      </c>
      <c r="BE466" t="s">
        <v>597</v>
      </c>
      <c r="BF466">
        <v>0</v>
      </c>
      <c r="BG466">
        <v>0</v>
      </c>
      <c r="BH466" t="s">
        <v>200</v>
      </c>
      <c r="BI466">
        <v>3</v>
      </c>
      <c r="BJ466">
        <v>6397323</v>
      </c>
      <c r="BK466" t="s">
        <v>201</v>
      </c>
      <c r="BL466" t="s">
        <v>190</v>
      </c>
    </row>
    <row r="467" spans="1:64" x14ac:dyDescent="0.3">
      <c r="A467">
        <v>223</v>
      </c>
      <c r="B467" t="s">
        <v>186</v>
      </c>
      <c r="C467">
        <v>3</v>
      </c>
      <c r="D467">
        <v>6397328</v>
      </c>
      <c r="E467" t="s">
        <v>202</v>
      </c>
      <c r="F467" t="s">
        <v>188</v>
      </c>
      <c r="G467">
        <v>10226253</v>
      </c>
      <c r="H467" s="35">
        <v>46181</v>
      </c>
      <c r="I467" s="35">
        <v>46181</v>
      </c>
      <c r="J467">
        <v>2026</v>
      </c>
      <c r="K467">
        <v>6</v>
      </c>
      <c r="L467" t="s">
        <v>189</v>
      </c>
      <c r="M467">
        <v>1</v>
      </c>
      <c r="N467" t="s">
        <v>190</v>
      </c>
      <c r="O467" t="s">
        <v>191</v>
      </c>
      <c r="P467" t="s">
        <v>199</v>
      </c>
      <c r="Q467" t="s">
        <v>199</v>
      </c>
      <c r="R467">
        <v>24</v>
      </c>
      <c r="S467">
        <v>8</v>
      </c>
      <c r="T467">
        <v>12191</v>
      </c>
      <c r="U467">
        <v>3</v>
      </c>
      <c r="V467" t="s">
        <v>204</v>
      </c>
      <c r="W467" t="s">
        <v>27</v>
      </c>
      <c r="X467" t="s">
        <v>28</v>
      </c>
      <c r="Y467" t="s">
        <v>20</v>
      </c>
      <c r="Z467" t="s">
        <v>20</v>
      </c>
      <c r="AA467">
        <v>91</v>
      </c>
      <c r="AB467">
        <v>800088</v>
      </c>
      <c r="AC467" t="s">
        <v>276</v>
      </c>
      <c r="AD467" t="s">
        <v>277</v>
      </c>
      <c r="AE467">
        <v>1</v>
      </c>
      <c r="AF467">
        <v>8</v>
      </c>
      <c r="AG467">
        <v>360.77</v>
      </c>
      <c r="AH467">
        <v>0</v>
      </c>
      <c r="AI467">
        <v>0</v>
      </c>
      <c r="AJ467">
        <v>0</v>
      </c>
      <c r="AK467">
        <v>519.51</v>
      </c>
      <c r="AL467">
        <v>2886.16</v>
      </c>
      <c r="AM467">
        <v>3406</v>
      </c>
      <c r="AN467">
        <v>91</v>
      </c>
      <c r="AO467" t="s">
        <v>22</v>
      </c>
      <c r="AP467" t="s">
        <v>26</v>
      </c>
      <c r="AQ467">
        <v>10</v>
      </c>
      <c r="AR467">
        <v>105</v>
      </c>
      <c r="AS467" t="s">
        <v>85</v>
      </c>
      <c r="AT467">
        <v>677001</v>
      </c>
      <c r="AU467" t="s">
        <v>273</v>
      </c>
      <c r="AV467" t="s">
        <v>86</v>
      </c>
      <c r="AW467" t="s">
        <v>23</v>
      </c>
      <c r="AX467" t="s">
        <v>24</v>
      </c>
      <c r="AY467" t="s">
        <v>25</v>
      </c>
      <c r="AZ467" t="s">
        <v>197</v>
      </c>
      <c r="BA467" t="s">
        <v>599</v>
      </c>
      <c r="BB467">
        <v>0</v>
      </c>
      <c r="BC467">
        <v>0</v>
      </c>
      <c r="BD467" t="s">
        <v>199</v>
      </c>
      <c r="BE467" t="s">
        <v>199</v>
      </c>
      <c r="BF467">
        <v>0</v>
      </c>
      <c r="BG467">
        <v>0</v>
      </c>
      <c r="BH467" t="s">
        <v>200</v>
      </c>
      <c r="BI467">
        <v>3</v>
      </c>
      <c r="BJ467">
        <v>6397328</v>
      </c>
      <c r="BK467" t="s">
        <v>201</v>
      </c>
      <c r="BL467" t="s">
        <v>190</v>
      </c>
    </row>
    <row r="468" spans="1:64" x14ac:dyDescent="0.3">
      <c r="A468">
        <v>223</v>
      </c>
      <c r="B468" t="s">
        <v>186</v>
      </c>
      <c r="C468">
        <v>3</v>
      </c>
      <c r="D468">
        <v>6397328</v>
      </c>
      <c r="E468" t="s">
        <v>202</v>
      </c>
      <c r="F468" t="s">
        <v>188</v>
      </c>
      <c r="G468">
        <v>10226253</v>
      </c>
      <c r="H468" s="35">
        <v>46181</v>
      </c>
      <c r="I468" s="35">
        <v>46181</v>
      </c>
      <c r="J468">
        <v>2026</v>
      </c>
      <c r="K468">
        <v>6</v>
      </c>
      <c r="L468" t="s">
        <v>189</v>
      </c>
      <c r="M468">
        <v>1</v>
      </c>
      <c r="N468" t="s">
        <v>190</v>
      </c>
      <c r="O468" t="s">
        <v>191</v>
      </c>
      <c r="P468" t="s">
        <v>199</v>
      </c>
      <c r="Q468" t="s">
        <v>199</v>
      </c>
      <c r="R468">
        <v>24</v>
      </c>
      <c r="S468">
        <v>8</v>
      </c>
      <c r="T468">
        <v>12191</v>
      </c>
      <c r="U468">
        <v>3</v>
      </c>
      <c r="V468" t="s">
        <v>204</v>
      </c>
      <c r="W468" t="s">
        <v>27</v>
      </c>
      <c r="X468" t="s">
        <v>28</v>
      </c>
      <c r="Y468" t="s">
        <v>20</v>
      </c>
      <c r="Z468" t="s">
        <v>20</v>
      </c>
      <c r="AA468">
        <v>91</v>
      </c>
      <c r="AB468">
        <v>800089</v>
      </c>
      <c r="AC468" t="s">
        <v>295</v>
      </c>
      <c r="AD468" t="s">
        <v>296</v>
      </c>
      <c r="AE468">
        <v>1</v>
      </c>
      <c r="AF468">
        <v>8</v>
      </c>
      <c r="AG468">
        <v>360.77</v>
      </c>
      <c r="AH468">
        <v>0</v>
      </c>
      <c r="AI468">
        <v>0</v>
      </c>
      <c r="AJ468">
        <v>0</v>
      </c>
      <c r="AK468">
        <v>519.51</v>
      </c>
      <c r="AL468">
        <v>2886.16</v>
      </c>
      <c r="AM468">
        <v>3406</v>
      </c>
      <c r="AN468">
        <v>91</v>
      </c>
      <c r="AO468" t="s">
        <v>22</v>
      </c>
      <c r="AP468" t="s">
        <v>26</v>
      </c>
      <c r="AQ468">
        <v>10</v>
      </c>
      <c r="AR468">
        <v>105</v>
      </c>
      <c r="AS468" t="s">
        <v>85</v>
      </c>
      <c r="AT468">
        <v>677001</v>
      </c>
      <c r="AU468" t="s">
        <v>273</v>
      </c>
      <c r="AV468" t="s">
        <v>86</v>
      </c>
      <c r="AW468" t="s">
        <v>23</v>
      </c>
      <c r="AX468" t="s">
        <v>24</v>
      </c>
      <c r="AY468" t="s">
        <v>25</v>
      </c>
      <c r="AZ468" t="s">
        <v>197</v>
      </c>
      <c r="BA468" t="s">
        <v>599</v>
      </c>
      <c r="BB468">
        <v>0</v>
      </c>
      <c r="BC468">
        <v>0</v>
      </c>
      <c r="BD468" t="s">
        <v>199</v>
      </c>
      <c r="BE468" t="s">
        <v>199</v>
      </c>
      <c r="BF468">
        <v>0</v>
      </c>
      <c r="BG468">
        <v>0</v>
      </c>
      <c r="BH468" t="s">
        <v>200</v>
      </c>
      <c r="BI468">
        <v>3</v>
      </c>
      <c r="BJ468">
        <v>6397328</v>
      </c>
      <c r="BK468" t="s">
        <v>201</v>
      </c>
      <c r="BL468" t="s">
        <v>190</v>
      </c>
    </row>
    <row r="469" spans="1:64" x14ac:dyDescent="0.3">
      <c r="A469">
        <v>223</v>
      </c>
      <c r="B469" t="s">
        <v>186</v>
      </c>
      <c r="C469">
        <v>3</v>
      </c>
      <c r="D469">
        <v>6398438</v>
      </c>
      <c r="E469" t="s">
        <v>202</v>
      </c>
      <c r="F469" t="s">
        <v>188</v>
      </c>
      <c r="G469">
        <v>10227363</v>
      </c>
      <c r="H469" s="35">
        <v>46182</v>
      </c>
      <c r="I469" s="35">
        <v>46182</v>
      </c>
      <c r="J469">
        <v>2026</v>
      </c>
      <c r="K469">
        <v>6</v>
      </c>
      <c r="L469" t="s">
        <v>189</v>
      </c>
      <c r="M469">
        <v>1</v>
      </c>
      <c r="N469" t="s">
        <v>190</v>
      </c>
      <c r="O469" t="s">
        <v>191</v>
      </c>
      <c r="P469" t="s">
        <v>199</v>
      </c>
      <c r="Q469" t="s">
        <v>199</v>
      </c>
      <c r="R469">
        <v>24</v>
      </c>
      <c r="S469">
        <v>9</v>
      </c>
      <c r="T469">
        <v>14167</v>
      </c>
      <c r="U469">
        <v>3</v>
      </c>
      <c r="V469" t="s">
        <v>208</v>
      </c>
      <c r="W469" t="s">
        <v>18</v>
      </c>
      <c r="X469" t="s">
        <v>19</v>
      </c>
      <c r="Y469" t="s">
        <v>20</v>
      </c>
      <c r="Z469" t="s">
        <v>20</v>
      </c>
      <c r="AA469">
        <v>91</v>
      </c>
      <c r="AB469">
        <v>101038</v>
      </c>
      <c r="AC469" t="s">
        <v>271</v>
      </c>
      <c r="AD469" t="s">
        <v>272</v>
      </c>
      <c r="AE469">
        <v>1</v>
      </c>
      <c r="AF469">
        <v>10</v>
      </c>
      <c r="AG469">
        <v>360.77</v>
      </c>
      <c r="AH469">
        <v>0</v>
      </c>
      <c r="AI469">
        <v>0</v>
      </c>
      <c r="AJ469">
        <v>0</v>
      </c>
      <c r="AK469">
        <v>649.39</v>
      </c>
      <c r="AL469">
        <v>3607.7</v>
      </c>
      <c r="AM469">
        <v>4257</v>
      </c>
      <c r="AN469">
        <v>91</v>
      </c>
      <c r="AO469" t="s">
        <v>22</v>
      </c>
      <c r="AP469" t="s">
        <v>26</v>
      </c>
      <c r="AQ469">
        <v>10</v>
      </c>
      <c r="AR469">
        <v>105</v>
      </c>
      <c r="AS469" t="s">
        <v>85</v>
      </c>
      <c r="AT469">
        <v>677001</v>
      </c>
      <c r="AU469" t="s">
        <v>273</v>
      </c>
      <c r="AV469" t="s">
        <v>86</v>
      </c>
      <c r="AW469" t="s">
        <v>23</v>
      </c>
      <c r="AX469" t="s">
        <v>24</v>
      </c>
      <c r="AY469" t="s">
        <v>25</v>
      </c>
      <c r="AZ469" t="s">
        <v>197</v>
      </c>
      <c r="BA469" t="s">
        <v>600</v>
      </c>
      <c r="BB469">
        <v>0</v>
      </c>
      <c r="BC469">
        <v>0</v>
      </c>
      <c r="BD469" t="s">
        <v>199</v>
      </c>
      <c r="BE469" t="s">
        <v>199</v>
      </c>
      <c r="BF469">
        <v>0</v>
      </c>
      <c r="BG469">
        <v>0</v>
      </c>
      <c r="BH469" t="s">
        <v>200</v>
      </c>
      <c r="BI469">
        <v>3</v>
      </c>
      <c r="BJ469">
        <v>6398438</v>
      </c>
      <c r="BK469" t="s">
        <v>201</v>
      </c>
      <c r="BL469" t="s">
        <v>190</v>
      </c>
    </row>
    <row r="470" spans="1:64" x14ac:dyDescent="0.3">
      <c r="A470">
        <v>223</v>
      </c>
      <c r="B470" t="s">
        <v>186</v>
      </c>
      <c r="C470">
        <v>3</v>
      </c>
      <c r="D470">
        <v>6398438</v>
      </c>
      <c r="E470" t="s">
        <v>202</v>
      </c>
      <c r="F470" t="s">
        <v>188</v>
      </c>
      <c r="G470">
        <v>10227363</v>
      </c>
      <c r="H470" s="35">
        <v>46182</v>
      </c>
      <c r="I470" s="35">
        <v>46182</v>
      </c>
      <c r="J470">
        <v>2026</v>
      </c>
      <c r="K470">
        <v>6</v>
      </c>
      <c r="L470" t="s">
        <v>189</v>
      </c>
      <c r="M470">
        <v>1</v>
      </c>
      <c r="N470" t="s">
        <v>190</v>
      </c>
      <c r="O470" t="s">
        <v>191</v>
      </c>
      <c r="P470" t="s">
        <v>199</v>
      </c>
      <c r="Q470" t="s">
        <v>199</v>
      </c>
      <c r="R470">
        <v>24</v>
      </c>
      <c r="S470">
        <v>9</v>
      </c>
      <c r="T470">
        <v>14167</v>
      </c>
      <c r="U470">
        <v>3</v>
      </c>
      <c r="V470" t="s">
        <v>208</v>
      </c>
      <c r="W470" t="s">
        <v>18</v>
      </c>
      <c r="X470" t="s">
        <v>19</v>
      </c>
      <c r="Y470" t="s">
        <v>20</v>
      </c>
      <c r="Z470" t="s">
        <v>20</v>
      </c>
      <c r="AA470">
        <v>91</v>
      </c>
      <c r="AB470">
        <v>800089</v>
      </c>
      <c r="AC470" t="s">
        <v>295</v>
      </c>
      <c r="AD470" t="s">
        <v>296</v>
      </c>
      <c r="AE470">
        <v>1</v>
      </c>
      <c r="AF470">
        <v>8</v>
      </c>
      <c r="AG470">
        <v>360.77</v>
      </c>
      <c r="AH470">
        <v>0</v>
      </c>
      <c r="AI470">
        <v>0</v>
      </c>
      <c r="AJ470">
        <v>0</v>
      </c>
      <c r="AK470">
        <v>519.51</v>
      </c>
      <c r="AL470">
        <v>2886.16</v>
      </c>
      <c r="AM470">
        <v>3406</v>
      </c>
      <c r="AN470">
        <v>91</v>
      </c>
      <c r="AO470" t="s">
        <v>22</v>
      </c>
      <c r="AP470" t="s">
        <v>26</v>
      </c>
      <c r="AQ470">
        <v>10</v>
      </c>
      <c r="AR470">
        <v>105</v>
      </c>
      <c r="AS470" t="s">
        <v>85</v>
      </c>
      <c r="AT470">
        <v>677001</v>
      </c>
      <c r="AU470" t="s">
        <v>273</v>
      </c>
      <c r="AV470" t="s">
        <v>86</v>
      </c>
      <c r="AW470" t="s">
        <v>23</v>
      </c>
      <c r="AX470" t="s">
        <v>24</v>
      </c>
      <c r="AY470" t="s">
        <v>25</v>
      </c>
      <c r="AZ470" t="s">
        <v>197</v>
      </c>
      <c r="BA470" t="s">
        <v>600</v>
      </c>
      <c r="BB470">
        <v>0</v>
      </c>
      <c r="BC470">
        <v>0</v>
      </c>
      <c r="BD470" t="s">
        <v>199</v>
      </c>
      <c r="BE470" t="s">
        <v>199</v>
      </c>
      <c r="BF470">
        <v>0</v>
      </c>
      <c r="BG470">
        <v>0</v>
      </c>
      <c r="BH470" t="s">
        <v>200</v>
      </c>
      <c r="BI470">
        <v>3</v>
      </c>
      <c r="BJ470">
        <v>6398438</v>
      </c>
      <c r="BK470" t="s">
        <v>201</v>
      </c>
      <c r="BL470" t="s">
        <v>190</v>
      </c>
    </row>
    <row r="471" spans="1:64" x14ac:dyDescent="0.3">
      <c r="A471">
        <v>289</v>
      </c>
      <c r="B471" t="s">
        <v>186</v>
      </c>
      <c r="C471">
        <v>3</v>
      </c>
      <c r="D471">
        <v>6401239</v>
      </c>
      <c r="E471" t="s">
        <v>379</v>
      </c>
      <c r="F471" t="s">
        <v>188</v>
      </c>
      <c r="G471">
        <v>10230165</v>
      </c>
      <c r="H471" s="35">
        <v>46184</v>
      </c>
      <c r="I471" s="35">
        <v>46184</v>
      </c>
      <c r="J471">
        <v>2026</v>
      </c>
      <c r="K471">
        <v>6</v>
      </c>
      <c r="L471" t="s">
        <v>189</v>
      </c>
      <c r="M471">
        <v>1</v>
      </c>
      <c r="N471" t="s">
        <v>190</v>
      </c>
      <c r="O471" t="s">
        <v>191</v>
      </c>
      <c r="P471" t="s">
        <v>199</v>
      </c>
      <c r="Q471" t="s">
        <v>199</v>
      </c>
      <c r="R471">
        <v>24</v>
      </c>
      <c r="S471">
        <v>11</v>
      </c>
      <c r="T471">
        <v>37594</v>
      </c>
      <c r="U471">
        <v>3</v>
      </c>
      <c r="V471" t="s">
        <v>234</v>
      </c>
      <c r="W471" t="s">
        <v>47</v>
      </c>
      <c r="X471" t="s">
        <v>19</v>
      </c>
      <c r="Y471" t="s">
        <v>30</v>
      </c>
      <c r="Z471" t="s">
        <v>30</v>
      </c>
      <c r="AA471">
        <v>72</v>
      </c>
      <c r="AB471">
        <v>101038</v>
      </c>
      <c r="AC471" t="s">
        <v>271</v>
      </c>
      <c r="AD471" t="s">
        <v>272</v>
      </c>
      <c r="AE471">
        <v>0.1</v>
      </c>
      <c r="AF471">
        <v>1</v>
      </c>
      <c r="AG471">
        <v>360.77</v>
      </c>
      <c r="AH471">
        <v>0</v>
      </c>
      <c r="AI471">
        <v>0</v>
      </c>
      <c r="AJ471">
        <v>0</v>
      </c>
      <c r="AK471">
        <v>64.94</v>
      </c>
      <c r="AL471">
        <v>360.77</v>
      </c>
      <c r="AM471">
        <v>426</v>
      </c>
      <c r="AN471">
        <v>72</v>
      </c>
      <c r="AO471" t="s">
        <v>49</v>
      </c>
      <c r="AP471" t="s">
        <v>53</v>
      </c>
      <c r="AQ471">
        <v>10</v>
      </c>
      <c r="AR471">
        <v>105</v>
      </c>
      <c r="AS471" t="s">
        <v>85</v>
      </c>
      <c r="AT471">
        <v>677001</v>
      </c>
      <c r="AU471" t="s">
        <v>273</v>
      </c>
      <c r="AV471" t="s">
        <v>86</v>
      </c>
      <c r="AW471" t="s">
        <v>50</v>
      </c>
      <c r="AX471" t="s">
        <v>51</v>
      </c>
      <c r="AY471" t="s">
        <v>52</v>
      </c>
      <c r="AZ471" t="s">
        <v>240</v>
      </c>
      <c r="BA471" t="s">
        <v>601</v>
      </c>
      <c r="BB471">
        <v>0</v>
      </c>
      <c r="BC471">
        <v>0</v>
      </c>
      <c r="BD471" t="s">
        <v>199</v>
      </c>
      <c r="BE471" t="s">
        <v>199</v>
      </c>
      <c r="BF471">
        <v>0</v>
      </c>
      <c r="BG471">
        <v>0</v>
      </c>
      <c r="BH471" t="s">
        <v>200</v>
      </c>
      <c r="BI471">
        <v>3</v>
      </c>
      <c r="BJ471">
        <v>6401239</v>
      </c>
      <c r="BK471" t="s">
        <v>201</v>
      </c>
      <c r="BL471" t="s">
        <v>190</v>
      </c>
    </row>
    <row r="472" spans="1:64" x14ac:dyDescent="0.3">
      <c r="A472">
        <v>289</v>
      </c>
      <c r="B472" t="s">
        <v>186</v>
      </c>
      <c r="C472">
        <v>3</v>
      </c>
      <c r="D472">
        <v>6401239</v>
      </c>
      <c r="E472" t="s">
        <v>379</v>
      </c>
      <c r="F472" t="s">
        <v>188</v>
      </c>
      <c r="G472">
        <v>10230165</v>
      </c>
      <c r="H472" s="35">
        <v>46184</v>
      </c>
      <c r="I472" s="35">
        <v>46184</v>
      </c>
      <c r="J472">
        <v>2026</v>
      </c>
      <c r="K472">
        <v>6</v>
      </c>
      <c r="L472" t="s">
        <v>189</v>
      </c>
      <c r="M472">
        <v>1</v>
      </c>
      <c r="N472" t="s">
        <v>190</v>
      </c>
      <c r="O472" t="s">
        <v>191</v>
      </c>
      <c r="P472" t="s">
        <v>199</v>
      </c>
      <c r="Q472" t="s">
        <v>199</v>
      </c>
      <c r="R472">
        <v>24</v>
      </c>
      <c r="S472">
        <v>11</v>
      </c>
      <c r="T472">
        <v>37594</v>
      </c>
      <c r="U472">
        <v>3</v>
      </c>
      <c r="V472" t="s">
        <v>234</v>
      </c>
      <c r="W472" t="s">
        <v>47</v>
      </c>
      <c r="X472" t="s">
        <v>19</v>
      </c>
      <c r="Y472" t="s">
        <v>30</v>
      </c>
      <c r="Z472" t="s">
        <v>30</v>
      </c>
      <c r="AA472">
        <v>72</v>
      </c>
      <c r="AB472">
        <v>800088</v>
      </c>
      <c r="AC472" t="s">
        <v>276</v>
      </c>
      <c r="AD472" t="s">
        <v>277</v>
      </c>
      <c r="AE472">
        <v>0.125</v>
      </c>
      <c r="AF472">
        <v>1</v>
      </c>
      <c r="AG472">
        <v>360.77</v>
      </c>
      <c r="AH472">
        <v>0</v>
      </c>
      <c r="AI472">
        <v>0</v>
      </c>
      <c r="AJ472">
        <v>0</v>
      </c>
      <c r="AK472">
        <v>64.94</v>
      </c>
      <c r="AL472">
        <v>360.77</v>
      </c>
      <c r="AM472">
        <v>426</v>
      </c>
      <c r="AN472">
        <v>72</v>
      </c>
      <c r="AO472" t="s">
        <v>49</v>
      </c>
      <c r="AP472" t="s">
        <v>53</v>
      </c>
      <c r="AQ472">
        <v>10</v>
      </c>
      <c r="AR472">
        <v>105</v>
      </c>
      <c r="AS472" t="s">
        <v>85</v>
      </c>
      <c r="AT472">
        <v>677001</v>
      </c>
      <c r="AU472" t="s">
        <v>273</v>
      </c>
      <c r="AV472" t="s">
        <v>86</v>
      </c>
      <c r="AW472" t="s">
        <v>50</v>
      </c>
      <c r="AX472" t="s">
        <v>51</v>
      </c>
      <c r="AY472" t="s">
        <v>52</v>
      </c>
      <c r="AZ472" t="s">
        <v>240</v>
      </c>
      <c r="BA472" t="s">
        <v>601</v>
      </c>
      <c r="BB472">
        <v>0</v>
      </c>
      <c r="BC472">
        <v>0</v>
      </c>
      <c r="BD472" t="s">
        <v>199</v>
      </c>
      <c r="BE472" t="s">
        <v>199</v>
      </c>
      <c r="BF472">
        <v>0</v>
      </c>
      <c r="BG472">
        <v>0</v>
      </c>
      <c r="BH472" t="s">
        <v>200</v>
      </c>
      <c r="BI472">
        <v>3</v>
      </c>
      <c r="BJ472">
        <v>6401239</v>
      </c>
      <c r="BK472" t="s">
        <v>201</v>
      </c>
      <c r="BL472" t="s">
        <v>190</v>
      </c>
    </row>
    <row r="473" spans="1:64" x14ac:dyDescent="0.3">
      <c r="A473">
        <v>289</v>
      </c>
      <c r="B473" t="s">
        <v>186</v>
      </c>
      <c r="C473">
        <v>3</v>
      </c>
      <c r="D473">
        <v>6401239</v>
      </c>
      <c r="E473" t="s">
        <v>379</v>
      </c>
      <c r="F473" t="s">
        <v>188</v>
      </c>
      <c r="G473">
        <v>10230165</v>
      </c>
      <c r="H473" s="35">
        <v>46184</v>
      </c>
      <c r="I473" s="35">
        <v>46184</v>
      </c>
      <c r="J473">
        <v>2026</v>
      </c>
      <c r="K473">
        <v>6</v>
      </c>
      <c r="L473" t="s">
        <v>189</v>
      </c>
      <c r="M473">
        <v>1</v>
      </c>
      <c r="N473" t="s">
        <v>190</v>
      </c>
      <c r="O473" t="s">
        <v>191</v>
      </c>
      <c r="P473" t="s">
        <v>199</v>
      </c>
      <c r="Q473" t="s">
        <v>199</v>
      </c>
      <c r="R473">
        <v>24</v>
      </c>
      <c r="S473">
        <v>11</v>
      </c>
      <c r="T473">
        <v>37594</v>
      </c>
      <c r="U473">
        <v>3</v>
      </c>
      <c r="V473" t="s">
        <v>234</v>
      </c>
      <c r="W473" t="s">
        <v>47</v>
      </c>
      <c r="X473" t="s">
        <v>19</v>
      </c>
      <c r="Y473" t="s">
        <v>30</v>
      </c>
      <c r="Z473" t="s">
        <v>30</v>
      </c>
      <c r="AA473">
        <v>72</v>
      </c>
      <c r="AB473">
        <v>800089</v>
      </c>
      <c r="AC473" t="s">
        <v>295</v>
      </c>
      <c r="AD473" t="s">
        <v>296</v>
      </c>
      <c r="AE473">
        <v>0.125</v>
      </c>
      <c r="AF473">
        <v>1</v>
      </c>
      <c r="AG473">
        <v>360.77</v>
      </c>
      <c r="AH473">
        <v>0</v>
      </c>
      <c r="AI473">
        <v>0</v>
      </c>
      <c r="AJ473">
        <v>0</v>
      </c>
      <c r="AK473">
        <v>64.94</v>
      </c>
      <c r="AL473">
        <v>360.77</v>
      </c>
      <c r="AM473">
        <v>426</v>
      </c>
      <c r="AN473">
        <v>72</v>
      </c>
      <c r="AO473" t="s">
        <v>49</v>
      </c>
      <c r="AP473" t="s">
        <v>53</v>
      </c>
      <c r="AQ473">
        <v>10</v>
      </c>
      <c r="AR473">
        <v>105</v>
      </c>
      <c r="AS473" t="s">
        <v>85</v>
      </c>
      <c r="AT473">
        <v>677001</v>
      </c>
      <c r="AU473" t="s">
        <v>273</v>
      </c>
      <c r="AV473" t="s">
        <v>86</v>
      </c>
      <c r="AW473" t="s">
        <v>50</v>
      </c>
      <c r="AX473" t="s">
        <v>51</v>
      </c>
      <c r="AY473" t="s">
        <v>52</v>
      </c>
      <c r="AZ473" t="s">
        <v>240</v>
      </c>
      <c r="BA473" t="s">
        <v>601</v>
      </c>
      <c r="BB473">
        <v>0</v>
      </c>
      <c r="BC473">
        <v>0</v>
      </c>
      <c r="BD473" t="s">
        <v>199</v>
      </c>
      <c r="BE473" t="s">
        <v>199</v>
      </c>
      <c r="BF473">
        <v>0</v>
      </c>
      <c r="BG473">
        <v>0</v>
      </c>
      <c r="BH473" t="s">
        <v>200</v>
      </c>
      <c r="BI473">
        <v>3</v>
      </c>
      <c r="BJ473">
        <v>6401239</v>
      </c>
      <c r="BK473" t="s">
        <v>201</v>
      </c>
      <c r="BL473" t="s">
        <v>190</v>
      </c>
    </row>
    <row r="474" spans="1:64" x14ac:dyDescent="0.3">
      <c r="A474">
        <v>289</v>
      </c>
      <c r="B474" t="s">
        <v>186</v>
      </c>
      <c r="C474">
        <v>3</v>
      </c>
      <c r="D474">
        <v>6401239</v>
      </c>
      <c r="E474" t="s">
        <v>379</v>
      </c>
      <c r="F474" t="s">
        <v>188</v>
      </c>
      <c r="G474">
        <v>10230165</v>
      </c>
      <c r="H474" s="35">
        <v>46184</v>
      </c>
      <c r="I474" s="35">
        <v>46184</v>
      </c>
      <c r="J474">
        <v>2026</v>
      </c>
      <c r="K474">
        <v>6</v>
      </c>
      <c r="L474" t="s">
        <v>189</v>
      </c>
      <c r="M474">
        <v>1</v>
      </c>
      <c r="N474" t="s">
        <v>190</v>
      </c>
      <c r="O474" t="s">
        <v>191</v>
      </c>
      <c r="P474" t="s">
        <v>199</v>
      </c>
      <c r="Q474" t="s">
        <v>199</v>
      </c>
      <c r="R474">
        <v>24</v>
      </c>
      <c r="S474">
        <v>11</v>
      </c>
      <c r="T474">
        <v>37594</v>
      </c>
      <c r="U474">
        <v>3</v>
      </c>
      <c r="V474" t="s">
        <v>234</v>
      </c>
      <c r="W474" t="s">
        <v>47</v>
      </c>
      <c r="X474" t="s">
        <v>19</v>
      </c>
      <c r="Y474" t="s">
        <v>30</v>
      </c>
      <c r="Z474" t="s">
        <v>30</v>
      </c>
      <c r="AA474">
        <v>72</v>
      </c>
      <c r="AB474">
        <v>103001</v>
      </c>
      <c r="AC474" t="s">
        <v>286</v>
      </c>
      <c r="AD474" t="s">
        <v>287</v>
      </c>
      <c r="AE474">
        <v>3</v>
      </c>
      <c r="AF474">
        <v>144</v>
      </c>
      <c r="AG474">
        <v>21.15</v>
      </c>
      <c r="AH474">
        <v>0</v>
      </c>
      <c r="AI474">
        <v>0</v>
      </c>
      <c r="AJ474">
        <v>0</v>
      </c>
      <c r="AK474">
        <v>548.21</v>
      </c>
      <c r="AL474">
        <v>3045.6</v>
      </c>
      <c r="AM474">
        <v>3594</v>
      </c>
      <c r="AN474">
        <v>72</v>
      </c>
      <c r="AO474" t="s">
        <v>49</v>
      </c>
      <c r="AP474" t="s">
        <v>53</v>
      </c>
      <c r="AQ474">
        <v>10</v>
      </c>
      <c r="AR474">
        <v>107</v>
      </c>
      <c r="AS474" t="s">
        <v>96</v>
      </c>
      <c r="AT474">
        <v>6770651</v>
      </c>
      <c r="AU474" t="s">
        <v>288</v>
      </c>
      <c r="AV474" t="s">
        <v>86</v>
      </c>
      <c r="AW474" t="s">
        <v>50</v>
      </c>
      <c r="AX474" t="s">
        <v>51</v>
      </c>
      <c r="AY474" t="s">
        <v>52</v>
      </c>
      <c r="AZ474" t="s">
        <v>240</v>
      </c>
      <c r="BA474" t="s">
        <v>601</v>
      </c>
      <c r="BB474">
        <v>0</v>
      </c>
      <c r="BC474">
        <v>0</v>
      </c>
      <c r="BD474" t="s">
        <v>199</v>
      </c>
      <c r="BE474" t="s">
        <v>199</v>
      </c>
      <c r="BF474">
        <v>0</v>
      </c>
      <c r="BG474">
        <v>0</v>
      </c>
      <c r="BH474" t="s">
        <v>200</v>
      </c>
      <c r="BI474">
        <v>3</v>
      </c>
      <c r="BJ474">
        <v>6401239</v>
      </c>
      <c r="BK474" t="s">
        <v>201</v>
      </c>
      <c r="BL474" t="s">
        <v>190</v>
      </c>
    </row>
    <row r="475" spans="1:64" x14ac:dyDescent="0.3">
      <c r="A475">
        <v>289</v>
      </c>
      <c r="B475" t="s">
        <v>186</v>
      </c>
      <c r="C475">
        <v>3</v>
      </c>
      <c r="D475">
        <v>6401239</v>
      </c>
      <c r="E475" t="s">
        <v>379</v>
      </c>
      <c r="F475" t="s">
        <v>188</v>
      </c>
      <c r="G475">
        <v>10230165</v>
      </c>
      <c r="H475" s="35">
        <v>46184</v>
      </c>
      <c r="I475" s="35">
        <v>46184</v>
      </c>
      <c r="J475">
        <v>2026</v>
      </c>
      <c r="K475">
        <v>6</v>
      </c>
      <c r="L475" t="s">
        <v>189</v>
      </c>
      <c r="M475">
        <v>1</v>
      </c>
      <c r="N475" t="s">
        <v>190</v>
      </c>
      <c r="O475" t="s">
        <v>191</v>
      </c>
      <c r="P475" t="s">
        <v>199</v>
      </c>
      <c r="Q475" t="s">
        <v>199</v>
      </c>
      <c r="R475">
        <v>24</v>
      </c>
      <c r="S475">
        <v>11</v>
      </c>
      <c r="T475">
        <v>37594</v>
      </c>
      <c r="U475">
        <v>3</v>
      </c>
      <c r="V475" t="s">
        <v>234</v>
      </c>
      <c r="W475" t="s">
        <v>47</v>
      </c>
      <c r="X475" t="s">
        <v>19</v>
      </c>
      <c r="Y475" t="s">
        <v>30</v>
      </c>
      <c r="Z475" t="s">
        <v>30</v>
      </c>
      <c r="AA475">
        <v>72</v>
      </c>
      <c r="AB475">
        <v>611507</v>
      </c>
      <c r="AC475" t="s">
        <v>602</v>
      </c>
      <c r="AD475" t="s">
        <v>603</v>
      </c>
      <c r="AE475">
        <v>0.5</v>
      </c>
      <c r="AF475">
        <v>24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72</v>
      </c>
      <c r="AO475" t="s">
        <v>49</v>
      </c>
      <c r="AP475" t="s">
        <v>53</v>
      </c>
      <c r="AQ475">
        <v>10</v>
      </c>
      <c r="AR475">
        <v>111</v>
      </c>
      <c r="AS475" t="s">
        <v>97</v>
      </c>
      <c r="AT475">
        <v>70101</v>
      </c>
      <c r="AU475" t="s">
        <v>604</v>
      </c>
      <c r="AV475" t="s">
        <v>86</v>
      </c>
      <c r="AW475" t="s">
        <v>50</v>
      </c>
      <c r="AX475" t="s">
        <v>51</v>
      </c>
      <c r="AY475" t="s">
        <v>52</v>
      </c>
      <c r="AZ475" t="s">
        <v>240</v>
      </c>
      <c r="BA475" t="s">
        <v>601</v>
      </c>
      <c r="BB475">
        <v>0</v>
      </c>
      <c r="BC475">
        <v>1</v>
      </c>
      <c r="BD475">
        <v>3668</v>
      </c>
      <c r="BE475" t="s">
        <v>605</v>
      </c>
      <c r="BF475">
        <v>0</v>
      </c>
      <c r="BG475">
        <v>0</v>
      </c>
      <c r="BH475" t="s">
        <v>200</v>
      </c>
      <c r="BI475">
        <v>3</v>
      </c>
      <c r="BJ475">
        <v>6401239</v>
      </c>
      <c r="BK475" t="s">
        <v>201</v>
      </c>
      <c r="BL475" t="s">
        <v>190</v>
      </c>
    </row>
    <row r="476" spans="1:64" x14ac:dyDescent="0.3">
      <c r="A476">
        <v>223</v>
      </c>
      <c r="B476" t="s">
        <v>186</v>
      </c>
      <c r="C476">
        <v>3</v>
      </c>
      <c r="D476">
        <v>6401627</v>
      </c>
      <c r="E476" t="s">
        <v>202</v>
      </c>
      <c r="F476" t="s">
        <v>188</v>
      </c>
      <c r="G476">
        <v>10230553</v>
      </c>
      <c r="H476" s="35">
        <v>46184</v>
      </c>
      <c r="I476" s="35">
        <v>46184</v>
      </c>
      <c r="J476">
        <v>2026</v>
      </c>
      <c r="K476">
        <v>6</v>
      </c>
      <c r="L476" t="s">
        <v>189</v>
      </c>
      <c r="M476">
        <v>1</v>
      </c>
      <c r="N476" t="s">
        <v>190</v>
      </c>
      <c r="O476" t="s">
        <v>191</v>
      </c>
      <c r="P476" t="s">
        <v>199</v>
      </c>
      <c r="Q476" t="s">
        <v>199</v>
      </c>
      <c r="R476">
        <v>24</v>
      </c>
      <c r="S476">
        <v>11</v>
      </c>
      <c r="T476">
        <v>19291</v>
      </c>
      <c r="U476">
        <v>3</v>
      </c>
      <c r="V476" t="s">
        <v>261</v>
      </c>
      <c r="W476" t="s">
        <v>35</v>
      </c>
      <c r="X476" t="s">
        <v>19</v>
      </c>
      <c r="Y476" t="s">
        <v>30</v>
      </c>
      <c r="Z476" t="s">
        <v>30</v>
      </c>
      <c r="AA476">
        <v>8</v>
      </c>
      <c r="AB476">
        <v>101038</v>
      </c>
      <c r="AC476" t="s">
        <v>271</v>
      </c>
      <c r="AD476" t="s">
        <v>272</v>
      </c>
      <c r="AE476">
        <v>1</v>
      </c>
      <c r="AF476">
        <v>10</v>
      </c>
      <c r="AG476">
        <v>364.41</v>
      </c>
      <c r="AH476">
        <v>0</v>
      </c>
      <c r="AI476">
        <v>0</v>
      </c>
      <c r="AJ476">
        <v>0</v>
      </c>
      <c r="AK476">
        <v>655.94</v>
      </c>
      <c r="AL476">
        <v>3644.1</v>
      </c>
      <c r="AM476">
        <v>4300</v>
      </c>
      <c r="AN476">
        <v>8</v>
      </c>
      <c r="AO476" t="s">
        <v>37</v>
      </c>
      <c r="AP476" t="s">
        <v>39</v>
      </c>
      <c r="AQ476">
        <v>10</v>
      </c>
      <c r="AR476">
        <v>105</v>
      </c>
      <c r="AS476" t="s">
        <v>85</v>
      </c>
      <c r="AT476">
        <v>677001</v>
      </c>
      <c r="AU476" t="s">
        <v>273</v>
      </c>
      <c r="AV476" t="s">
        <v>86</v>
      </c>
      <c r="AW476" t="s">
        <v>23</v>
      </c>
      <c r="AX476" t="s">
        <v>24</v>
      </c>
      <c r="AY476" t="s">
        <v>38</v>
      </c>
      <c r="AZ476" t="s">
        <v>197</v>
      </c>
      <c r="BA476" t="s">
        <v>606</v>
      </c>
      <c r="BB476">
        <v>0</v>
      </c>
      <c r="BC476">
        <v>0</v>
      </c>
      <c r="BD476" t="s">
        <v>199</v>
      </c>
      <c r="BE476" t="s">
        <v>199</v>
      </c>
      <c r="BF476">
        <v>0</v>
      </c>
      <c r="BG476">
        <v>0</v>
      </c>
      <c r="BH476" t="s">
        <v>200</v>
      </c>
      <c r="BI476">
        <v>3</v>
      </c>
      <c r="BJ476">
        <v>6401627</v>
      </c>
      <c r="BK476" t="s">
        <v>201</v>
      </c>
      <c r="BL476" t="s">
        <v>190</v>
      </c>
    </row>
    <row r="477" spans="1:64" x14ac:dyDescent="0.3">
      <c r="A477">
        <v>119</v>
      </c>
      <c r="B477" t="s">
        <v>186</v>
      </c>
      <c r="C477">
        <v>3</v>
      </c>
      <c r="D477">
        <v>6402905</v>
      </c>
      <c r="E477" t="s">
        <v>489</v>
      </c>
      <c r="F477" t="s">
        <v>188</v>
      </c>
      <c r="G477">
        <v>10231831</v>
      </c>
      <c r="H477" s="35">
        <v>46185</v>
      </c>
      <c r="I477" s="35">
        <v>46185</v>
      </c>
      <c r="J477">
        <v>2026</v>
      </c>
      <c r="K477">
        <v>6</v>
      </c>
      <c r="L477" t="s">
        <v>189</v>
      </c>
      <c r="M477">
        <v>1</v>
      </c>
      <c r="N477" t="s">
        <v>190</v>
      </c>
      <c r="O477" t="s">
        <v>191</v>
      </c>
      <c r="P477" t="s">
        <v>199</v>
      </c>
      <c r="Q477" t="s">
        <v>199</v>
      </c>
      <c r="R477">
        <v>24</v>
      </c>
      <c r="S477">
        <v>12</v>
      </c>
      <c r="T477">
        <v>36908</v>
      </c>
      <c r="U477">
        <v>3</v>
      </c>
      <c r="V477" t="s">
        <v>215</v>
      </c>
      <c r="W477" t="s">
        <v>67</v>
      </c>
      <c r="X477" t="s">
        <v>28</v>
      </c>
      <c r="Y477" t="s">
        <v>30</v>
      </c>
      <c r="Z477" t="s">
        <v>30</v>
      </c>
      <c r="AA477">
        <v>11</v>
      </c>
      <c r="AB477">
        <v>201001</v>
      </c>
      <c r="AC477" t="s">
        <v>248</v>
      </c>
      <c r="AD477" t="s">
        <v>249</v>
      </c>
      <c r="AE477">
        <v>25</v>
      </c>
      <c r="AF477">
        <v>25</v>
      </c>
      <c r="AG477">
        <v>219.45</v>
      </c>
      <c r="AH477">
        <v>0</v>
      </c>
      <c r="AI477">
        <v>0</v>
      </c>
      <c r="AJ477">
        <v>0</v>
      </c>
      <c r="AK477">
        <v>987.53</v>
      </c>
      <c r="AL477">
        <v>5486.25</v>
      </c>
      <c r="AM477">
        <v>6474</v>
      </c>
      <c r="AN477">
        <v>11</v>
      </c>
      <c r="AO477" t="s">
        <v>69</v>
      </c>
      <c r="AP477" t="s">
        <v>73</v>
      </c>
      <c r="AQ477">
        <v>10</v>
      </c>
      <c r="AR477">
        <v>113</v>
      </c>
      <c r="AS477" t="s">
        <v>89</v>
      </c>
      <c r="AT477">
        <v>82101</v>
      </c>
      <c r="AU477" t="s">
        <v>252</v>
      </c>
      <c r="AV477" t="s">
        <v>80</v>
      </c>
      <c r="AW477" t="s">
        <v>70</v>
      </c>
      <c r="AX477" t="s">
        <v>71</v>
      </c>
      <c r="AY477" t="s">
        <v>72</v>
      </c>
      <c r="AZ477" t="s">
        <v>221</v>
      </c>
      <c r="BA477" t="s">
        <v>607</v>
      </c>
      <c r="BB477">
        <v>0</v>
      </c>
      <c r="BC477">
        <v>0</v>
      </c>
      <c r="BD477" t="s">
        <v>199</v>
      </c>
      <c r="BE477" t="s">
        <v>199</v>
      </c>
      <c r="BF477">
        <v>0</v>
      </c>
      <c r="BG477">
        <v>0</v>
      </c>
      <c r="BH477" t="s">
        <v>200</v>
      </c>
      <c r="BI477">
        <v>3</v>
      </c>
      <c r="BJ477">
        <v>6402905</v>
      </c>
      <c r="BK477" t="s">
        <v>201</v>
      </c>
      <c r="BL477" t="s">
        <v>190</v>
      </c>
    </row>
    <row r="478" spans="1:64" x14ac:dyDescent="0.3">
      <c r="A478">
        <v>109</v>
      </c>
      <c r="B478" t="s">
        <v>186</v>
      </c>
      <c r="C478">
        <v>3</v>
      </c>
      <c r="D478">
        <v>6403774</v>
      </c>
      <c r="E478" t="s">
        <v>187</v>
      </c>
      <c r="F478" t="s">
        <v>188</v>
      </c>
      <c r="G478">
        <v>10232700</v>
      </c>
      <c r="H478" s="35">
        <v>46186</v>
      </c>
      <c r="I478" s="35">
        <v>46186</v>
      </c>
      <c r="J478">
        <v>2026</v>
      </c>
      <c r="K478">
        <v>6</v>
      </c>
      <c r="L478" t="s">
        <v>189</v>
      </c>
      <c r="M478">
        <v>1</v>
      </c>
      <c r="N478" t="s">
        <v>190</v>
      </c>
      <c r="O478" t="s">
        <v>191</v>
      </c>
      <c r="P478" t="s">
        <v>199</v>
      </c>
      <c r="Q478" t="s">
        <v>199</v>
      </c>
      <c r="R478">
        <v>24</v>
      </c>
      <c r="S478">
        <v>13</v>
      </c>
      <c r="T478">
        <v>14167</v>
      </c>
      <c r="U478">
        <v>3</v>
      </c>
      <c r="V478" t="s">
        <v>208</v>
      </c>
      <c r="W478" t="s">
        <v>18</v>
      </c>
      <c r="X478" t="s">
        <v>19</v>
      </c>
      <c r="Y478" t="s">
        <v>20</v>
      </c>
      <c r="Z478" t="s">
        <v>20</v>
      </c>
      <c r="AA478">
        <v>91</v>
      </c>
      <c r="AB478">
        <v>201001</v>
      </c>
      <c r="AC478" t="s">
        <v>248</v>
      </c>
      <c r="AD478" t="s">
        <v>249</v>
      </c>
      <c r="AE478">
        <v>10</v>
      </c>
      <c r="AF478">
        <v>10</v>
      </c>
      <c r="AG478">
        <v>221.67</v>
      </c>
      <c r="AH478">
        <v>0</v>
      </c>
      <c r="AI478">
        <v>0</v>
      </c>
      <c r="AJ478">
        <v>0</v>
      </c>
      <c r="AK478">
        <v>399.01</v>
      </c>
      <c r="AL478">
        <v>2216.6999999999998</v>
      </c>
      <c r="AM478">
        <v>2616</v>
      </c>
      <c r="AN478">
        <v>91</v>
      </c>
      <c r="AO478" t="s">
        <v>22</v>
      </c>
      <c r="AP478" t="s">
        <v>26</v>
      </c>
      <c r="AQ478">
        <v>10</v>
      </c>
      <c r="AR478">
        <v>113</v>
      </c>
      <c r="AS478" t="s">
        <v>89</v>
      </c>
      <c r="AT478">
        <v>82101</v>
      </c>
      <c r="AU478" t="s">
        <v>252</v>
      </c>
      <c r="AV478" t="s">
        <v>80</v>
      </c>
      <c r="AW478" t="s">
        <v>23</v>
      </c>
      <c r="AX478" t="s">
        <v>24</v>
      </c>
      <c r="AY478" t="s">
        <v>25</v>
      </c>
      <c r="AZ478" t="s">
        <v>197</v>
      </c>
      <c r="BA478" t="s">
        <v>608</v>
      </c>
      <c r="BB478">
        <v>0</v>
      </c>
      <c r="BC478">
        <v>0</v>
      </c>
      <c r="BD478" t="s">
        <v>199</v>
      </c>
      <c r="BE478" t="s">
        <v>199</v>
      </c>
      <c r="BF478">
        <v>0</v>
      </c>
      <c r="BG478">
        <v>0</v>
      </c>
      <c r="BH478" t="s">
        <v>200</v>
      </c>
      <c r="BI478">
        <v>3</v>
      </c>
      <c r="BJ478">
        <v>6403774</v>
      </c>
      <c r="BK478" t="s">
        <v>201</v>
      </c>
      <c r="BL478" t="s">
        <v>190</v>
      </c>
    </row>
    <row r="479" spans="1:64" x14ac:dyDescent="0.3">
      <c r="A479">
        <v>119</v>
      </c>
      <c r="B479" t="s">
        <v>186</v>
      </c>
      <c r="C479">
        <v>3</v>
      </c>
      <c r="D479">
        <v>6404163</v>
      </c>
      <c r="E479" t="s">
        <v>489</v>
      </c>
      <c r="F479" t="s">
        <v>188</v>
      </c>
      <c r="G479">
        <v>10233089</v>
      </c>
      <c r="H479" s="35">
        <v>46186</v>
      </c>
      <c r="I479" s="35">
        <v>46186</v>
      </c>
      <c r="J479">
        <v>2026</v>
      </c>
      <c r="K479">
        <v>6</v>
      </c>
      <c r="L479" t="s">
        <v>189</v>
      </c>
      <c r="M479">
        <v>1</v>
      </c>
      <c r="N479" t="s">
        <v>190</v>
      </c>
      <c r="O479" t="s">
        <v>191</v>
      </c>
      <c r="P479" t="s">
        <v>199</v>
      </c>
      <c r="Q479" t="s">
        <v>199</v>
      </c>
      <c r="R479">
        <v>24</v>
      </c>
      <c r="S479">
        <v>13</v>
      </c>
      <c r="T479">
        <v>36908</v>
      </c>
      <c r="U479">
        <v>3</v>
      </c>
      <c r="V479" t="s">
        <v>215</v>
      </c>
      <c r="W479" t="s">
        <v>67</v>
      </c>
      <c r="X479" t="s">
        <v>28</v>
      </c>
      <c r="Y479" t="s">
        <v>30</v>
      </c>
      <c r="Z479" t="s">
        <v>30</v>
      </c>
      <c r="AA479">
        <v>11</v>
      </c>
      <c r="AB479">
        <v>800089</v>
      </c>
      <c r="AC479" t="s">
        <v>295</v>
      </c>
      <c r="AD479" t="s">
        <v>296</v>
      </c>
      <c r="AE479">
        <v>3</v>
      </c>
      <c r="AF479">
        <v>24</v>
      </c>
      <c r="AG479">
        <v>357.12</v>
      </c>
      <c r="AH479">
        <v>0</v>
      </c>
      <c r="AI479">
        <v>0</v>
      </c>
      <c r="AJ479">
        <v>0</v>
      </c>
      <c r="AK479">
        <v>1542.76</v>
      </c>
      <c r="AL479">
        <v>8570.8799999999992</v>
      </c>
      <c r="AM479">
        <v>10114</v>
      </c>
      <c r="AN479">
        <v>11</v>
      </c>
      <c r="AO479" t="s">
        <v>69</v>
      </c>
      <c r="AP479" t="s">
        <v>73</v>
      </c>
      <c r="AQ479">
        <v>10</v>
      </c>
      <c r="AR479">
        <v>105</v>
      </c>
      <c r="AS479" t="s">
        <v>85</v>
      </c>
      <c r="AT479">
        <v>677001</v>
      </c>
      <c r="AU479" t="s">
        <v>273</v>
      </c>
      <c r="AV479" t="s">
        <v>86</v>
      </c>
      <c r="AW479" t="s">
        <v>70</v>
      </c>
      <c r="AX479" t="s">
        <v>71</v>
      </c>
      <c r="AY479" t="s">
        <v>72</v>
      </c>
      <c r="AZ479" t="s">
        <v>221</v>
      </c>
      <c r="BA479" t="s">
        <v>609</v>
      </c>
      <c r="BB479">
        <v>0</v>
      </c>
      <c r="BC479">
        <v>0</v>
      </c>
      <c r="BD479" t="s">
        <v>199</v>
      </c>
      <c r="BE479" t="s">
        <v>199</v>
      </c>
      <c r="BF479">
        <v>0</v>
      </c>
      <c r="BG479">
        <v>0</v>
      </c>
      <c r="BH479" t="s">
        <v>200</v>
      </c>
      <c r="BI479">
        <v>3</v>
      </c>
      <c r="BJ479">
        <v>6404163</v>
      </c>
      <c r="BK479" t="s">
        <v>201</v>
      </c>
      <c r="BL479" t="s">
        <v>190</v>
      </c>
    </row>
    <row r="480" spans="1:64" x14ac:dyDescent="0.3">
      <c r="A480">
        <v>119</v>
      </c>
      <c r="B480" t="s">
        <v>186</v>
      </c>
      <c r="C480">
        <v>3</v>
      </c>
      <c r="D480">
        <v>6404163</v>
      </c>
      <c r="E480" t="s">
        <v>489</v>
      </c>
      <c r="F480" t="s">
        <v>188</v>
      </c>
      <c r="G480">
        <v>10233089</v>
      </c>
      <c r="H480" s="35">
        <v>46186</v>
      </c>
      <c r="I480" s="35">
        <v>46186</v>
      </c>
      <c r="J480">
        <v>2026</v>
      </c>
      <c r="K480">
        <v>6</v>
      </c>
      <c r="L480" t="s">
        <v>189</v>
      </c>
      <c r="M480">
        <v>1</v>
      </c>
      <c r="N480" t="s">
        <v>190</v>
      </c>
      <c r="O480" t="s">
        <v>191</v>
      </c>
      <c r="P480" t="s">
        <v>199</v>
      </c>
      <c r="Q480" t="s">
        <v>199</v>
      </c>
      <c r="R480">
        <v>24</v>
      </c>
      <c r="S480">
        <v>13</v>
      </c>
      <c r="T480">
        <v>36908</v>
      </c>
      <c r="U480">
        <v>3</v>
      </c>
      <c r="V480" t="s">
        <v>215</v>
      </c>
      <c r="W480" t="s">
        <v>67</v>
      </c>
      <c r="X480" t="s">
        <v>28</v>
      </c>
      <c r="Y480" t="s">
        <v>30</v>
      </c>
      <c r="Z480" t="s">
        <v>30</v>
      </c>
      <c r="AA480">
        <v>11</v>
      </c>
      <c r="AB480">
        <v>101038</v>
      </c>
      <c r="AC480" t="s">
        <v>271</v>
      </c>
      <c r="AD480" t="s">
        <v>272</v>
      </c>
      <c r="AE480">
        <v>3</v>
      </c>
      <c r="AF480">
        <v>30</v>
      </c>
      <c r="AG480">
        <v>357.12</v>
      </c>
      <c r="AH480">
        <v>0</v>
      </c>
      <c r="AI480">
        <v>0</v>
      </c>
      <c r="AJ480">
        <v>0</v>
      </c>
      <c r="AK480">
        <v>1928.45</v>
      </c>
      <c r="AL480">
        <v>10713.6</v>
      </c>
      <c r="AM480">
        <v>12642</v>
      </c>
      <c r="AN480">
        <v>11</v>
      </c>
      <c r="AO480" t="s">
        <v>69</v>
      </c>
      <c r="AP480" t="s">
        <v>73</v>
      </c>
      <c r="AQ480">
        <v>10</v>
      </c>
      <c r="AR480">
        <v>105</v>
      </c>
      <c r="AS480" t="s">
        <v>85</v>
      </c>
      <c r="AT480">
        <v>677001</v>
      </c>
      <c r="AU480" t="s">
        <v>273</v>
      </c>
      <c r="AV480" t="s">
        <v>86</v>
      </c>
      <c r="AW480" t="s">
        <v>70</v>
      </c>
      <c r="AX480" t="s">
        <v>71</v>
      </c>
      <c r="AY480" t="s">
        <v>72</v>
      </c>
      <c r="AZ480" t="s">
        <v>221</v>
      </c>
      <c r="BA480" t="s">
        <v>609</v>
      </c>
      <c r="BB480">
        <v>0</v>
      </c>
      <c r="BC480">
        <v>0</v>
      </c>
      <c r="BD480" t="s">
        <v>199</v>
      </c>
      <c r="BE480" t="s">
        <v>199</v>
      </c>
      <c r="BF480">
        <v>0</v>
      </c>
      <c r="BG480">
        <v>0</v>
      </c>
      <c r="BH480" t="s">
        <v>200</v>
      </c>
      <c r="BI480">
        <v>3</v>
      </c>
      <c r="BJ480">
        <v>6404163</v>
      </c>
      <c r="BK480" t="s">
        <v>201</v>
      </c>
      <c r="BL480" t="s">
        <v>190</v>
      </c>
    </row>
    <row r="481" spans="1:64" x14ac:dyDescent="0.3">
      <c r="A481">
        <v>242</v>
      </c>
      <c r="B481" t="s">
        <v>186</v>
      </c>
      <c r="C481">
        <v>3</v>
      </c>
      <c r="D481">
        <v>6405363</v>
      </c>
      <c r="E481" t="s">
        <v>275</v>
      </c>
      <c r="F481" t="s">
        <v>188</v>
      </c>
      <c r="G481">
        <v>10234289</v>
      </c>
      <c r="H481" s="35">
        <v>46188</v>
      </c>
      <c r="I481" s="35">
        <v>46188</v>
      </c>
      <c r="J481">
        <v>2026</v>
      </c>
      <c r="K481">
        <v>6</v>
      </c>
      <c r="L481" t="s">
        <v>189</v>
      </c>
      <c r="M481">
        <v>1</v>
      </c>
      <c r="N481" t="s">
        <v>190</v>
      </c>
      <c r="O481" t="s">
        <v>191</v>
      </c>
      <c r="P481" t="s">
        <v>199</v>
      </c>
      <c r="Q481" t="s">
        <v>199</v>
      </c>
      <c r="R481">
        <v>25</v>
      </c>
      <c r="S481">
        <v>15</v>
      </c>
      <c r="T481">
        <v>29579</v>
      </c>
      <c r="U481">
        <v>3</v>
      </c>
      <c r="V481" t="s">
        <v>224</v>
      </c>
      <c r="W481" t="s">
        <v>40</v>
      </c>
      <c r="X481" t="s">
        <v>19</v>
      </c>
      <c r="Y481" t="s">
        <v>41</v>
      </c>
      <c r="Z481" t="s">
        <v>41</v>
      </c>
      <c r="AA481">
        <v>60</v>
      </c>
      <c r="AB481">
        <v>101038</v>
      </c>
      <c r="AC481" t="s">
        <v>271</v>
      </c>
      <c r="AD481" t="s">
        <v>272</v>
      </c>
      <c r="AE481">
        <v>1</v>
      </c>
      <c r="AF481">
        <v>10</v>
      </c>
      <c r="AG481">
        <v>364.41</v>
      </c>
      <c r="AH481">
        <v>0</v>
      </c>
      <c r="AI481">
        <v>0</v>
      </c>
      <c r="AJ481">
        <v>0</v>
      </c>
      <c r="AK481">
        <v>655.94</v>
      </c>
      <c r="AL481">
        <v>3644.1</v>
      </c>
      <c r="AM481">
        <v>4300</v>
      </c>
      <c r="AN481">
        <v>60</v>
      </c>
      <c r="AO481" t="s">
        <v>43</v>
      </c>
      <c r="AP481" t="s">
        <v>45</v>
      </c>
      <c r="AQ481">
        <v>10</v>
      </c>
      <c r="AR481">
        <v>105</v>
      </c>
      <c r="AS481" t="s">
        <v>85</v>
      </c>
      <c r="AT481">
        <v>677001</v>
      </c>
      <c r="AU481" t="s">
        <v>273</v>
      </c>
      <c r="AV481" t="s">
        <v>86</v>
      </c>
      <c r="AW481" t="s">
        <v>23</v>
      </c>
      <c r="AX481" t="s">
        <v>24</v>
      </c>
      <c r="AY481" t="s">
        <v>44</v>
      </c>
      <c r="AZ481" t="s">
        <v>197</v>
      </c>
      <c r="BA481" t="s">
        <v>610</v>
      </c>
      <c r="BB481">
        <v>0</v>
      </c>
      <c r="BC481">
        <v>0</v>
      </c>
      <c r="BD481" t="s">
        <v>199</v>
      </c>
      <c r="BE481" t="s">
        <v>199</v>
      </c>
      <c r="BF481">
        <v>0</v>
      </c>
      <c r="BG481">
        <v>0</v>
      </c>
      <c r="BH481" t="s">
        <v>200</v>
      </c>
      <c r="BI481">
        <v>3</v>
      </c>
      <c r="BJ481">
        <v>6405363</v>
      </c>
      <c r="BK481" t="s">
        <v>201</v>
      </c>
      <c r="BL481" t="s">
        <v>190</v>
      </c>
    </row>
    <row r="482" spans="1:64" x14ac:dyDescent="0.3">
      <c r="A482">
        <v>223</v>
      </c>
      <c r="B482" t="s">
        <v>186</v>
      </c>
      <c r="C482">
        <v>3</v>
      </c>
      <c r="D482">
        <v>6405433</v>
      </c>
      <c r="E482" t="s">
        <v>202</v>
      </c>
      <c r="F482" t="s">
        <v>188</v>
      </c>
      <c r="G482">
        <v>10234359</v>
      </c>
      <c r="H482" s="35">
        <v>46188</v>
      </c>
      <c r="I482" s="35">
        <v>46188</v>
      </c>
      <c r="J482">
        <v>2026</v>
      </c>
      <c r="K482">
        <v>6</v>
      </c>
      <c r="L482" t="s">
        <v>189</v>
      </c>
      <c r="M482">
        <v>1</v>
      </c>
      <c r="N482" t="s">
        <v>190</v>
      </c>
      <c r="O482" t="s">
        <v>191</v>
      </c>
      <c r="P482" t="s">
        <v>199</v>
      </c>
      <c r="Q482" t="s">
        <v>199</v>
      </c>
      <c r="R482">
        <v>25</v>
      </c>
      <c r="S482">
        <v>15</v>
      </c>
      <c r="T482">
        <v>14167</v>
      </c>
      <c r="U482">
        <v>3</v>
      </c>
      <c r="V482" t="s">
        <v>208</v>
      </c>
      <c r="W482" t="s">
        <v>18</v>
      </c>
      <c r="X482" t="s">
        <v>19</v>
      </c>
      <c r="Y482" t="s">
        <v>20</v>
      </c>
      <c r="Z482" t="s">
        <v>20</v>
      </c>
      <c r="AA482">
        <v>91</v>
      </c>
      <c r="AB482">
        <v>201001</v>
      </c>
      <c r="AC482" t="s">
        <v>248</v>
      </c>
      <c r="AD482" t="s">
        <v>249</v>
      </c>
      <c r="AE482">
        <v>10</v>
      </c>
      <c r="AF482">
        <v>10</v>
      </c>
      <c r="AG482">
        <v>221.67</v>
      </c>
      <c r="AH482">
        <v>0</v>
      </c>
      <c r="AI482">
        <v>0</v>
      </c>
      <c r="AJ482">
        <v>0</v>
      </c>
      <c r="AK482">
        <v>399.01</v>
      </c>
      <c r="AL482">
        <v>2216.6999999999998</v>
      </c>
      <c r="AM482">
        <v>2616</v>
      </c>
      <c r="AN482">
        <v>91</v>
      </c>
      <c r="AO482" t="s">
        <v>22</v>
      </c>
      <c r="AP482" t="s">
        <v>26</v>
      </c>
      <c r="AQ482">
        <v>10</v>
      </c>
      <c r="AR482">
        <v>113</v>
      </c>
      <c r="AS482" t="s">
        <v>89</v>
      </c>
      <c r="AT482">
        <v>82101</v>
      </c>
      <c r="AU482" t="s">
        <v>252</v>
      </c>
      <c r="AV482" t="s">
        <v>80</v>
      </c>
      <c r="AW482" t="s">
        <v>23</v>
      </c>
      <c r="AX482" t="s">
        <v>24</v>
      </c>
      <c r="AY482" t="s">
        <v>25</v>
      </c>
      <c r="AZ482" t="s">
        <v>197</v>
      </c>
      <c r="BA482" t="s">
        <v>611</v>
      </c>
      <c r="BB482">
        <v>0</v>
      </c>
      <c r="BC482">
        <v>0</v>
      </c>
      <c r="BD482" t="s">
        <v>199</v>
      </c>
      <c r="BE482" t="s">
        <v>199</v>
      </c>
      <c r="BF482">
        <v>0</v>
      </c>
      <c r="BG482">
        <v>0</v>
      </c>
      <c r="BH482" t="s">
        <v>200</v>
      </c>
      <c r="BI482">
        <v>3</v>
      </c>
      <c r="BJ482">
        <v>6405433</v>
      </c>
      <c r="BK482" t="s">
        <v>201</v>
      </c>
      <c r="BL482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"/>
  <sheetViews>
    <sheetView showGridLines="0" workbookViewId="0">
      <pane ySplit="3" topLeftCell="A74" activePane="bottomLeft" state="frozen"/>
      <selection pane="bottomLeft" activeCell="B3" sqref="B3"/>
    </sheetView>
  </sheetViews>
  <sheetFormatPr baseColWidth="10" defaultColWidth="8.88671875" defaultRowHeight="14.4" x14ac:dyDescent="0.3"/>
  <cols>
    <col min="1" max="1" width="12" customWidth="1"/>
    <col min="2" max="2" width="32" customWidth="1"/>
    <col min="3" max="3" width="22" customWidth="1"/>
    <col min="4" max="4" width="24" customWidth="1"/>
    <col min="5" max="5" width="18" customWidth="1"/>
    <col min="6" max="6" width="16" customWidth="1"/>
  </cols>
  <sheetData>
    <row r="1" spans="1:6" ht="22.05" customHeight="1" x14ac:dyDescent="0.3">
      <c r="A1" s="31" t="s">
        <v>74</v>
      </c>
      <c r="B1" s="29"/>
      <c r="C1" s="29"/>
      <c r="D1" s="29"/>
      <c r="E1" s="29"/>
      <c r="F1" s="29"/>
    </row>
    <row r="3" spans="1:6" ht="19.95" customHeight="1" x14ac:dyDescent="0.3">
      <c r="A3" s="13" t="s">
        <v>4</v>
      </c>
      <c r="B3" s="13" t="s">
        <v>5</v>
      </c>
      <c r="C3" s="13" t="s">
        <v>75</v>
      </c>
      <c r="D3" s="13" t="s">
        <v>76</v>
      </c>
      <c r="E3" s="13" t="s">
        <v>77</v>
      </c>
      <c r="F3" s="13" t="s">
        <v>78</v>
      </c>
    </row>
    <row r="4" spans="1:6" ht="15" customHeight="1" x14ac:dyDescent="0.3">
      <c r="A4" s="14">
        <v>1019</v>
      </c>
      <c r="B4" s="15" t="s">
        <v>46</v>
      </c>
      <c r="C4" s="15" t="s">
        <v>79</v>
      </c>
      <c r="D4" s="15" t="s">
        <v>80</v>
      </c>
      <c r="E4" s="16">
        <v>1253.28</v>
      </c>
      <c r="F4" s="14">
        <v>1</v>
      </c>
    </row>
    <row r="5" spans="1:6" ht="15" customHeight="1" x14ac:dyDescent="0.3">
      <c r="A5" s="17">
        <v>1019</v>
      </c>
      <c r="B5" s="18" t="s">
        <v>46</v>
      </c>
      <c r="C5" s="18" t="s">
        <v>81</v>
      </c>
      <c r="D5" s="18" t="s">
        <v>82</v>
      </c>
      <c r="E5" s="19">
        <v>1485.1</v>
      </c>
      <c r="F5" s="17">
        <v>1</v>
      </c>
    </row>
    <row r="6" spans="1:6" ht="15" customHeight="1" x14ac:dyDescent="0.3">
      <c r="A6" s="14">
        <v>1019</v>
      </c>
      <c r="B6" s="15" t="s">
        <v>46</v>
      </c>
      <c r="C6" s="15" t="s">
        <v>83</v>
      </c>
      <c r="D6" s="15" t="s">
        <v>82</v>
      </c>
      <c r="E6" s="16">
        <v>845.4</v>
      </c>
      <c r="F6" s="14">
        <v>1</v>
      </c>
    </row>
    <row r="7" spans="1:6" ht="15" customHeight="1" x14ac:dyDescent="0.3">
      <c r="A7" s="17">
        <v>1019</v>
      </c>
      <c r="B7" s="18" t="s">
        <v>46</v>
      </c>
      <c r="C7" s="18" t="s">
        <v>84</v>
      </c>
      <c r="D7" s="18" t="s">
        <v>82</v>
      </c>
      <c r="E7" s="19">
        <v>966.96</v>
      </c>
      <c r="F7" s="17">
        <v>1</v>
      </c>
    </row>
    <row r="8" spans="1:6" ht="15" customHeight="1" x14ac:dyDescent="0.3">
      <c r="A8" s="14">
        <v>1019</v>
      </c>
      <c r="B8" s="15" t="s">
        <v>46</v>
      </c>
      <c r="C8" s="15" t="s">
        <v>85</v>
      </c>
      <c r="D8" s="15" t="s">
        <v>86</v>
      </c>
      <c r="E8" s="16">
        <v>2222.9749999999999</v>
      </c>
      <c r="F8" s="14">
        <v>4</v>
      </c>
    </row>
    <row r="9" spans="1:6" ht="15" customHeight="1" x14ac:dyDescent="0.3">
      <c r="A9" s="17">
        <v>1019</v>
      </c>
      <c r="B9" s="18" t="s">
        <v>46</v>
      </c>
      <c r="C9" s="18" t="s">
        <v>87</v>
      </c>
      <c r="D9" s="18" t="s">
        <v>86</v>
      </c>
      <c r="E9" s="19">
        <v>1193.06</v>
      </c>
      <c r="F9" s="17">
        <v>2</v>
      </c>
    </row>
    <row r="10" spans="1:6" ht="15" customHeight="1" x14ac:dyDescent="0.3">
      <c r="A10" s="14">
        <v>1019</v>
      </c>
      <c r="B10" s="15" t="s">
        <v>46</v>
      </c>
      <c r="C10" s="15" t="s">
        <v>88</v>
      </c>
      <c r="D10" s="15" t="s">
        <v>82</v>
      </c>
      <c r="E10" s="16">
        <v>869.5</v>
      </c>
      <c r="F10" s="14">
        <v>2</v>
      </c>
    </row>
    <row r="11" spans="1:6" ht="15" customHeight="1" x14ac:dyDescent="0.3">
      <c r="A11" s="17">
        <v>1019</v>
      </c>
      <c r="B11" s="18" t="s">
        <v>46</v>
      </c>
      <c r="C11" s="18" t="s">
        <v>89</v>
      </c>
      <c r="D11" s="18" t="s">
        <v>80</v>
      </c>
      <c r="E11" s="19">
        <v>5532.8</v>
      </c>
      <c r="F11" s="17">
        <v>1</v>
      </c>
    </row>
    <row r="12" spans="1:6" ht="15" customHeight="1" x14ac:dyDescent="0.3">
      <c r="A12" s="14">
        <v>1161</v>
      </c>
      <c r="B12" s="15" t="s">
        <v>61</v>
      </c>
      <c r="C12" s="15" t="s">
        <v>84</v>
      </c>
      <c r="D12" s="15" t="s">
        <v>82</v>
      </c>
      <c r="E12" s="16">
        <v>1933.92</v>
      </c>
      <c r="F12" s="14">
        <v>1</v>
      </c>
    </row>
    <row r="13" spans="1:6" ht="15" customHeight="1" x14ac:dyDescent="0.3">
      <c r="A13" s="17">
        <v>1161</v>
      </c>
      <c r="B13" s="18" t="s">
        <v>61</v>
      </c>
      <c r="C13" s="18" t="s">
        <v>90</v>
      </c>
      <c r="D13" s="18" t="s">
        <v>91</v>
      </c>
      <c r="E13" s="19">
        <v>1943.4</v>
      </c>
      <c r="F13" s="17">
        <v>1</v>
      </c>
    </row>
    <row r="14" spans="1:6" ht="15" customHeight="1" x14ac:dyDescent="0.3">
      <c r="A14" s="14">
        <v>1161</v>
      </c>
      <c r="B14" s="15" t="s">
        <v>61</v>
      </c>
      <c r="C14" s="15" t="s">
        <v>85</v>
      </c>
      <c r="D14" s="15" t="s">
        <v>86</v>
      </c>
      <c r="E14" s="16">
        <v>3542.4</v>
      </c>
      <c r="F14" s="14">
        <v>1</v>
      </c>
    </row>
    <row r="15" spans="1:6" ht="15" customHeight="1" x14ac:dyDescent="0.3">
      <c r="A15" s="17">
        <v>1161</v>
      </c>
      <c r="B15" s="18" t="s">
        <v>61</v>
      </c>
      <c r="C15" s="18" t="s">
        <v>87</v>
      </c>
      <c r="D15" s="18" t="s">
        <v>86</v>
      </c>
      <c r="E15" s="19">
        <v>2380.3200000000002</v>
      </c>
      <c r="F15" s="17">
        <v>1</v>
      </c>
    </row>
    <row r="16" spans="1:6" ht="15" customHeight="1" x14ac:dyDescent="0.3">
      <c r="A16" s="14">
        <v>2280</v>
      </c>
      <c r="B16" s="15" t="s">
        <v>29</v>
      </c>
      <c r="C16" s="15" t="s">
        <v>79</v>
      </c>
      <c r="D16" s="15" t="s">
        <v>80</v>
      </c>
      <c r="E16" s="16">
        <v>1534.88</v>
      </c>
      <c r="F16" s="14">
        <v>4</v>
      </c>
    </row>
    <row r="17" spans="1:6" ht="15" customHeight="1" x14ac:dyDescent="0.3">
      <c r="A17" s="17">
        <v>2280</v>
      </c>
      <c r="B17" s="18" t="s">
        <v>29</v>
      </c>
      <c r="C17" s="18" t="s">
        <v>81</v>
      </c>
      <c r="D17" s="18" t="s">
        <v>82</v>
      </c>
      <c r="E17" s="19">
        <v>300.02</v>
      </c>
      <c r="F17" s="17">
        <v>1</v>
      </c>
    </row>
    <row r="18" spans="1:6" ht="15" customHeight="1" x14ac:dyDescent="0.3">
      <c r="A18" s="14">
        <v>2280</v>
      </c>
      <c r="B18" s="15" t="s">
        <v>29</v>
      </c>
      <c r="C18" s="15" t="s">
        <v>92</v>
      </c>
      <c r="D18" s="15" t="s">
        <v>82</v>
      </c>
      <c r="E18" s="16">
        <v>223.88499999999999</v>
      </c>
      <c r="F18" s="14">
        <v>2</v>
      </c>
    </row>
    <row r="19" spans="1:6" ht="15" customHeight="1" x14ac:dyDescent="0.3">
      <c r="A19" s="17">
        <v>2280</v>
      </c>
      <c r="B19" s="18" t="s">
        <v>29</v>
      </c>
      <c r="C19" s="18" t="s">
        <v>93</v>
      </c>
      <c r="D19" s="18" t="s">
        <v>82</v>
      </c>
      <c r="E19" s="19">
        <v>1656.16</v>
      </c>
      <c r="F19" s="17">
        <v>1</v>
      </c>
    </row>
    <row r="20" spans="1:6" ht="15" customHeight="1" x14ac:dyDescent="0.3">
      <c r="A20" s="14">
        <v>2280</v>
      </c>
      <c r="B20" s="15" t="s">
        <v>29</v>
      </c>
      <c r="C20" s="15" t="s">
        <v>94</v>
      </c>
      <c r="D20" s="15" t="s">
        <v>95</v>
      </c>
      <c r="E20" s="16">
        <v>394.32</v>
      </c>
      <c r="F20" s="14">
        <v>1</v>
      </c>
    </row>
    <row r="21" spans="1:6" ht="15" customHeight="1" x14ac:dyDescent="0.3">
      <c r="A21" s="17">
        <v>2280</v>
      </c>
      <c r="B21" s="18" t="s">
        <v>29</v>
      </c>
      <c r="C21" s="18" t="s">
        <v>96</v>
      </c>
      <c r="D21" s="18" t="s">
        <v>86</v>
      </c>
      <c r="E21" s="19">
        <v>2597.2399999999998</v>
      </c>
      <c r="F21" s="17">
        <v>4</v>
      </c>
    </row>
    <row r="22" spans="1:6" ht="15" customHeight="1" x14ac:dyDescent="0.3">
      <c r="A22" s="14">
        <v>2280</v>
      </c>
      <c r="B22" s="15" t="s">
        <v>29</v>
      </c>
      <c r="C22" s="15" t="s">
        <v>84</v>
      </c>
      <c r="D22" s="15" t="s">
        <v>82</v>
      </c>
      <c r="E22" s="16">
        <v>0</v>
      </c>
      <c r="F22" s="14">
        <v>2</v>
      </c>
    </row>
    <row r="23" spans="1:6" ht="15" customHeight="1" x14ac:dyDescent="0.3">
      <c r="A23" s="17">
        <v>2280</v>
      </c>
      <c r="B23" s="18" t="s">
        <v>29</v>
      </c>
      <c r="C23" s="18" t="s">
        <v>90</v>
      </c>
      <c r="D23" s="18" t="s">
        <v>91</v>
      </c>
      <c r="E23" s="19">
        <v>3777.3150000000001</v>
      </c>
      <c r="F23" s="17">
        <v>4</v>
      </c>
    </row>
    <row r="24" spans="1:6" ht="15" customHeight="1" x14ac:dyDescent="0.3">
      <c r="A24" s="14">
        <v>2280</v>
      </c>
      <c r="B24" s="15" t="s">
        <v>29</v>
      </c>
      <c r="C24" s="15" t="s">
        <v>85</v>
      </c>
      <c r="D24" s="15" t="s">
        <v>86</v>
      </c>
      <c r="E24" s="16">
        <v>7141.41</v>
      </c>
      <c r="F24" s="14">
        <v>4</v>
      </c>
    </row>
    <row r="25" spans="1:6" ht="15" customHeight="1" x14ac:dyDescent="0.3">
      <c r="A25" s="17">
        <v>2280</v>
      </c>
      <c r="B25" s="18" t="s">
        <v>29</v>
      </c>
      <c r="C25" s="18" t="s">
        <v>87</v>
      </c>
      <c r="D25" s="18" t="s">
        <v>86</v>
      </c>
      <c r="E25" s="19">
        <v>936.38499999999999</v>
      </c>
      <c r="F25" s="17">
        <v>2</v>
      </c>
    </row>
    <row r="26" spans="1:6" ht="15" customHeight="1" x14ac:dyDescent="0.3">
      <c r="A26" s="14">
        <v>2280</v>
      </c>
      <c r="B26" s="15" t="s">
        <v>29</v>
      </c>
      <c r="C26" s="15" t="s">
        <v>97</v>
      </c>
      <c r="D26" s="15" t="s">
        <v>86</v>
      </c>
      <c r="E26" s="16">
        <v>0</v>
      </c>
      <c r="F26" s="14">
        <v>1</v>
      </c>
    </row>
    <row r="27" spans="1:6" ht="15" customHeight="1" x14ac:dyDescent="0.3">
      <c r="A27" s="17">
        <v>2280</v>
      </c>
      <c r="B27" s="18" t="s">
        <v>29</v>
      </c>
      <c r="C27" s="18" t="s">
        <v>89</v>
      </c>
      <c r="D27" s="18" t="s">
        <v>80</v>
      </c>
      <c r="E27" s="19">
        <v>1995.2349999999999</v>
      </c>
      <c r="F27" s="17">
        <v>6</v>
      </c>
    </row>
    <row r="28" spans="1:6" ht="15" customHeight="1" x14ac:dyDescent="0.3">
      <c r="A28" s="14">
        <v>2280</v>
      </c>
      <c r="B28" s="15" t="s">
        <v>29</v>
      </c>
      <c r="C28" s="15" t="s">
        <v>98</v>
      </c>
      <c r="D28" s="15" t="s">
        <v>99</v>
      </c>
      <c r="E28" s="16">
        <v>0</v>
      </c>
      <c r="F28" s="14">
        <v>2</v>
      </c>
    </row>
    <row r="29" spans="1:6" ht="15" customHeight="1" x14ac:dyDescent="0.3">
      <c r="A29" s="17">
        <v>5474</v>
      </c>
      <c r="B29" s="18" t="s">
        <v>54</v>
      </c>
      <c r="C29" s="18" t="s">
        <v>100</v>
      </c>
      <c r="D29" s="18" t="s">
        <v>101</v>
      </c>
      <c r="E29" s="19">
        <v>2832</v>
      </c>
      <c r="F29" s="17">
        <v>1</v>
      </c>
    </row>
    <row r="30" spans="1:6" ht="15" customHeight="1" x14ac:dyDescent="0.3">
      <c r="A30" s="14">
        <v>5474</v>
      </c>
      <c r="B30" s="15" t="s">
        <v>54</v>
      </c>
      <c r="C30" s="15" t="s">
        <v>79</v>
      </c>
      <c r="D30" s="15" t="s">
        <v>80</v>
      </c>
      <c r="E30" s="16">
        <v>2351.712</v>
      </c>
      <c r="F30" s="14">
        <v>5</v>
      </c>
    </row>
    <row r="31" spans="1:6" ht="15" customHeight="1" x14ac:dyDescent="0.3">
      <c r="A31" s="17">
        <v>5474</v>
      </c>
      <c r="B31" s="18" t="s">
        <v>54</v>
      </c>
      <c r="C31" s="18" t="s">
        <v>81</v>
      </c>
      <c r="D31" s="18" t="s">
        <v>82</v>
      </c>
      <c r="E31" s="19">
        <v>612.44000000000005</v>
      </c>
      <c r="F31" s="17">
        <v>1</v>
      </c>
    </row>
    <row r="32" spans="1:6" ht="15" customHeight="1" x14ac:dyDescent="0.3">
      <c r="A32" s="14">
        <v>5474</v>
      </c>
      <c r="B32" s="15" t="s">
        <v>54</v>
      </c>
      <c r="C32" s="15" t="s">
        <v>92</v>
      </c>
      <c r="D32" s="15" t="s">
        <v>82</v>
      </c>
      <c r="E32" s="16">
        <v>1416.2860000000001</v>
      </c>
      <c r="F32" s="14">
        <v>5</v>
      </c>
    </row>
    <row r="33" spans="1:6" ht="15" customHeight="1" x14ac:dyDescent="0.3">
      <c r="A33" s="17">
        <v>5474</v>
      </c>
      <c r="B33" s="18" t="s">
        <v>54</v>
      </c>
      <c r="C33" s="18" t="s">
        <v>94</v>
      </c>
      <c r="D33" s="18" t="s">
        <v>95</v>
      </c>
      <c r="E33" s="19">
        <v>1854.3066666666671</v>
      </c>
      <c r="F33" s="17">
        <v>3</v>
      </c>
    </row>
    <row r="34" spans="1:6" ht="15" customHeight="1" x14ac:dyDescent="0.3">
      <c r="A34" s="14">
        <v>5474</v>
      </c>
      <c r="B34" s="15" t="s">
        <v>54</v>
      </c>
      <c r="C34" s="15" t="s">
        <v>96</v>
      </c>
      <c r="D34" s="15" t="s">
        <v>86</v>
      </c>
      <c r="E34" s="16">
        <v>1025.333333333333</v>
      </c>
      <c r="F34" s="14">
        <v>3</v>
      </c>
    </row>
    <row r="35" spans="1:6" ht="15" customHeight="1" x14ac:dyDescent="0.3">
      <c r="A35" s="17">
        <v>5474</v>
      </c>
      <c r="B35" s="18" t="s">
        <v>54</v>
      </c>
      <c r="C35" s="18" t="s">
        <v>85</v>
      </c>
      <c r="D35" s="18" t="s">
        <v>86</v>
      </c>
      <c r="E35" s="19">
        <v>3644.1</v>
      </c>
      <c r="F35" s="17">
        <v>1</v>
      </c>
    </row>
    <row r="36" spans="1:6" ht="15" customHeight="1" x14ac:dyDescent="0.3">
      <c r="A36" s="14">
        <v>5474</v>
      </c>
      <c r="B36" s="15" t="s">
        <v>54</v>
      </c>
      <c r="C36" s="15" t="s">
        <v>97</v>
      </c>
      <c r="D36" s="15" t="s">
        <v>95</v>
      </c>
      <c r="E36" s="16">
        <v>0</v>
      </c>
      <c r="F36" s="14">
        <v>1</v>
      </c>
    </row>
    <row r="37" spans="1:6" ht="15" customHeight="1" x14ac:dyDescent="0.3">
      <c r="A37" s="17">
        <v>5474</v>
      </c>
      <c r="B37" s="18" t="s">
        <v>54</v>
      </c>
      <c r="C37" s="18" t="s">
        <v>88</v>
      </c>
      <c r="D37" s="18" t="s">
        <v>82</v>
      </c>
      <c r="E37" s="19">
        <v>348.96</v>
      </c>
      <c r="F37" s="17">
        <v>1</v>
      </c>
    </row>
    <row r="38" spans="1:6" ht="15" customHeight="1" x14ac:dyDescent="0.3">
      <c r="A38" s="14">
        <v>5474</v>
      </c>
      <c r="B38" s="15" t="s">
        <v>54</v>
      </c>
      <c r="C38" s="15" t="s">
        <v>89</v>
      </c>
      <c r="D38" s="15" t="s">
        <v>80</v>
      </c>
      <c r="E38" s="16">
        <v>5976.96</v>
      </c>
      <c r="F38" s="14">
        <v>3</v>
      </c>
    </row>
    <row r="39" spans="1:6" ht="15" customHeight="1" x14ac:dyDescent="0.3">
      <c r="A39" s="17">
        <v>12191</v>
      </c>
      <c r="B39" s="18" t="s">
        <v>27</v>
      </c>
      <c r="C39" s="18" t="s">
        <v>102</v>
      </c>
      <c r="D39" s="18" t="s">
        <v>91</v>
      </c>
      <c r="E39" s="19">
        <v>297.8</v>
      </c>
      <c r="F39" s="17">
        <v>1</v>
      </c>
    </row>
    <row r="40" spans="1:6" ht="15" customHeight="1" x14ac:dyDescent="0.3">
      <c r="A40" s="14">
        <v>12191</v>
      </c>
      <c r="B40" s="15" t="s">
        <v>27</v>
      </c>
      <c r="C40" s="15" t="s">
        <v>79</v>
      </c>
      <c r="D40" s="15" t="s">
        <v>80</v>
      </c>
      <c r="E40" s="16">
        <v>78.319999999999993</v>
      </c>
      <c r="F40" s="14">
        <v>1</v>
      </c>
    </row>
    <row r="41" spans="1:6" ht="15" customHeight="1" x14ac:dyDescent="0.3">
      <c r="A41" s="17">
        <v>12191</v>
      </c>
      <c r="B41" s="18" t="s">
        <v>27</v>
      </c>
      <c r="C41" s="18" t="s">
        <v>81</v>
      </c>
      <c r="D41" s="18" t="s">
        <v>82</v>
      </c>
      <c r="E41" s="19">
        <v>3709.0425</v>
      </c>
      <c r="F41" s="17">
        <v>4</v>
      </c>
    </row>
    <row r="42" spans="1:6" ht="15" customHeight="1" x14ac:dyDescent="0.3">
      <c r="A42" s="14">
        <v>12191</v>
      </c>
      <c r="B42" s="15" t="s">
        <v>27</v>
      </c>
      <c r="C42" s="15" t="s">
        <v>92</v>
      </c>
      <c r="D42" s="15" t="s">
        <v>82</v>
      </c>
      <c r="E42" s="16">
        <v>54.01</v>
      </c>
      <c r="F42" s="14">
        <v>2</v>
      </c>
    </row>
    <row r="43" spans="1:6" ht="15" customHeight="1" x14ac:dyDescent="0.3">
      <c r="A43" s="17">
        <v>12191</v>
      </c>
      <c r="B43" s="18" t="s">
        <v>27</v>
      </c>
      <c r="C43" s="18" t="s">
        <v>103</v>
      </c>
      <c r="D43" s="18" t="s">
        <v>82</v>
      </c>
      <c r="E43" s="19">
        <v>87.25</v>
      </c>
      <c r="F43" s="17">
        <v>1</v>
      </c>
    </row>
    <row r="44" spans="1:6" ht="15" customHeight="1" x14ac:dyDescent="0.3">
      <c r="A44" s="14">
        <v>12191</v>
      </c>
      <c r="B44" s="15" t="s">
        <v>27</v>
      </c>
      <c r="C44" s="15" t="s">
        <v>104</v>
      </c>
      <c r="D44" s="15" t="s">
        <v>82</v>
      </c>
      <c r="E44" s="16">
        <v>134.6</v>
      </c>
      <c r="F44" s="14">
        <v>1</v>
      </c>
    </row>
    <row r="45" spans="1:6" ht="15" customHeight="1" x14ac:dyDescent="0.3">
      <c r="A45" s="17">
        <v>12191</v>
      </c>
      <c r="B45" s="18" t="s">
        <v>27</v>
      </c>
      <c r="C45" s="18" t="s">
        <v>105</v>
      </c>
      <c r="D45" s="18" t="s">
        <v>86</v>
      </c>
      <c r="E45" s="19">
        <v>1118.9000000000001</v>
      </c>
      <c r="F45" s="17">
        <v>1</v>
      </c>
    </row>
    <row r="46" spans="1:6" ht="15" customHeight="1" x14ac:dyDescent="0.3">
      <c r="A46" s="14">
        <v>12191</v>
      </c>
      <c r="B46" s="15" t="s">
        <v>27</v>
      </c>
      <c r="C46" s="15" t="s">
        <v>94</v>
      </c>
      <c r="D46" s="15" t="s">
        <v>95</v>
      </c>
      <c r="E46" s="16">
        <v>3676.56</v>
      </c>
      <c r="F46" s="14">
        <v>1</v>
      </c>
    </row>
    <row r="47" spans="1:6" ht="15" customHeight="1" x14ac:dyDescent="0.3">
      <c r="A47" s="17">
        <v>12191</v>
      </c>
      <c r="B47" s="18" t="s">
        <v>27</v>
      </c>
      <c r="C47" s="18" t="s">
        <v>90</v>
      </c>
      <c r="D47" s="18" t="s">
        <v>91</v>
      </c>
      <c r="E47" s="19">
        <v>186.87</v>
      </c>
      <c r="F47" s="17">
        <v>1</v>
      </c>
    </row>
    <row r="48" spans="1:6" ht="15" customHeight="1" x14ac:dyDescent="0.3">
      <c r="A48" s="14">
        <v>12191</v>
      </c>
      <c r="B48" s="15" t="s">
        <v>27</v>
      </c>
      <c r="C48" s="15" t="s">
        <v>85</v>
      </c>
      <c r="D48" s="15" t="s">
        <v>86</v>
      </c>
      <c r="E48" s="16">
        <v>4527.8525</v>
      </c>
      <c r="F48" s="14">
        <v>4</v>
      </c>
    </row>
    <row r="49" spans="1:6" ht="15" customHeight="1" x14ac:dyDescent="0.3">
      <c r="A49" s="17">
        <v>12191</v>
      </c>
      <c r="B49" s="18" t="s">
        <v>27</v>
      </c>
      <c r="C49" s="18" t="s">
        <v>87</v>
      </c>
      <c r="D49" s="18" t="s">
        <v>86</v>
      </c>
      <c r="E49" s="19">
        <v>464</v>
      </c>
      <c r="F49" s="17">
        <v>1</v>
      </c>
    </row>
    <row r="50" spans="1:6" ht="15" customHeight="1" x14ac:dyDescent="0.3">
      <c r="A50" s="14">
        <v>12191</v>
      </c>
      <c r="B50" s="15" t="s">
        <v>27</v>
      </c>
      <c r="C50" s="15" t="s">
        <v>89</v>
      </c>
      <c r="D50" s="15" t="s">
        <v>80</v>
      </c>
      <c r="E50" s="16">
        <v>3670.82</v>
      </c>
      <c r="F50" s="14">
        <v>5</v>
      </c>
    </row>
    <row r="51" spans="1:6" ht="15" customHeight="1" x14ac:dyDescent="0.3">
      <c r="A51" s="17">
        <v>14167</v>
      </c>
      <c r="B51" s="18" t="s">
        <v>18</v>
      </c>
      <c r="C51" s="18" t="s">
        <v>81</v>
      </c>
      <c r="D51" s="18" t="s">
        <v>82</v>
      </c>
      <c r="E51" s="19">
        <v>765.55</v>
      </c>
      <c r="F51" s="17">
        <v>1</v>
      </c>
    </row>
    <row r="52" spans="1:6" ht="15" customHeight="1" x14ac:dyDescent="0.3">
      <c r="A52" s="14">
        <v>14167</v>
      </c>
      <c r="B52" s="15" t="s">
        <v>18</v>
      </c>
      <c r="C52" s="15" t="s">
        <v>92</v>
      </c>
      <c r="D52" s="15" t="s">
        <v>82</v>
      </c>
      <c r="E52" s="16">
        <v>455.45</v>
      </c>
      <c r="F52" s="14">
        <v>1</v>
      </c>
    </row>
    <row r="53" spans="1:6" ht="15" customHeight="1" x14ac:dyDescent="0.3">
      <c r="A53" s="17">
        <v>14167</v>
      </c>
      <c r="B53" s="18" t="s">
        <v>18</v>
      </c>
      <c r="C53" s="18" t="s">
        <v>96</v>
      </c>
      <c r="D53" s="18" t="s">
        <v>86</v>
      </c>
      <c r="E53" s="19">
        <v>9227.52</v>
      </c>
      <c r="F53" s="17">
        <v>1</v>
      </c>
    </row>
    <row r="54" spans="1:6" ht="15" customHeight="1" x14ac:dyDescent="0.3">
      <c r="A54" s="14">
        <v>14167</v>
      </c>
      <c r="B54" s="15" t="s">
        <v>18</v>
      </c>
      <c r="C54" s="15" t="s">
        <v>106</v>
      </c>
      <c r="D54" s="15" t="s">
        <v>107</v>
      </c>
      <c r="E54" s="16">
        <v>2325.5</v>
      </c>
      <c r="F54" s="14">
        <v>1</v>
      </c>
    </row>
    <row r="55" spans="1:6" ht="15" customHeight="1" x14ac:dyDescent="0.3">
      <c r="A55" s="17">
        <v>14167</v>
      </c>
      <c r="B55" s="18" t="s">
        <v>18</v>
      </c>
      <c r="C55" s="18" t="s">
        <v>90</v>
      </c>
      <c r="D55" s="18" t="s">
        <v>91</v>
      </c>
      <c r="E55" s="19">
        <v>2534.625</v>
      </c>
      <c r="F55" s="17">
        <v>4</v>
      </c>
    </row>
    <row r="56" spans="1:6" ht="15" customHeight="1" x14ac:dyDescent="0.3">
      <c r="A56" s="14">
        <v>14167</v>
      </c>
      <c r="B56" s="15" t="s">
        <v>18</v>
      </c>
      <c r="C56" s="15" t="s">
        <v>85</v>
      </c>
      <c r="D56" s="15" t="s">
        <v>86</v>
      </c>
      <c r="E56" s="16">
        <v>14794.6525</v>
      </c>
      <c r="F56" s="14">
        <v>4</v>
      </c>
    </row>
    <row r="57" spans="1:6" ht="15" customHeight="1" x14ac:dyDescent="0.3">
      <c r="A57" s="17">
        <v>14167</v>
      </c>
      <c r="B57" s="18" t="s">
        <v>18</v>
      </c>
      <c r="C57" s="18" t="s">
        <v>89</v>
      </c>
      <c r="D57" s="18" t="s">
        <v>80</v>
      </c>
      <c r="E57" s="19">
        <v>4728.9333333333334</v>
      </c>
      <c r="F57" s="17">
        <v>3</v>
      </c>
    </row>
    <row r="58" spans="1:6" ht="15" customHeight="1" x14ac:dyDescent="0.3">
      <c r="A58" s="14">
        <v>19291</v>
      </c>
      <c r="B58" s="15" t="s">
        <v>35</v>
      </c>
      <c r="C58" s="15" t="s">
        <v>79</v>
      </c>
      <c r="D58" s="15" t="s">
        <v>80</v>
      </c>
      <c r="E58" s="16">
        <v>6256.2800000000007</v>
      </c>
      <c r="F58" s="14">
        <v>4</v>
      </c>
    </row>
    <row r="59" spans="1:6" ht="15" customHeight="1" x14ac:dyDescent="0.3">
      <c r="A59" s="17">
        <v>19291</v>
      </c>
      <c r="B59" s="18" t="s">
        <v>35</v>
      </c>
      <c r="C59" s="18" t="s">
        <v>81</v>
      </c>
      <c r="D59" s="18" t="s">
        <v>82</v>
      </c>
      <c r="E59" s="19">
        <v>1913.875</v>
      </c>
      <c r="F59" s="17">
        <v>2</v>
      </c>
    </row>
    <row r="60" spans="1:6" ht="15" customHeight="1" x14ac:dyDescent="0.3">
      <c r="A60" s="14">
        <v>19291</v>
      </c>
      <c r="B60" s="15" t="s">
        <v>35</v>
      </c>
      <c r="C60" s="15" t="s">
        <v>96</v>
      </c>
      <c r="D60" s="15" t="s">
        <v>86</v>
      </c>
      <c r="E60" s="16">
        <v>5127.04</v>
      </c>
      <c r="F60" s="14">
        <v>2</v>
      </c>
    </row>
    <row r="61" spans="1:6" ht="15" customHeight="1" x14ac:dyDescent="0.3">
      <c r="A61" s="17">
        <v>19291</v>
      </c>
      <c r="B61" s="18" t="s">
        <v>35</v>
      </c>
      <c r="C61" s="18" t="s">
        <v>85</v>
      </c>
      <c r="D61" s="18" t="s">
        <v>86</v>
      </c>
      <c r="E61" s="19">
        <v>12079.32</v>
      </c>
      <c r="F61" s="17">
        <v>3</v>
      </c>
    </row>
    <row r="62" spans="1:6" ht="15" customHeight="1" x14ac:dyDescent="0.3">
      <c r="A62" s="14">
        <v>19291</v>
      </c>
      <c r="B62" s="15" t="s">
        <v>35</v>
      </c>
      <c r="C62" s="15" t="s">
        <v>87</v>
      </c>
      <c r="D62" s="15" t="s">
        <v>86</v>
      </c>
      <c r="E62" s="16">
        <v>3054.56</v>
      </c>
      <c r="F62" s="14">
        <v>1</v>
      </c>
    </row>
    <row r="63" spans="1:6" ht="15" customHeight="1" x14ac:dyDescent="0.3">
      <c r="A63" s="17">
        <v>19291</v>
      </c>
      <c r="B63" s="18" t="s">
        <v>35</v>
      </c>
      <c r="C63" s="18" t="s">
        <v>88</v>
      </c>
      <c r="D63" s="18" t="s">
        <v>82</v>
      </c>
      <c r="E63" s="19">
        <v>0</v>
      </c>
      <c r="F63" s="17">
        <v>1</v>
      </c>
    </row>
    <row r="64" spans="1:6" ht="15" customHeight="1" x14ac:dyDescent="0.3">
      <c r="A64" s="14">
        <v>19291</v>
      </c>
      <c r="B64" s="15" t="s">
        <v>35</v>
      </c>
      <c r="C64" s="15" t="s">
        <v>89</v>
      </c>
      <c r="D64" s="15" t="s">
        <v>80</v>
      </c>
      <c r="E64" s="16">
        <v>5812.1633333333339</v>
      </c>
      <c r="F64" s="14">
        <v>3</v>
      </c>
    </row>
    <row r="65" spans="1:6" ht="15" customHeight="1" x14ac:dyDescent="0.3">
      <c r="A65" s="17">
        <v>19291</v>
      </c>
      <c r="B65" s="18" t="s">
        <v>35</v>
      </c>
      <c r="C65" s="18" t="s">
        <v>108</v>
      </c>
      <c r="D65" s="18" t="s">
        <v>109</v>
      </c>
      <c r="E65" s="19">
        <v>838.98</v>
      </c>
      <c r="F65" s="17">
        <v>1</v>
      </c>
    </row>
    <row r="66" spans="1:6" ht="15" customHeight="1" x14ac:dyDescent="0.3">
      <c r="A66" s="14">
        <v>29579</v>
      </c>
      <c r="B66" s="15" t="s">
        <v>40</v>
      </c>
      <c r="C66" s="15" t="s">
        <v>79</v>
      </c>
      <c r="D66" s="15" t="s">
        <v>80</v>
      </c>
      <c r="E66" s="16">
        <v>0</v>
      </c>
      <c r="F66" s="14">
        <v>1</v>
      </c>
    </row>
    <row r="67" spans="1:6" ht="15" customHeight="1" x14ac:dyDescent="0.3">
      <c r="A67" s="17">
        <v>29579</v>
      </c>
      <c r="B67" s="18" t="s">
        <v>40</v>
      </c>
      <c r="C67" s="18" t="s">
        <v>81</v>
      </c>
      <c r="D67" s="18" t="s">
        <v>82</v>
      </c>
      <c r="E67" s="19">
        <v>4555.05</v>
      </c>
      <c r="F67" s="17">
        <v>2</v>
      </c>
    </row>
    <row r="68" spans="1:6" ht="15" customHeight="1" x14ac:dyDescent="0.3">
      <c r="A68" s="14">
        <v>29579</v>
      </c>
      <c r="B68" s="15" t="s">
        <v>40</v>
      </c>
      <c r="C68" s="15" t="s">
        <v>92</v>
      </c>
      <c r="D68" s="15" t="s">
        <v>82</v>
      </c>
      <c r="E68" s="16">
        <v>1898.33</v>
      </c>
      <c r="F68" s="14">
        <v>2</v>
      </c>
    </row>
    <row r="69" spans="1:6" ht="15" customHeight="1" x14ac:dyDescent="0.3">
      <c r="A69" s="17">
        <v>29579</v>
      </c>
      <c r="B69" s="18" t="s">
        <v>40</v>
      </c>
      <c r="C69" s="18" t="s">
        <v>84</v>
      </c>
      <c r="D69" s="18" t="s">
        <v>82</v>
      </c>
      <c r="E69" s="19">
        <v>0</v>
      </c>
      <c r="F69" s="17">
        <v>1</v>
      </c>
    </row>
    <row r="70" spans="1:6" ht="15" customHeight="1" x14ac:dyDescent="0.3">
      <c r="A70" s="14">
        <v>29579</v>
      </c>
      <c r="B70" s="15" t="s">
        <v>40</v>
      </c>
      <c r="C70" s="15" t="s">
        <v>85</v>
      </c>
      <c r="D70" s="15" t="s">
        <v>86</v>
      </c>
      <c r="E70" s="16">
        <v>6723.36</v>
      </c>
      <c r="F70" s="14">
        <v>4</v>
      </c>
    </row>
    <row r="71" spans="1:6" ht="15" customHeight="1" x14ac:dyDescent="0.3">
      <c r="A71" s="17">
        <v>29579</v>
      </c>
      <c r="B71" s="18" t="s">
        <v>40</v>
      </c>
      <c r="C71" s="18" t="s">
        <v>97</v>
      </c>
      <c r="D71" s="18" t="s">
        <v>86</v>
      </c>
      <c r="E71" s="19">
        <v>0</v>
      </c>
      <c r="F71" s="17">
        <v>1</v>
      </c>
    </row>
    <row r="72" spans="1:6" ht="15" customHeight="1" x14ac:dyDescent="0.3">
      <c r="A72" s="14">
        <v>29579</v>
      </c>
      <c r="B72" s="15" t="s">
        <v>40</v>
      </c>
      <c r="C72" s="15" t="s">
        <v>88</v>
      </c>
      <c r="D72" s="15" t="s">
        <v>82</v>
      </c>
      <c r="E72" s="16">
        <v>0</v>
      </c>
      <c r="F72" s="14">
        <v>1</v>
      </c>
    </row>
    <row r="73" spans="1:6" ht="15" customHeight="1" x14ac:dyDescent="0.3">
      <c r="A73" s="17">
        <v>36908</v>
      </c>
      <c r="B73" s="18" t="s">
        <v>67</v>
      </c>
      <c r="C73" s="18" t="s">
        <v>79</v>
      </c>
      <c r="D73" s="18" t="s">
        <v>80</v>
      </c>
      <c r="E73" s="19">
        <v>830.88</v>
      </c>
      <c r="F73" s="17">
        <v>3</v>
      </c>
    </row>
    <row r="74" spans="1:6" ht="15" customHeight="1" x14ac:dyDescent="0.3">
      <c r="A74" s="14">
        <v>36908</v>
      </c>
      <c r="B74" s="15" t="s">
        <v>67</v>
      </c>
      <c r="C74" s="15" t="s">
        <v>81</v>
      </c>
      <c r="D74" s="15" t="s">
        <v>82</v>
      </c>
      <c r="E74" s="16">
        <v>1068.32</v>
      </c>
      <c r="F74" s="14">
        <v>4</v>
      </c>
    </row>
    <row r="75" spans="1:6" ht="15" customHeight="1" x14ac:dyDescent="0.3">
      <c r="A75" s="17">
        <v>36908</v>
      </c>
      <c r="B75" s="18" t="s">
        <v>67</v>
      </c>
      <c r="C75" s="18" t="s">
        <v>83</v>
      </c>
      <c r="D75" s="18" t="s">
        <v>82</v>
      </c>
      <c r="E75" s="19">
        <v>338.16</v>
      </c>
      <c r="F75" s="17">
        <v>2</v>
      </c>
    </row>
    <row r="76" spans="1:6" ht="15" customHeight="1" x14ac:dyDescent="0.3">
      <c r="A76" s="14">
        <v>36908</v>
      </c>
      <c r="B76" s="15" t="s">
        <v>67</v>
      </c>
      <c r="C76" s="15" t="s">
        <v>92</v>
      </c>
      <c r="D76" s="15" t="s">
        <v>82</v>
      </c>
      <c r="E76" s="16">
        <v>1195.366666666667</v>
      </c>
      <c r="F76" s="14">
        <v>3</v>
      </c>
    </row>
    <row r="77" spans="1:6" ht="15" customHeight="1" x14ac:dyDescent="0.3">
      <c r="A77" s="17">
        <v>36908</v>
      </c>
      <c r="B77" s="18" t="s">
        <v>67</v>
      </c>
      <c r="C77" s="18" t="s">
        <v>110</v>
      </c>
      <c r="D77" s="18" t="s">
        <v>111</v>
      </c>
      <c r="E77" s="19">
        <v>677.52</v>
      </c>
      <c r="F77" s="17">
        <v>1</v>
      </c>
    </row>
    <row r="78" spans="1:6" ht="15" customHeight="1" x14ac:dyDescent="0.3">
      <c r="A78" s="14">
        <v>36908</v>
      </c>
      <c r="B78" s="15" t="s">
        <v>67</v>
      </c>
      <c r="C78" s="15" t="s">
        <v>94</v>
      </c>
      <c r="D78" s="15" t="s">
        <v>95</v>
      </c>
      <c r="E78" s="16">
        <v>3371.78</v>
      </c>
      <c r="F78" s="14">
        <v>2</v>
      </c>
    </row>
    <row r="79" spans="1:6" ht="15" customHeight="1" x14ac:dyDescent="0.3">
      <c r="A79" s="17">
        <v>36908</v>
      </c>
      <c r="B79" s="18" t="s">
        <v>67</v>
      </c>
      <c r="C79" s="18" t="s">
        <v>96</v>
      </c>
      <c r="D79" s="18" t="s">
        <v>86</v>
      </c>
      <c r="E79" s="19">
        <v>1015.2</v>
      </c>
      <c r="F79" s="17">
        <v>1</v>
      </c>
    </row>
    <row r="80" spans="1:6" ht="15" customHeight="1" x14ac:dyDescent="0.3">
      <c r="A80" s="14">
        <v>36908</v>
      </c>
      <c r="B80" s="15" t="s">
        <v>67</v>
      </c>
      <c r="C80" s="15" t="s">
        <v>106</v>
      </c>
      <c r="D80" s="15" t="s">
        <v>107</v>
      </c>
      <c r="E80" s="16">
        <v>1030.0999999999999</v>
      </c>
      <c r="F80" s="14">
        <v>1</v>
      </c>
    </row>
    <row r="81" spans="1:6" ht="15" customHeight="1" x14ac:dyDescent="0.3">
      <c r="A81" s="17">
        <v>36908</v>
      </c>
      <c r="B81" s="18" t="s">
        <v>67</v>
      </c>
      <c r="C81" s="18" t="s">
        <v>90</v>
      </c>
      <c r="D81" s="18" t="s">
        <v>91</v>
      </c>
      <c r="E81" s="19">
        <v>1923.96</v>
      </c>
      <c r="F81" s="17">
        <v>1</v>
      </c>
    </row>
    <row r="82" spans="1:6" ht="15" customHeight="1" x14ac:dyDescent="0.3">
      <c r="A82" s="14">
        <v>36908</v>
      </c>
      <c r="B82" s="15" t="s">
        <v>67</v>
      </c>
      <c r="C82" s="15" t="s">
        <v>85</v>
      </c>
      <c r="D82" s="15" t="s">
        <v>86</v>
      </c>
      <c r="E82" s="16">
        <v>22302.955000000002</v>
      </c>
      <c r="F82" s="14">
        <v>6</v>
      </c>
    </row>
    <row r="83" spans="1:6" ht="15" customHeight="1" x14ac:dyDescent="0.3">
      <c r="A83" s="17">
        <v>36908</v>
      </c>
      <c r="B83" s="18" t="s">
        <v>67</v>
      </c>
      <c r="C83" s="18" t="s">
        <v>87</v>
      </c>
      <c r="D83" s="18" t="s">
        <v>86</v>
      </c>
      <c r="E83" s="19">
        <v>2429.2950000000001</v>
      </c>
      <c r="F83" s="17">
        <v>4</v>
      </c>
    </row>
    <row r="84" spans="1:6" ht="15" customHeight="1" x14ac:dyDescent="0.3">
      <c r="A84" s="14">
        <v>36908</v>
      </c>
      <c r="B84" s="15" t="s">
        <v>67</v>
      </c>
      <c r="C84" s="15" t="s">
        <v>97</v>
      </c>
      <c r="D84" s="15" t="s">
        <v>86</v>
      </c>
      <c r="E84" s="16">
        <v>0</v>
      </c>
      <c r="F84" s="14">
        <v>1</v>
      </c>
    </row>
    <row r="85" spans="1:6" ht="15" customHeight="1" x14ac:dyDescent="0.3">
      <c r="A85" s="17">
        <v>36908</v>
      </c>
      <c r="B85" s="18" t="s">
        <v>67</v>
      </c>
      <c r="C85" s="18" t="s">
        <v>97</v>
      </c>
      <c r="D85" s="18" t="s">
        <v>95</v>
      </c>
      <c r="E85" s="19">
        <v>0</v>
      </c>
      <c r="F85" s="17">
        <v>1</v>
      </c>
    </row>
    <row r="86" spans="1:6" ht="15" customHeight="1" x14ac:dyDescent="0.3">
      <c r="A86" s="14">
        <v>36908</v>
      </c>
      <c r="B86" s="15" t="s">
        <v>67</v>
      </c>
      <c r="C86" s="15" t="s">
        <v>88</v>
      </c>
      <c r="D86" s="15" t="s">
        <v>82</v>
      </c>
      <c r="E86" s="16">
        <v>460.64</v>
      </c>
      <c r="F86" s="14">
        <v>2</v>
      </c>
    </row>
    <row r="87" spans="1:6" ht="15" customHeight="1" x14ac:dyDescent="0.3">
      <c r="A87" s="17">
        <v>36908</v>
      </c>
      <c r="B87" s="18" t="s">
        <v>67</v>
      </c>
      <c r="C87" s="18" t="s">
        <v>89</v>
      </c>
      <c r="D87" s="18" t="s">
        <v>80</v>
      </c>
      <c r="E87" s="19">
        <v>19096.885999999999</v>
      </c>
      <c r="F87" s="17">
        <v>5</v>
      </c>
    </row>
    <row r="88" spans="1:6" ht="15" customHeight="1" x14ac:dyDescent="0.3">
      <c r="A88" s="14">
        <v>36908</v>
      </c>
      <c r="B88" s="15" t="s">
        <v>67</v>
      </c>
      <c r="C88" s="15" t="s">
        <v>98</v>
      </c>
      <c r="D88" s="15" t="s">
        <v>99</v>
      </c>
      <c r="E88" s="16">
        <v>578.91</v>
      </c>
      <c r="F88" s="14">
        <v>1</v>
      </c>
    </row>
    <row r="89" spans="1:6" ht="15" customHeight="1" x14ac:dyDescent="0.3">
      <c r="A89" s="17">
        <v>36908</v>
      </c>
      <c r="B89" s="18" t="s">
        <v>67</v>
      </c>
      <c r="C89" s="18" t="s">
        <v>112</v>
      </c>
      <c r="D89" s="18" t="s">
        <v>113</v>
      </c>
      <c r="E89" s="19">
        <v>725.72</v>
      </c>
      <c r="F89" s="17">
        <v>2</v>
      </c>
    </row>
    <row r="90" spans="1:6" ht="15" customHeight="1" x14ac:dyDescent="0.3">
      <c r="A90" s="14">
        <v>37594</v>
      </c>
      <c r="B90" s="15" t="s">
        <v>47</v>
      </c>
      <c r="C90" s="15" t="s">
        <v>102</v>
      </c>
      <c r="D90" s="15" t="s">
        <v>91</v>
      </c>
      <c r="E90" s="16">
        <v>1786.8</v>
      </c>
      <c r="F90" s="14">
        <v>1</v>
      </c>
    </row>
    <row r="91" spans="1:6" ht="15" customHeight="1" x14ac:dyDescent="0.3">
      <c r="A91" s="17">
        <v>37594</v>
      </c>
      <c r="B91" s="18" t="s">
        <v>47</v>
      </c>
      <c r="C91" s="18" t="s">
        <v>79</v>
      </c>
      <c r="D91" s="18" t="s">
        <v>80</v>
      </c>
      <c r="E91" s="19">
        <v>626.55999999999995</v>
      </c>
      <c r="F91" s="17">
        <v>1</v>
      </c>
    </row>
    <row r="92" spans="1:6" ht="15" customHeight="1" x14ac:dyDescent="0.3">
      <c r="A92" s="14">
        <v>37594</v>
      </c>
      <c r="B92" s="15" t="s">
        <v>47</v>
      </c>
      <c r="C92" s="15" t="s">
        <v>105</v>
      </c>
      <c r="D92" s="15" t="s">
        <v>86</v>
      </c>
      <c r="E92" s="16">
        <v>1527.6</v>
      </c>
      <c r="F92" s="14">
        <v>3</v>
      </c>
    </row>
    <row r="93" spans="1:6" ht="15" customHeight="1" x14ac:dyDescent="0.3">
      <c r="A93" s="17">
        <v>37594</v>
      </c>
      <c r="B93" s="18" t="s">
        <v>47</v>
      </c>
      <c r="C93" s="18" t="s">
        <v>94</v>
      </c>
      <c r="D93" s="18" t="s">
        <v>95</v>
      </c>
      <c r="E93" s="19">
        <v>1964.0533333333331</v>
      </c>
      <c r="F93" s="17">
        <v>3</v>
      </c>
    </row>
    <row r="94" spans="1:6" ht="15" customHeight="1" x14ac:dyDescent="0.3">
      <c r="A94" s="14">
        <v>37594</v>
      </c>
      <c r="B94" s="15" t="s">
        <v>47</v>
      </c>
      <c r="C94" s="15" t="s">
        <v>96</v>
      </c>
      <c r="D94" s="15" t="s">
        <v>86</v>
      </c>
      <c r="E94" s="16">
        <v>3685.152</v>
      </c>
      <c r="F94" s="14">
        <v>5</v>
      </c>
    </row>
    <row r="95" spans="1:6" ht="15" customHeight="1" x14ac:dyDescent="0.3">
      <c r="A95" s="17">
        <v>37594</v>
      </c>
      <c r="B95" s="18" t="s">
        <v>47</v>
      </c>
      <c r="C95" s="18" t="s">
        <v>114</v>
      </c>
      <c r="D95" s="18" t="s">
        <v>86</v>
      </c>
      <c r="E95" s="19">
        <v>2367.04</v>
      </c>
      <c r="F95" s="17">
        <v>1</v>
      </c>
    </row>
    <row r="96" spans="1:6" ht="15" customHeight="1" x14ac:dyDescent="0.3">
      <c r="A96" s="14">
        <v>37594</v>
      </c>
      <c r="B96" s="15" t="s">
        <v>47</v>
      </c>
      <c r="C96" s="15" t="s">
        <v>90</v>
      </c>
      <c r="D96" s="15" t="s">
        <v>91</v>
      </c>
      <c r="E96" s="16">
        <v>2971.8525</v>
      </c>
      <c r="F96" s="14">
        <v>4</v>
      </c>
    </row>
    <row r="97" spans="1:6" ht="15" customHeight="1" x14ac:dyDescent="0.3">
      <c r="A97" s="17">
        <v>37594</v>
      </c>
      <c r="B97" s="18" t="s">
        <v>47</v>
      </c>
      <c r="C97" s="18" t="s">
        <v>85</v>
      </c>
      <c r="D97" s="18" t="s">
        <v>86</v>
      </c>
      <c r="E97" s="19">
        <v>4163.9400000000014</v>
      </c>
      <c r="F97" s="17">
        <v>5</v>
      </c>
    </row>
    <row r="98" spans="1:6" ht="15" customHeight="1" x14ac:dyDescent="0.3">
      <c r="A98" s="14">
        <v>37594</v>
      </c>
      <c r="B98" s="15" t="s">
        <v>47</v>
      </c>
      <c r="C98" s="15" t="s">
        <v>87</v>
      </c>
      <c r="D98" s="15" t="s">
        <v>86</v>
      </c>
      <c r="E98" s="16">
        <v>889.65000000000009</v>
      </c>
      <c r="F98" s="14">
        <v>2</v>
      </c>
    </row>
    <row r="99" spans="1:6" ht="15" customHeight="1" x14ac:dyDescent="0.3">
      <c r="A99" s="17">
        <v>37594</v>
      </c>
      <c r="B99" s="18" t="s">
        <v>47</v>
      </c>
      <c r="C99" s="18" t="s">
        <v>97</v>
      </c>
      <c r="D99" s="18" t="s">
        <v>86</v>
      </c>
      <c r="E99" s="19">
        <v>0</v>
      </c>
      <c r="F99" s="17">
        <v>1</v>
      </c>
    </row>
    <row r="100" spans="1:6" ht="15" customHeight="1" x14ac:dyDescent="0.3">
      <c r="A100" s="14">
        <v>37594</v>
      </c>
      <c r="B100" s="15" t="s">
        <v>47</v>
      </c>
      <c r="C100" s="15" t="s">
        <v>89</v>
      </c>
      <c r="D100" s="15" t="s">
        <v>80</v>
      </c>
      <c r="E100" s="16">
        <v>5371.78</v>
      </c>
      <c r="F100" s="14">
        <v>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workbookViewId="0">
      <pane ySplit="4" topLeftCell="A5" activePane="bottomLeft" state="frozen"/>
      <selection pane="bottomLeft" activeCell="A15" sqref="A15"/>
    </sheetView>
  </sheetViews>
  <sheetFormatPr baseColWidth="10" defaultColWidth="8.88671875" defaultRowHeight="14.4" x14ac:dyDescent="0.3"/>
  <cols>
    <col min="1" max="1" width="32" customWidth="1"/>
    <col min="2" max="2" width="12" customWidth="1"/>
    <col min="3" max="5" width="14" customWidth="1"/>
    <col min="6" max="6" width="20" customWidth="1"/>
  </cols>
  <sheetData>
    <row r="1" spans="1:6" ht="22.05" customHeight="1" x14ac:dyDescent="0.3">
      <c r="A1" s="31" t="s">
        <v>115</v>
      </c>
      <c r="B1" s="29"/>
      <c r="C1" s="29"/>
      <c r="D1" s="29"/>
      <c r="E1" s="29"/>
      <c r="F1" s="29"/>
    </row>
    <row r="2" spans="1:6" x14ac:dyDescent="0.3">
      <c r="A2" s="32" t="s">
        <v>116</v>
      </c>
      <c r="B2" s="29"/>
      <c r="C2" s="29"/>
      <c r="D2" s="29"/>
      <c r="E2" s="29"/>
      <c r="F2" s="29"/>
    </row>
    <row r="4" spans="1:6" ht="31.95" customHeight="1" x14ac:dyDescent="0.3">
      <c r="A4" s="1" t="s">
        <v>12</v>
      </c>
      <c r="B4" s="1" t="s">
        <v>117</v>
      </c>
      <c r="C4" s="1" t="s">
        <v>118</v>
      </c>
      <c r="D4" s="1" t="s">
        <v>119</v>
      </c>
      <c r="E4" s="1" t="s">
        <v>120</v>
      </c>
      <c r="F4" s="1" t="s">
        <v>121</v>
      </c>
    </row>
    <row r="5" spans="1:6" ht="18" customHeight="1" x14ac:dyDescent="0.3">
      <c r="A5" s="20" t="s">
        <v>24</v>
      </c>
      <c r="B5" s="21" t="s">
        <v>20</v>
      </c>
      <c r="C5" s="22">
        <v>2</v>
      </c>
      <c r="D5" s="22">
        <v>2</v>
      </c>
      <c r="E5" s="22">
        <v>2</v>
      </c>
      <c r="F5" s="23">
        <v>4859.6262500000003</v>
      </c>
    </row>
    <row r="6" spans="1:6" ht="18" customHeight="1" x14ac:dyDescent="0.3">
      <c r="A6" s="24"/>
      <c r="B6" s="24" t="s">
        <v>30</v>
      </c>
      <c r="C6" s="25">
        <v>2</v>
      </c>
      <c r="D6" s="25">
        <v>2</v>
      </c>
      <c r="E6" s="25">
        <v>2</v>
      </c>
      <c r="F6" s="26">
        <v>5176.7772916666663</v>
      </c>
    </row>
    <row r="7" spans="1:6" ht="18" customHeight="1" x14ac:dyDescent="0.3">
      <c r="A7" s="21"/>
      <c r="B7" s="21" t="s">
        <v>41</v>
      </c>
      <c r="C7" s="22">
        <v>2</v>
      </c>
      <c r="D7" s="22">
        <v>2</v>
      </c>
      <c r="E7" s="22">
        <v>2</v>
      </c>
      <c r="F7" s="23">
        <v>2385.7162499999999</v>
      </c>
    </row>
    <row r="8" spans="1:6" ht="18" customHeight="1" x14ac:dyDescent="0.3">
      <c r="A8" s="20" t="s">
        <v>51</v>
      </c>
      <c r="B8" s="24" t="s">
        <v>30</v>
      </c>
      <c r="C8" s="25">
        <v>1</v>
      </c>
      <c r="D8" s="25">
        <v>1</v>
      </c>
      <c r="E8" s="25">
        <v>1</v>
      </c>
      <c r="F8" s="26">
        <v>1129.95</v>
      </c>
    </row>
    <row r="9" spans="1:6" ht="18" customHeight="1" x14ac:dyDescent="0.3">
      <c r="A9" s="21"/>
      <c r="B9" s="21" t="s">
        <v>55</v>
      </c>
      <c r="C9" s="22">
        <v>1</v>
      </c>
      <c r="D9" s="22">
        <v>0</v>
      </c>
      <c r="E9" s="22">
        <v>1</v>
      </c>
      <c r="F9" s="23">
        <v>911.02499999999998</v>
      </c>
    </row>
    <row r="10" spans="1:6" ht="18" customHeight="1" x14ac:dyDescent="0.3">
      <c r="A10" s="24"/>
      <c r="B10" s="24" t="s">
        <v>62</v>
      </c>
      <c r="C10" s="25">
        <v>0</v>
      </c>
      <c r="D10" s="25">
        <v>1</v>
      </c>
      <c r="E10" s="25">
        <v>1</v>
      </c>
      <c r="F10" s="26">
        <v>1480.68</v>
      </c>
    </row>
    <row r="11" spans="1:6" ht="18" customHeight="1" x14ac:dyDescent="0.3">
      <c r="A11" s="21"/>
      <c r="B11" s="21" t="s">
        <v>56</v>
      </c>
      <c r="C11" s="22">
        <v>1</v>
      </c>
      <c r="D11" s="22">
        <v>1</v>
      </c>
      <c r="E11" s="22">
        <v>2</v>
      </c>
      <c r="F11" s="23">
        <v>2391.7049999999999</v>
      </c>
    </row>
    <row r="12" spans="1:6" ht="18" customHeight="1" x14ac:dyDescent="0.3">
      <c r="A12" s="20" t="s">
        <v>71</v>
      </c>
      <c r="B12" s="24" t="s">
        <v>30</v>
      </c>
      <c r="C12" s="25">
        <v>1</v>
      </c>
      <c r="D12" s="25">
        <v>1</v>
      </c>
      <c r="E12" s="25">
        <v>1</v>
      </c>
      <c r="F12" s="26">
        <v>5980.6212500000001</v>
      </c>
    </row>
    <row r="13" spans="1:6" ht="19.95" customHeight="1" x14ac:dyDescent="0.3">
      <c r="A13" s="33" t="s">
        <v>122</v>
      </c>
      <c r="B13" s="29"/>
      <c r="C13" s="29"/>
      <c r="D13" s="29"/>
      <c r="E13" s="29"/>
      <c r="F13" s="27">
        <v>24316.101041666669</v>
      </c>
    </row>
    <row r="15" spans="1:6" x14ac:dyDescent="0.3">
      <c r="F15" s="34">
        <f>+F13*4.25</f>
        <v>103343.42942708335</v>
      </c>
    </row>
  </sheetData>
  <mergeCells count="3">
    <mergeCell ref="A2:F2"/>
    <mergeCell ref="A1:F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 Ruta</vt:lpstr>
      <vt:lpstr>Hoja2</vt:lpstr>
      <vt:lpstr>Hoja1</vt:lpstr>
      <vt:lpstr>Ventas Cat &amp; Suplidor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Mercedes</cp:lastModifiedBy>
  <dcterms:created xsi:type="dcterms:W3CDTF">2026-06-15T15:37:11Z</dcterms:created>
  <dcterms:modified xsi:type="dcterms:W3CDTF">2026-06-15T16:07:38Z</dcterms:modified>
</cp:coreProperties>
</file>