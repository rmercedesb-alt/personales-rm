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ensual" sheetId="1" state="visible" r:id="rId1"/>
    <sheet name="Por CategorÃ­a" sheetId="2" state="visible" r:id="rId2"/>
    <sheet name="Por Supervisor" sheetId="3" state="visible" r:id="rId3"/>
    <sheet name="Canal y TamaÃ±o" sheetId="4" state="visible" r:id="rId4"/>
    <sheet name="Efectividad" sheetId="5" state="visible" r:id="rId5"/>
    <sheet name="Ranking Rutas" sheetId="6" state="visible" r:id="rId6"/>
    <sheet name="Devoluciones" sheetId="7" state="visible" r:id="rId7"/>
    <sheet name="Plan de AcciÃ³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392B"/>
      <sz val="10"/>
    </font>
    <font>
      <name val="Calibri"/>
      <b val="1"/>
      <color rgb="00FFFFFF"/>
      <sz val="11"/>
    </font>
    <font>
      <name val="Calibri"/>
      <b val="1"/>
      <color rgb="001A7A4A"/>
      <sz val="10"/>
    </font>
    <font>
      <name val="Calibri"/>
      <color rgb="001A5CA8"/>
      <sz val="10"/>
    </font>
    <font>
      <name val="Calibri"/>
      <b val="1"/>
      <color rgb="00E8A020"/>
      <sz val="10"/>
    </font>
    <font>
      <name val="Calibri"/>
      <b val="1"/>
      <color rgb="004A5568"/>
      <sz val="10"/>
    </font>
    <font>
      <name val="Calibri"/>
      <b val="1"/>
      <color rgb="001A5CA8"/>
      <sz val="10"/>
    </font>
    <font>
      <name val="Calibri"/>
      <color rgb="00C0392B"/>
      <sz val="10"/>
    </font>
  </fonts>
  <fills count="14">
    <fill>
      <patternFill/>
    </fill>
    <fill>
      <patternFill patternType="gray125"/>
    </fill>
    <fill>
      <patternFill patternType="solid">
        <fgColor rgb="001E2D4E"/>
      </patternFill>
    </fill>
    <fill>
      <patternFill patternType="solid">
        <fgColor rgb="001A5CA8"/>
      </patternFill>
    </fill>
    <fill>
      <patternFill patternType="solid">
        <fgColor rgb="00C0392B"/>
      </patternFill>
    </fill>
    <fill>
      <patternFill patternType="solid">
        <fgColor rgb="001A7A4A"/>
      </patternFill>
    </fill>
    <fill>
      <patternFill patternType="solid">
        <fgColor rgb="00E8A020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EAF7EF"/>
      </patternFill>
    </fill>
    <fill>
      <patternFill patternType="solid">
        <fgColor rgb="00FEF9EC"/>
      </patternFill>
    </fill>
    <fill>
      <patternFill patternType="solid">
        <fgColor rgb="00EFF6FF"/>
      </patternFill>
    </fill>
    <fill>
      <patternFill patternType="solid">
        <fgColor rgb="0064748B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3" fontId="4" fillId="7" borderId="2" applyAlignment="1" pivotButton="0" quotePrefix="0" xfId="0">
      <alignment horizontal="right" vertical="center"/>
    </xf>
    <xf numFmtId="164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3" fontId="4" fillId="8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3" fontId="5" fillId="9" borderId="2" applyAlignment="1" pivotButton="0" quotePrefix="0" xfId="0">
      <alignment horizontal="right" vertical="center"/>
    </xf>
    <xf numFmtId="164" fontId="5" fillId="9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/>
    </xf>
    <xf numFmtId="3" fontId="3" fillId="2" borderId="1" applyAlignment="1" pivotButton="0" quotePrefix="0" xfId="0">
      <alignment horizontal="right"/>
    </xf>
    <xf numFmtId="164" fontId="3" fillId="2" borderId="1" applyAlignment="1" pivotButton="0" quotePrefix="0" xfId="0">
      <alignment horizontal="right"/>
    </xf>
    <xf numFmtId="0" fontId="6" fillId="5" borderId="0" applyAlignment="1" pivotButton="0" quotePrefix="0" xfId="0">
      <alignment horizontal="left"/>
    </xf>
    <xf numFmtId="0" fontId="5" fillId="7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164" fontId="8" fillId="8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164" fontId="5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3" fontId="4" fillId="9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3" fontId="4" fillId="10" borderId="2" applyAlignment="1" pivotButton="0" quotePrefix="0" xfId="0">
      <alignment horizontal="right" vertical="center"/>
    </xf>
    <xf numFmtId="164" fontId="7" fillId="10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3" fontId="4" fillId="11" borderId="2" applyAlignment="1" pivotButton="0" quotePrefix="0" xfId="0">
      <alignment horizontal="right" vertical="center"/>
    </xf>
    <xf numFmtId="164" fontId="9" fillId="11" borderId="2" applyAlignment="1" pivotButton="0" quotePrefix="0" xfId="0">
      <alignment horizontal="right" vertical="center"/>
    </xf>
    <xf numFmtId="0" fontId="9" fillId="11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164" fontId="10" fillId="8" borderId="2" applyAlignment="1" pivotButton="0" quotePrefix="0" xfId="0">
      <alignment horizontal="right" vertical="center"/>
    </xf>
    <xf numFmtId="0" fontId="10" fillId="8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/>
    </xf>
    <xf numFmtId="3" fontId="4" fillId="12" borderId="2" applyAlignment="1" pivotButton="0" quotePrefix="0" xfId="0">
      <alignment horizontal="right" vertical="center"/>
    </xf>
    <xf numFmtId="164" fontId="11" fillId="12" borderId="2" applyAlignment="1" pivotButton="0" quotePrefix="0" xfId="0">
      <alignment horizontal="right" vertical="center"/>
    </xf>
    <xf numFmtId="0" fontId="11" fillId="12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64" fontId="12" fillId="7" borderId="2" applyAlignment="1" pivotButton="0" quotePrefix="0" xfId="0">
      <alignment horizontal="right" vertical="center"/>
    </xf>
    <xf numFmtId="164" fontId="12" fillId="8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/>
    </xf>
    <xf numFmtId="0" fontId="4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3" customWidth="1" min="5" max="5"/>
    <col width="12" customWidth="1" min="6" max="6"/>
    <col width="16" customWidth="1" min="7" max="7"/>
    <col width="14" customWidth="1" min="8" max="8"/>
  </cols>
  <sheetData>
    <row r="1" ht="30" customHeight="1">
      <c r="A1" s="1" t="inlineStr">
        <is>
          <t>ANÃLISIS COLOMBINA â€” ENEâ€“MAY 2025 | Resumen Mensual</t>
        </is>
      </c>
    </row>
    <row r="2">
      <c r="A2" s="2" t="inlineStr">
        <is>
          <t>Sin categorÃ­a GalleterÃ­a | Ventas netas TipoVenta=1, Estatus=13</t>
        </is>
      </c>
    </row>
    <row r="4" ht="22" customHeight="1">
      <c r="A4" s="3" t="inlineStr">
        <is>
          <t>Mes</t>
        </is>
      </c>
      <c r="B4" s="4" t="inlineStr">
        <is>
          <t>Ventas Netas (RD$)</t>
        </is>
      </c>
      <c r="C4" s="5" t="inlineStr">
        <is>
          <t>Devoluciones (RD$)</t>
        </is>
      </c>
      <c r="D4" s="6" t="inlineStr">
        <is>
          <t>Ventas Brutas (RD$)</t>
        </is>
      </c>
      <c r="E4" s="7" t="inlineStr">
        <is>
          <t>% DevoluciÃ³n</t>
        </is>
      </c>
      <c r="F4" s="4" t="inlineStr">
        <is>
          <t>Facturas</t>
        </is>
      </c>
      <c r="G4" s="4" t="inlineStr">
        <is>
          <t>Clientes Activos</t>
        </is>
      </c>
      <c r="H4" s="3" t="inlineStr">
        <is>
          <t>Drop Size (RD$)</t>
        </is>
      </c>
    </row>
    <row r="5">
      <c r="A5" s="8" t="inlineStr">
        <is>
          <t>Enero</t>
        </is>
      </c>
      <c r="B5" s="9" t="n">
        <v>8844801</v>
      </c>
      <c r="C5" s="9" t="n">
        <v>567737</v>
      </c>
      <c r="D5" s="9">
        <f>C5+D5</f>
        <v/>
      </c>
      <c r="E5" s="10">
        <f>D5/C5</f>
        <v/>
      </c>
      <c r="F5" s="9" t="n">
        <v>14817</v>
      </c>
      <c r="G5" s="9" t="n">
        <v>9738</v>
      </c>
      <c r="H5" s="9">
        <f>C5/G5</f>
        <v/>
      </c>
    </row>
    <row r="6">
      <c r="A6" s="11" t="inlineStr">
        <is>
          <t>Febrero</t>
        </is>
      </c>
      <c r="B6" s="12" t="n">
        <v>8360587</v>
      </c>
      <c r="C6" s="12" t="n">
        <v>473499</v>
      </c>
      <c r="D6" s="12">
        <f>C6+D6</f>
        <v/>
      </c>
      <c r="E6" s="13">
        <f>D6/C6</f>
        <v/>
      </c>
      <c r="F6" s="12" t="n">
        <v>14944</v>
      </c>
      <c r="G6" s="12" t="n">
        <v>9990</v>
      </c>
      <c r="H6" s="12">
        <f>C6/G6</f>
        <v/>
      </c>
    </row>
    <row r="7">
      <c r="A7" s="8" t="inlineStr">
        <is>
          <t>Marzo</t>
        </is>
      </c>
      <c r="B7" s="9" t="n">
        <v>8510687</v>
      </c>
      <c r="C7" s="9" t="n">
        <v>558818</v>
      </c>
      <c r="D7" s="9">
        <f>C7+D7</f>
        <v/>
      </c>
      <c r="E7" s="10">
        <f>D7/C7</f>
        <v/>
      </c>
      <c r="F7" s="9" t="n">
        <v>15556</v>
      </c>
      <c r="G7" s="9" t="n">
        <v>10171</v>
      </c>
      <c r="H7" s="9">
        <f>C7/G7</f>
        <v/>
      </c>
    </row>
    <row r="8">
      <c r="A8" s="11" t="inlineStr">
        <is>
          <t>Abril</t>
        </is>
      </c>
      <c r="B8" s="12" t="n">
        <v>8119320</v>
      </c>
      <c r="C8" s="12" t="n">
        <v>403244</v>
      </c>
      <c r="D8" s="12">
        <f>C8+D8</f>
        <v/>
      </c>
      <c r="E8" s="13">
        <f>D8/C8</f>
        <v/>
      </c>
      <c r="F8" s="12" t="n">
        <v>15773</v>
      </c>
      <c r="G8" s="12" t="n">
        <v>10228</v>
      </c>
      <c r="H8" s="12">
        <f>C8/G8</f>
        <v/>
      </c>
    </row>
    <row r="9">
      <c r="A9" s="8" t="inlineStr">
        <is>
          <t>Mayo</t>
        </is>
      </c>
      <c r="B9" s="9" t="n">
        <v>9348489</v>
      </c>
      <c r="C9" s="9" t="n">
        <v>512741</v>
      </c>
      <c r="D9" s="9">
        <f>C9+D9</f>
        <v/>
      </c>
      <c r="E9" s="10">
        <f>D9/C9</f>
        <v/>
      </c>
      <c r="F9" s="9" t="n">
        <v>16868</v>
      </c>
      <c r="G9" s="9" t="n">
        <v>10628</v>
      </c>
      <c r="H9" s="9">
        <f>C9/G9</f>
        <v/>
      </c>
    </row>
    <row r="10">
      <c r="A10" s="14" t="inlineStr">
        <is>
          <t>TOTAL / PROMEDIO</t>
        </is>
      </c>
      <c r="B10" s="15">
        <f>SUM(B5:B9)</f>
        <v/>
      </c>
      <c r="C10" s="15">
        <f>SUM(D5:D9)</f>
        <v/>
      </c>
      <c r="D10" s="15">
        <f>SUM(E5:E9)</f>
        <v/>
      </c>
      <c r="E10" s="16">
        <f>AVERAGE(F5:F9)</f>
        <v/>
      </c>
      <c r="F10" s="15">
        <f>SUM(H5:H9)</f>
        <v/>
      </c>
      <c r="G10" s="15">
        <f>AVERAGE(I5:I9)</f>
        <v/>
      </c>
      <c r="H10" s="15">
        <f>AVERAGE(I5:I9)</f>
        <v/>
      </c>
    </row>
  </sheetData>
  <mergeCells count="3">
    <mergeCell ref="A2:H2"/>
    <mergeCell ref="A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0" customWidth="1" min="8" max="8"/>
  </cols>
  <sheetData>
    <row r="1" ht="30" customHeight="1">
      <c r="A1" s="1" t="inlineStr">
        <is>
          <t>VENTAS POR CATEGORÃA â€” ENEâ€“MAY 2025 (RD$)</t>
        </is>
      </c>
    </row>
    <row r="3" ht="22" customHeight="1">
      <c r="A3" s="3" t="inlineStr">
        <is>
          <t>CategorÃ­a</t>
        </is>
      </c>
      <c r="B3" s="4" t="inlineStr">
        <is>
          <t>Enero</t>
        </is>
      </c>
      <c r="C3" s="4" t="inlineStr">
        <is>
          <t>Febrero</t>
        </is>
      </c>
      <c r="D3" s="4" t="inlineStr">
        <is>
          <t>Marzo</t>
        </is>
      </c>
      <c r="E3" s="4" t="inlineStr">
        <is>
          <t>Abril</t>
        </is>
      </c>
      <c r="F3" s="4" t="inlineStr">
        <is>
          <t>Mayo</t>
        </is>
      </c>
      <c r="G3" s="6" t="inlineStr">
        <is>
          <t>TOTAL</t>
        </is>
      </c>
      <c r="H3" s="7" t="inlineStr">
        <is>
          <t>% Part.</t>
        </is>
      </c>
    </row>
    <row r="4">
      <c r="A4" s="8" t="inlineStr">
        <is>
          <t>BOLONES</t>
        </is>
      </c>
      <c r="B4" s="9" t="n">
        <v>4159003</v>
      </c>
      <c r="C4" s="9" t="n">
        <v>3685490</v>
      </c>
      <c r="D4" s="9" t="n">
        <v>4173233</v>
      </c>
      <c r="E4" s="9" t="n">
        <v>3633415</v>
      </c>
      <c r="F4" s="9" t="n">
        <v>3972751</v>
      </c>
      <c r="G4" s="9">
        <f>SUM(B4:F4)</f>
        <v/>
      </c>
      <c r="H4" s="10">
        <f>G4/G13</f>
        <v/>
      </c>
    </row>
    <row r="5">
      <c r="A5" s="11" t="inlineStr">
        <is>
          <t>CARAMELOS DUROS</t>
        </is>
      </c>
      <c r="B5" s="12" t="n">
        <v>2230272</v>
      </c>
      <c r="C5" s="12" t="n">
        <v>2005818</v>
      </c>
      <c r="D5" s="12" t="n">
        <v>1988890</v>
      </c>
      <c r="E5" s="12" t="n">
        <v>1937595</v>
      </c>
      <c r="F5" s="12" t="n">
        <v>2418939</v>
      </c>
      <c r="G5" s="12">
        <f>SUM(B5:F5)</f>
        <v/>
      </c>
      <c r="H5" s="13">
        <f>G5/G13</f>
        <v/>
      </c>
    </row>
    <row r="6">
      <c r="A6" s="8" t="inlineStr">
        <is>
          <t>PALETAS</t>
        </is>
      </c>
      <c r="B6" s="9" t="n">
        <v>1011712</v>
      </c>
      <c r="C6" s="9" t="n">
        <v>1200020</v>
      </c>
      <c r="D6" s="9" t="n">
        <v>858912</v>
      </c>
      <c r="E6" s="9" t="n">
        <v>761851</v>
      </c>
      <c r="F6" s="9" t="n">
        <v>991180</v>
      </c>
      <c r="G6" s="9">
        <f>SUM(B6:F6)</f>
        <v/>
      </c>
      <c r="H6" s="10">
        <f>G6/G13</f>
        <v/>
      </c>
    </row>
    <row r="7">
      <c r="A7" s="11" t="inlineStr">
        <is>
          <t>CONFITERIA CICHLET</t>
        </is>
      </c>
      <c r="B7" s="12" t="n">
        <v>666785</v>
      </c>
      <c r="C7" s="12" t="n">
        <v>454090</v>
      </c>
      <c r="D7" s="12" t="n">
        <v>482979</v>
      </c>
      <c r="E7" s="12" t="n">
        <v>508952</v>
      </c>
      <c r="F7" s="12" t="n">
        <v>749388</v>
      </c>
      <c r="G7" s="12">
        <f>SUM(B7:F7)</f>
        <v/>
      </c>
      <c r="H7" s="13">
        <f>G7/G13</f>
        <v/>
      </c>
    </row>
    <row r="8">
      <c r="A8" s="8" t="inlineStr">
        <is>
          <t>CONFITERIA GOMAS</t>
        </is>
      </c>
      <c r="B8" s="9" t="n">
        <v>371315</v>
      </c>
      <c r="C8" s="9" t="n">
        <v>583243</v>
      </c>
      <c r="D8" s="9" t="n">
        <v>470238</v>
      </c>
      <c r="E8" s="9" t="n">
        <v>408898</v>
      </c>
      <c r="F8" s="9" t="n">
        <v>314810</v>
      </c>
      <c r="G8" s="9">
        <f>SUM(B8:F8)</f>
        <v/>
      </c>
      <c r="H8" s="10">
        <f>G8/G13</f>
        <v/>
      </c>
    </row>
    <row r="9">
      <c r="A9" s="11" t="inlineStr">
        <is>
          <t>GRISSLY SNACK</t>
        </is>
      </c>
      <c r="B9" s="12" t="n">
        <v>284431</v>
      </c>
      <c r="C9" s="12" t="n">
        <v>293092</v>
      </c>
      <c r="D9" s="12" t="n">
        <v>290892</v>
      </c>
      <c r="E9" s="12" t="n">
        <v>435605</v>
      </c>
      <c r="F9" s="12" t="n">
        <v>436892</v>
      </c>
      <c r="G9" s="12">
        <f>SUM(B9:F9)</f>
        <v/>
      </c>
      <c r="H9" s="13">
        <f>G9/G13</f>
        <v/>
      </c>
    </row>
    <row r="10">
      <c r="A10" s="8" t="inlineStr">
        <is>
          <t>CHOCOLATERIA</t>
        </is>
      </c>
      <c r="B10" s="9" t="n">
        <v>119683</v>
      </c>
      <c r="C10" s="9" t="n">
        <v>136634</v>
      </c>
      <c r="D10" s="9" t="n">
        <v>244743</v>
      </c>
      <c r="E10" s="9" t="n">
        <v>429317</v>
      </c>
      <c r="F10" s="9" t="n">
        <v>463129</v>
      </c>
      <c r="G10" s="9">
        <f>SUM(B10:F10)</f>
        <v/>
      </c>
      <c r="H10" s="10">
        <f>G10/G13</f>
        <v/>
      </c>
    </row>
    <row r="11">
      <c r="A11" s="11" t="inlineStr">
        <is>
          <t>CARAMELOS BLANDOS</t>
        </is>
      </c>
      <c r="B11" s="12" t="n">
        <v>1600</v>
      </c>
      <c r="C11" s="12" t="n">
        <v>2200</v>
      </c>
      <c r="D11" s="12" t="n">
        <v>800</v>
      </c>
      <c r="E11" s="12" t="n">
        <v>3687</v>
      </c>
      <c r="F11" s="12" t="n">
        <v>1400</v>
      </c>
      <c r="G11" s="12">
        <f>SUM(B11:F11)</f>
        <v/>
      </c>
      <c r="H11" s="13">
        <f>G11/G13</f>
        <v/>
      </c>
    </row>
    <row r="12">
      <c r="A12" s="8" t="inlineStr">
        <is>
          <t>OFERTAS TEMPORADA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>
        <f>SUM(B12:F12)</f>
        <v/>
      </c>
      <c r="H12" s="10">
        <f>G12/G13</f>
        <v/>
      </c>
    </row>
    <row r="13">
      <c r="A13" s="17" t="inlineStr">
        <is>
          <t>TOTAL</t>
        </is>
      </c>
      <c r="B13" s="15">
        <f>SUM(B4:B12)</f>
        <v/>
      </c>
      <c r="C13" s="15">
        <f>SUM(C4:C12)</f>
        <v/>
      </c>
      <c r="D13" s="15">
        <f>SUM(D4:D12)</f>
        <v/>
      </c>
      <c r="E13" s="15">
        <f>SUM(E4:E12)</f>
        <v/>
      </c>
      <c r="F13" s="15">
        <f>SUM(F4:F12)</f>
        <v/>
      </c>
      <c r="G13" s="15">
        <f>SUM(G4:G12)</f>
        <v/>
      </c>
      <c r="H13" s="16">
        <f>SUM(H4:H12)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2" customWidth="1" min="10" max="10"/>
  </cols>
  <sheetData>
    <row r="1" ht="30" customHeight="1">
      <c r="A1" s="1" t="inlineStr">
        <is>
          <t>VENTAS POR SUPERVISOR â€” ENEâ€“MAY 2025</t>
        </is>
      </c>
    </row>
    <row r="3" ht="22" customHeight="1">
      <c r="A3" s="3" t="inlineStr">
        <is>
          <t>Supervisor</t>
        </is>
      </c>
      <c r="B3" s="4" t="inlineStr">
        <is>
          <t>Enero (RD$)</t>
        </is>
      </c>
      <c r="C3" s="4" t="inlineStr">
        <is>
          <t>Feb (RD$)</t>
        </is>
      </c>
      <c r="D3" s="4" t="inlineStr">
        <is>
          <t>Mar (RD$)</t>
        </is>
      </c>
      <c r="E3" s="4" t="inlineStr">
        <is>
          <t>Abr (RD$)</t>
        </is>
      </c>
      <c r="F3" s="4" t="inlineStr">
        <is>
          <t>May (RD$)</t>
        </is>
      </c>
      <c r="G3" s="6" t="inlineStr">
        <is>
          <t>TOTAL</t>
        </is>
      </c>
      <c r="H3" s="7" t="inlineStr">
        <is>
          <t>Cli.Activos Ene</t>
        </is>
      </c>
      <c r="I3" s="7" t="inlineStr">
        <is>
          <t>Cli.Activos May</t>
        </is>
      </c>
      <c r="J3" s="3" t="inlineStr">
        <is>
          <t>VariaciÃ³n</t>
        </is>
      </c>
    </row>
    <row r="4">
      <c r="A4" s="8" t="inlineStr">
        <is>
          <t>Sur L. (Narciso PiÃ±a Bello)</t>
        </is>
      </c>
      <c r="B4" s="9" t="n">
        <v>2349665</v>
      </c>
      <c r="C4" s="9" t="n">
        <v>2224873</v>
      </c>
      <c r="D4" s="9" t="n">
        <v>2187725</v>
      </c>
      <c r="E4" s="9" t="n">
        <v>2415086</v>
      </c>
      <c r="F4" s="9" t="n">
        <v>2325633</v>
      </c>
      <c r="G4" s="9">
        <f>SUM(B4:F4)</f>
        <v/>
      </c>
      <c r="H4" s="9" t="n">
        <v>1609</v>
      </c>
      <c r="I4" s="9" t="n">
        <v>1789</v>
      </c>
      <c r="J4" s="10">
        <f>I4/H4-1</f>
        <v/>
      </c>
    </row>
    <row r="5">
      <c r="A5" s="11" t="inlineStr">
        <is>
          <t>Sur Corto (Disponible SC)</t>
        </is>
      </c>
      <c r="B5" s="12" t="n">
        <v>1033189</v>
      </c>
      <c r="C5" s="12" t="n">
        <v>1097777</v>
      </c>
      <c r="D5" s="12" t="n">
        <v>1020233</v>
      </c>
      <c r="E5" s="12" t="n">
        <v>1105813</v>
      </c>
      <c r="F5" s="12" t="n">
        <v>1268372</v>
      </c>
      <c r="G5" s="12">
        <f>SUM(B5:F5)</f>
        <v/>
      </c>
      <c r="H5" s="12" t="n">
        <v>1335</v>
      </c>
      <c r="I5" s="12" t="n">
        <v>1545</v>
      </c>
      <c r="J5" s="13">
        <f>I5/H5-1</f>
        <v/>
      </c>
    </row>
    <row r="6">
      <c r="A6" s="8" t="inlineStr">
        <is>
          <t>SDO (Fernando MartÃ­nez)</t>
        </is>
      </c>
      <c r="B6" s="9" t="n">
        <v>1178499</v>
      </c>
      <c r="C6" s="9" t="n">
        <v>1157799</v>
      </c>
      <c r="D6" s="9" t="n">
        <v>1110513</v>
      </c>
      <c r="E6" s="9" t="n">
        <v>1031514</v>
      </c>
      <c r="F6" s="9" t="n">
        <v>1196135</v>
      </c>
      <c r="G6" s="9">
        <f>SUM(B6:F6)</f>
        <v/>
      </c>
      <c r="H6" s="9" t="n">
        <v>1506</v>
      </c>
      <c r="I6" s="9" t="n">
        <v>1595</v>
      </c>
      <c r="J6" s="10">
        <f>I6/H6-1</f>
        <v/>
      </c>
    </row>
    <row r="7">
      <c r="A7" s="11" t="inlineStr">
        <is>
          <t>SDN (Samuel Valenzuela)</t>
        </is>
      </c>
      <c r="B7" s="12" t="n">
        <v>1063479</v>
      </c>
      <c r="C7" s="12" t="n">
        <v>1045816</v>
      </c>
      <c r="D7" s="12" t="n">
        <v>1070212</v>
      </c>
      <c r="E7" s="12" t="n">
        <v>918861</v>
      </c>
      <c r="F7" s="12" t="n">
        <v>1116695</v>
      </c>
      <c r="G7" s="12">
        <f>SUM(B7:F7)</f>
        <v/>
      </c>
      <c r="H7" s="12" t="n">
        <v>1364</v>
      </c>
      <c r="I7" s="12" t="n">
        <v>1496</v>
      </c>
      <c r="J7" s="13">
        <f>I7/H7-1</f>
        <v/>
      </c>
    </row>
    <row r="8">
      <c r="A8" s="8" t="inlineStr">
        <is>
          <t>DN (Fernando MartÃ­nez)</t>
        </is>
      </c>
      <c r="B8" s="9" t="n">
        <v>863754</v>
      </c>
      <c r="C8" s="9" t="n">
        <v>775047</v>
      </c>
      <c r="D8" s="9" t="n">
        <v>990985</v>
      </c>
      <c r="E8" s="9" t="n">
        <v>897683</v>
      </c>
      <c r="F8" s="9" t="n">
        <v>1029314</v>
      </c>
      <c r="G8" s="9">
        <f>SUM(B8:F8)</f>
        <v/>
      </c>
      <c r="H8" s="9" t="n">
        <v>1255</v>
      </c>
      <c r="I8" s="9" t="n">
        <v>1519</v>
      </c>
      <c r="J8" s="10">
        <f>I8/H8-1</f>
        <v/>
      </c>
    </row>
    <row r="9">
      <c r="A9" s="11" t="inlineStr">
        <is>
          <t>SDE (RamÃ³n Pimentel)</t>
        </is>
      </c>
      <c r="B9" s="12" t="n">
        <v>53483</v>
      </c>
      <c r="C9" s="12" t="n">
        <v>630925</v>
      </c>
      <c r="D9" s="12" t="n">
        <v>917661</v>
      </c>
      <c r="E9" s="12" t="n">
        <v>910517</v>
      </c>
      <c r="F9" s="12" t="n">
        <v>1179501</v>
      </c>
      <c r="G9" s="12">
        <f>SUM(B9:F9)</f>
        <v/>
      </c>
      <c r="H9" s="12" t="n">
        <v>122</v>
      </c>
      <c r="I9" s="12" t="n">
        <v>1799</v>
      </c>
      <c r="J9" s="13">
        <f>I9/H9-1</f>
        <v/>
      </c>
    </row>
    <row r="10">
      <c r="A10" s="8" t="inlineStr">
        <is>
          <t>BC (RamÃ³n Pimentel)</t>
        </is>
      </c>
      <c r="B10" s="9" t="n">
        <v>662819</v>
      </c>
      <c r="C10" s="9" t="n">
        <v>587482</v>
      </c>
      <c r="D10" s="9" t="n">
        <v>599613</v>
      </c>
      <c r="E10" s="9" t="n">
        <v>495441</v>
      </c>
      <c r="F10" s="9" t="n">
        <v>639070</v>
      </c>
      <c r="G10" s="9">
        <f>SUM(B10:F10)</f>
        <v/>
      </c>
      <c r="H10" s="9" t="n">
        <v>839</v>
      </c>
      <c r="I10" s="9" t="n">
        <v>843</v>
      </c>
      <c r="J10" s="10">
        <f>I10/H10-1</f>
        <v/>
      </c>
    </row>
    <row r="11">
      <c r="A11" s="11" t="inlineStr">
        <is>
          <t>Tradicional (Cristiano PÃ©rez)</t>
        </is>
      </c>
      <c r="B11" s="12" t="n">
        <v>169258</v>
      </c>
      <c r="C11" s="12" t="n">
        <v>352385</v>
      </c>
      <c r="D11" s="12" t="n">
        <v>403315</v>
      </c>
      <c r="E11" s="12" t="n">
        <v>344037</v>
      </c>
      <c r="F11" s="12" t="n">
        <v>592429</v>
      </c>
      <c r="G11" s="12">
        <f>SUM(B11:F11)</f>
        <v/>
      </c>
      <c r="H11" s="12" t="n">
        <v>13</v>
      </c>
      <c r="I11" s="12" t="n">
        <v>40</v>
      </c>
      <c r="J11" s="13">
        <f>I11/H11-1</f>
        <v/>
      </c>
    </row>
    <row r="12">
      <c r="A12" s="18" t="inlineStr">
        <is>
          <t>Centro SD â€” eliminado</t>
        </is>
      </c>
      <c r="B12" s="19" t="n">
        <v>1247725</v>
      </c>
      <c r="C12" s="19" t="n">
        <v>486489</v>
      </c>
      <c r="D12" s="19" t="n">
        <v>209906</v>
      </c>
      <c r="E12" s="19" t="n">
        <v>0</v>
      </c>
      <c r="F12" s="19" t="n">
        <v>0</v>
      </c>
      <c r="G12" s="19">
        <f>SUM(B12:F12)</f>
        <v/>
      </c>
      <c r="H12" s="19" t="n">
        <v>1749</v>
      </c>
      <c r="I12" s="19" t="n">
        <v>0</v>
      </c>
      <c r="J12" s="20">
        <f>I12/H12-1</f>
        <v/>
      </c>
    </row>
    <row r="13">
      <c r="A13" s="17" t="inlineStr">
        <is>
          <t>TOTAL</t>
        </is>
      </c>
      <c r="B13" s="15">
        <f>SUM(B4:B12)</f>
        <v/>
      </c>
      <c r="C13" s="15">
        <f>SUM(C4:C12)</f>
        <v/>
      </c>
      <c r="D13" s="15">
        <f>SUM(D4:D12)</f>
        <v/>
      </c>
      <c r="E13" s="15">
        <f>SUM(E4:E12)</f>
        <v/>
      </c>
      <c r="F13" s="15">
        <f>SUM(F4:F12)</f>
        <v/>
      </c>
      <c r="G13" s="15">
        <f>SUM(G4:G12)</f>
        <v/>
      </c>
      <c r="H13" s="21" t="inlineStr"/>
      <c r="I13" s="21" t="inlineStr"/>
      <c r="J13" s="21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5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VENTAS POR CANAL Y TAMAÃ‘O DE CLIENTE â€” ENEâ€“MAY 2025</t>
        </is>
      </c>
    </row>
    <row r="3">
      <c r="A3" s="22" t="inlineStr">
        <is>
          <t>POR CANAL DE VENTAS</t>
        </is>
      </c>
    </row>
    <row r="4">
      <c r="A4" s="3" t="inlineStr">
        <is>
          <t>Canal</t>
        </is>
      </c>
      <c r="B4" s="4" t="inlineStr">
        <is>
          <t>Enero</t>
        </is>
      </c>
      <c r="C4" s="4" t="inlineStr">
        <is>
          <t>Febrero</t>
        </is>
      </c>
      <c r="D4" s="4" t="inlineStr">
        <is>
          <t>Marzo</t>
        </is>
      </c>
      <c r="E4" s="4" t="inlineStr">
        <is>
          <t>Abril</t>
        </is>
      </c>
      <c r="F4" s="4" t="inlineStr">
        <is>
          <t>Mayo</t>
        </is>
      </c>
      <c r="G4" s="7" t="inlineStr">
        <is>
          <t>Part. %</t>
        </is>
      </c>
    </row>
    <row r="5">
      <c r="A5" s="8" t="inlineStr">
        <is>
          <t>Colmados</t>
        </is>
      </c>
      <c r="B5" s="9" t="n">
        <v>7868916</v>
      </c>
      <c r="C5" s="9" t="n">
        <v>7598322</v>
      </c>
      <c r="D5" s="9" t="n">
        <v>7708172</v>
      </c>
      <c r="E5" s="9" t="n">
        <v>7228315</v>
      </c>
      <c r="F5" s="9" t="n">
        <v>8370367</v>
      </c>
      <c r="G5" s="10">
        <f>SUM(B5:F5)/SUM(B5:F7)</f>
        <v/>
      </c>
    </row>
    <row r="6">
      <c r="A6" s="11" t="inlineStr">
        <is>
          <t>Almacenes</t>
        </is>
      </c>
      <c r="B6" s="12" t="n">
        <v>975885</v>
      </c>
      <c r="C6" s="12" t="n">
        <v>758102</v>
      </c>
      <c r="D6" s="12" t="n">
        <v>802515</v>
      </c>
      <c r="E6" s="12" t="n">
        <v>883013</v>
      </c>
      <c r="F6" s="12" t="n">
        <v>978122</v>
      </c>
      <c r="G6" s="13">
        <f>SUM(B6:F6)/SUM(B5:F7)</f>
        <v/>
      </c>
    </row>
    <row r="7">
      <c r="A7" s="8" t="inlineStr">
        <is>
          <t>Supermercados</t>
        </is>
      </c>
      <c r="B7" s="9" t="n">
        <v>0</v>
      </c>
      <c r="C7" s="9" t="n">
        <v>4163</v>
      </c>
      <c r="D7" s="9" t="n">
        <v>0</v>
      </c>
      <c r="E7" s="9" t="n">
        <v>7992</v>
      </c>
      <c r="F7" s="9" t="n">
        <v>0</v>
      </c>
      <c r="G7" s="10">
        <f>SUM(B7:F7)/SUM(B5:F7)</f>
        <v/>
      </c>
    </row>
    <row r="8">
      <c r="A8" s="14" t="inlineStr">
        <is>
          <t>TOTAL</t>
        </is>
      </c>
      <c r="B8" s="23">
        <f>SUM(B5:B7)</f>
        <v/>
      </c>
      <c r="C8" s="23">
        <f>SUM(C5:C7)</f>
        <v/>
      </c>
      <c r="D8" s="23">
        <f>SUM(D5:D7)</f>
        <v/>
      </c>
      <c r="E8" s="23">
        <f>SUM(E5:E7)</f>
        <v/>
      </c>
      <c r="F8" s="23">
        <f>SUM(F5:F7)</f>
        <v/>
      </c>
      <c r="G8" s="24">
        <f>SUM(G5:G7)</f>
        <v/>
      </c>
    </row>
    <row r="11">
      <c r="A11" s="25" t="inlineStr">
        <is>
          <t>POR TAMAÃ‘O DE CLIENTE</t>
        </is>
      </c>
    </row>
    <row r="12">
      <c r="A12" s="3" t="inlineStr">
        <is>
          <t>TamaÃ±o</t>
        </is>
      </c>
      <c r="B12" s="4" t="inlineStr">
        <is>
          <t>Ventas Acum.</t>
        </is>
      </c>
      <c r="C12" s="4" t="inlineStr">
        <is>
          <t>Facturas Acum.</t>
        </is>
      </c>
      <c r="D12" s="4" t="inlineStr">
        <is>
          <t>Clientes Acum.</t>
        </is>
      </c>
      <c r="E12" s="7" t="inlineStr">
        <is>
          <t>Drop Size Prom.</t>
        </is>
      </c>
      <c r="F12" s="6" t="inlineStr">
        <is>
          <t>Part. Ventas</t>
        </is>
      </c>
      <c r="G12" s="5" t="inlineStr">
        <is>
          <t>Tendencia Drop</t>
        </is>
      </c>
    </row>
    <row r="13">
      <c r="A13" s="8" t="inlineStr">
        <is>
          <t>A Grande</t>
        </is>
      </c>
      <c r="B13" s="9" t="n">
        <v>18460197</v>
      </c>
      <c r="C13" s="9" t="n">
        <v>21748</v>
      </c>
      <c r="D13" s="9" t="n">
        <v>12505</v>
      </c>
      <c r="E13" s="9">
        <f>B13/C13</f>
        <v/>
      </c>
      <c r="F13" s="10">
        <f>B13/SUM(B13:B19)</f>
        <v/>
      </c>
      <c r="G13" s="26" t="inlineStr">
        <is>
          <t>RD$22 â†“</t>
        </is>
      </c>
    </row>
    <row r="14">
      <c r="A14" s="11" t="inlineStr">
        <is>
          <t>B Mediano</t>
        </is>
      </c>
      <c r="B14" s="12" t="n">
        <v>14019148</v>
      </c>
      <c r="C14" s="12" t="n">
        <v>26040</v>
      </c>
      <c r="D14" s="12" t="n">
        <v>18827</v>
      </c>
      <c r="E14" s="12">
        <f>B14/C14</f>
        <v/>
      </c>
      <c r="F14" s="13">
        <f>B14/SUM(B13:B19)</f>
        <v/>
      </c>
      <c r="G14" s="27" t="inlineStr">
        <is>
          <t>RD$72 â†“</t>
        </is>
      </c>
    </row>
    <row r="15">
      <c r="A15" s="8" t="inlineStr">
        <is>
          <t>C PequeÃ±o</t>
        </is>
      </c>
      <c r="B15" s="9" t="n">
        <v>5306160</v>
      </c>
      <c r="C15" s="9" t="n">
        <v>12590</v>
      </c>
      <c r="D15" s="9" t="n">
        <v>8793</v>
      </c>
      <c r="E15" s="9">
        <f>B15/C15</f>
        <v/>
      </c>
      <c r="F15" s="10">
        <f>B15/SUM(B13:B19)</f>
        <v/>
      </c>
      <c r="G15" s="26" t="inlineStr">
        <is>
          <t>RD$19 â†“</t>
        </is>
      </c>
    </row>
    <row r="16">
      <c r="A16" s="11" t="inlineStr">
        <is>
          <t>D1 Muy PequeÃ±o</t>
        </is>
      </c>
      <c r="B16" s="12" t="n">
        <v>3014739</v>
      </c>
      <c r="C16" s="12" t="n">
        <v>6730</v>
      </c>
      <c r="D16" s="12" t="n">
        <v>4982</v>
      </c>
      <c r="E16" s="12">
        <f>B16/C16</f>
        <v/>
      </c>
      <c r="F16" s="13">
        <f>B16/SUM(B13:B19)</f>
        <v/>
      </c>
      <c r="G16" s="28" t="inlineStr">
        <is>
          <t>RD$43 â†‘</t>
        </is>
      </c>
    </row>
    <row r="17">
      <c r="A17" s="8" t="inlineStr">
        <is>
          <t>D2 Muy PequeÃ±o</t>
        </is>
      </c>
      <c r="B17" s="9" t="n">
        <v>1463992</v>
      </c>
      <c r="C17" s="9" t="n">
        <v>3784</v>
      </c>
      <c r="D17" s="9" t="n">
        <v>3138</v>
      </c>
      <c r="E17" s="9">
        <f>B17/C17</f>
        <v/>
      </c>
      <c r="F17" s="10">
        <f>B17/SUM(B13:B19)</f>
        <v/>
      </c>
      <c r="G17" s="26" t="inlineStr">
        <is>
          <t>RD$60 â†“</t>
        </is>
      </c>
    </row>
    <row r="18">
      <c r="A18" s="11" t="inlineStr">
        <is>
          <t>D4 Muy PequeÃ±o</t>
        </is>
      </c>
      <c r="B18" s="12" t="n">
        <v>724709</v>
      </c>
      <c r="C18" s="12" t="n">
        <v>1961</v>
      </c>
      <c r="D18" s="12" t="n">
        <v>1723</v>
      </c>
      <c r="E18" s="12">
        <f>B18/C18</f>
        <v/>
      </c>
      <c r="F18" s="13">
        <f>B18/SUM(B13:B19)</f>
        <v/>
      </c>
      <c r="G18" s="27" t="inlineStr">
        <is>
          <t>RD$68 â†“</t>
        </is>
      </c>
    </row>
    <row r="19">
      <c r="A19" s="8" t="inlineStr">
        <is>
          <t>D3 Muy PequeÃ±o</t>
        </is>
      </c>
      <c r="B19" s="9" t="n">
        <v>214785</v>
      </c>
      <c r="C19" s="9" t="n">
        <v>658</v>
      </c>
      <c r="D19" s="9" t="n">
        <v>561</v>
      </c>
      <c r="E19" s="9">
        <f>B19/C19</f>
        <v/>
      </c>
      <c r="F19" s="10">
        <f>B19/SUM(B13:B19)</f>
        <v/>
      </c>
      <c r="G19" s="26" t="inlineStr">
        <is>
          <t>RD$70 â†“</t>
        </is>
      </c>
    </row>
    <row r="20">
      <c r="A20" s="14" t="inlineStr">
        <is>
          <t>TOTAL</t>
        </is>
      </c>
      <c r="B20" s="23">
        <f>SUM(B13:B19)</f>
        <v/>
      </c>
      <c r="C20" s="23">
        <f>SUM(C13:C19)</f>
        <v/>
      </c>
      <c r="D20" s="23">
        <f>SUM(D13:D19)</f>
        <v/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 ht="30" customHeight="1">
      <c r="A1" s="1" t="inlineStr">
        <is>
          <t>EFECTIVIDAD â€” CLIENTES ASIGNADOS vs. COMPRARON COLOMBINA</t>
        </is>
      </c>
    </row>
    <row r="3">
      <c r="A3" s="22" t="inlineStr">
        <is>
          <t>EFECTIVIDAD GLOBAL MENSUAL</t>
        </is>
      </c>
    </row>
    <row r="4">
      <c r="A4" s="3" t="inlineStr">
        <is>
          <t>Mes</t>
        </is>
      </c>
      <c r="B4" s="4" t="inlineStr">
        <is>
          <t>Total Asignados</t>
        </is>
      </c>
      <c r="C4" s="6" t="inlineStr">
        <is>
          <t>Compraron Colombina</t>
        </is>
      </c>
      <c r="D4" s="5" t="inlineStr">
        <is>
          <t>No Compraron</t>
        </is>
      </c>
      <c r="E4" s="6" t="inlineStr">
        <is>
          <t>Efectividad %</t>
        </is>
      </c>
      <c r="F4" s="7" t="inlineStr">
        <is>
          <t>VariaciÃ³n vs Mes Ant.</t>
        </is>
      </c>
    </row>
    <row r="5">
      <c r="A5" s="8" t="inlineStr">
        <is>
          <t>Enero</t>
        </is>
      </c>
      <c r="B5" s="9" t="n">
        <v>20376</v>
      </c>
      <c r="C5" s="9" t="n">
        <v>3236</v>
      </c>
      <c r="D5" s="9">
        <f>B5-C5</f>
        <v/>
      </c>
      <c r="E5" s="29">
        <f>C5/B5</f>
        <v/>
      </c>
      <c r="F5" s="10" t="n"/>
    </row>
    <row r="6">
      <c r="A6" s="11" t="inlineStr">
        <is>
          <t>Febrero</t>
        </is>
      </c>
      <c r="B6" s="12" t="n">
        <v>20376</v>
      </c>
      <c r="C6" s="12" t="n">
        <v>3605</v>
      </c>
      <c r="D6" s="12">
        <f>B6-C6</f>
        <v/>
      </c>
      <c r="E6" s="30">
        <f>C6/B6</f>
        <v/>
      </c>
      <c r="F6" s="31">
        <f>E6-E5</f>
        <v/>
      </c>
    </row>
    <row r="7">
      <c r="A7" s="8" t="inlineStr">
        <is>
          <t>Marzo</t>
        </is>
      </c>
      <c r="B7" s="9" t="n">
        <v>20376</v>
      </c>
      <c r="C7" s="9" t="n">
        <v>3601</v>
      </c>
      <c r="D7" s="9">
        <f>B7-C7</f>
        <v/>
      </c>
      <c r="E7" s="29">
        <f>C7/B7</f>
        <v/>
      </c>
      <c r="F7" s="32">
        <f>E7-E6</f>
        <v/>
      </c>
    </row>
    <row r="8">
      <c r="A8" s="11" t="inlineStr">
        <is>
          <t>Abril</t>
        </is>
      </c>
      <c r="B8" s="12" t="n">
        <v>20376</v>
      </c>
      <c r="C8" s="12" t="n">
        <v>3788</v>
      </c>
      <c r="D8" s="12">
        <f>B8-C8</f>
        <v/>
      </c>
      <c r="E8" s="30">
        <f>C8/B8</f>
        <v/>
      </c>
      <c r="F8" s="31">
        <f>E8-E7</f>
        <v/>
      </c>
    </row>
    <row r="9">
      <c r="A9" s="8" t="inlineStr">
        <is>
          <t>Mayo</t>
        </is>
      </c>
      <c r="B9" s="9" t="n">
        <v>20376</v>
      </c>
      <c r="C9" s="9" t="n">
        <v>3849</v>
      </c>
      <c r="D9" s="9">
        <f>B9-C9</f>
        <v/>
      </c>
      <c r="E9" s="29">
        <f>C9/B9</f>
        <v/>
      </c>
      <c r="F9" s="32">
        <f>E9-E8</f>
        <v/>
      </c>
    </row>
    <row r="12">
      <c r="A12" s="25" t="inlineStr">
        <is>
          <t>EFECTIVIDAD POR ZONA â€” MAYO 2025</t>
        </is>
      </c>
    </row>
    <row r="13">
      <c r="A13" s="3" t="inlineStr">
        <is>
          <t>Zona / Supervisor</t>
        </is>
      </c>
      <c r="B13" s="4" t="inlineStr">
        <is>
          <t>Asignados</t>
        </is>
      </c>
      <c r="C13" s="6" t="inlineStr">
        <is>
          <t>Compraron (May)</t>
        </is>
      </c>
      <c r="D13" s="5" t="inlineStr">
        <is>
          <t>No Compraron</t>
        </is>
      </c>
      <c r="E13" s="6" t="inlineStr">
        <is>
          <t>Efectividad %</t>
        </is>
      </c>
      <c r="F13" s="7" t="inlineStr">
        <is>
          <t>Nivel</t>
        </is>
      </c>
    </row>
    <row r="14">
      <c r="A14" s="8" t="inlineStr">
        <is>
          <t>Sur L. (Narciso PiÃ±a Bello)</t>
        </is>
      </c>
      <c r="B14" s="9" t="n">
        <v>2753</v>
      </c>
      <c r="C14" s="9" t="n">
        <v>1086</v>
      </c>
      <c r="D14" s="9">
        <f>B14-C14</f>
        <v/>
      </c>
      <c r="E14" s="29">
        <f>C14/B14</f>
        <v/>
      </c>
      <c r="F14" s="33" t="inlineStr">
        <is>
          <t>Alto</t>
        </is>
      </c>
    </row>
    <row r="15">
      <c r="A15" s="11" t="inlineStr">
        <is>
          <t>Sur Corto (SC)</t>
        </is>
      </c>
      <c r="B15" s="12" t="n">
        <v>2921</v>
      </c>
      <c r="C15" s="12" t="n">
        <v>574</v>
      </c>
      <c r="D15" s="12">
        <f>B15-C15</f>
        <v/>
      </c>
      <c r="E15" s="34">
        <f>C15/B15</f>
        <v/>
      </c>
      <c r="F15" s="35" t="inlineStr">
        <is>
          <t>Medio</t>
        </is>
      </c>
    </row>
    <row r="16">
      <c r="A16" s="8" t="inlineStr">
        <is>
          <t>BC (RamÃ³n Pimentel)</t>
        </is>
      </c>
      <c r="B16" s="9" t="n">
        <v>1200</v>
      </c>
      <c r="C16" s="9" t="n">
        <v>186</v>
      </c>
      <c r="D16" s="9">
        <f>B16-C16</f>
        <v/>
      </c>
      <c r="E16" s="36">
        <f>C16/B16</f>
        <v/>
      </c>
      <c r="F16" s="37" t="inlineStr">
        <is>
          <t>Medio</t>
        </is>
      </c>
    </row>
    <row r="17">
      <c r="A17" s="11" t="inlineStr">
        <is>
          <t>SDN (Samuel Valenzuela)</t>
        </is>
      </c>
      <c r="B17" s="12" t="n">
        <v>2598</v>
      </c>
      <c r="C17" s="12" t="n">
        <v>444</v>
      </c>
      <c r="D17" s="12">
        <f>B17-C17</f>
        <v/>
      </c>
      <c r="E17" s="34">
        <f>C17/B17</f>
        <v/>
      </c>
      <c r="F17" s="35" t="inlineStr">
        <is>
          <t>Medio</t>
        </is>
      </c>
    </row>
    <row r="18">
      <c r="A18" s="8" t="inlineStr">
        <is>
          <t>DN (Fernando MartÃ­nez)</t>
        </is>
      </c>
      <c r="B18" s="9" t="n">
        <v>2894</v>
      </c>
      <c r="C18" s="9" t="n">
        <v>347</v>
      </c>
      <c r="D18" s="9">
        <f>B18-C18</f>
        <v/>
      </c>
      <c r="E18" s="38">
        <f>C18/B18</f>
        <v/>
      </c>
      <c r="F18" s="39" t="inlineStr">
        <is>
          <t>Bajo</t>
        </is>
      </c>
    </row>
    <row r="19">
      <c r="A19" s="11" t="inlineStr">
        <is>
          <t>SDO (Fernando MartÃ­nez)</t>
        </is>
      </c>
      <c r="B19" s="12" t="n">
        <v>2997</v>
      </c>
      <c r="C19" s="12" t="n">
        <v>300</v>
      </c>
      <c r="D19" s="12">
        <f>B19-C19</f>
        <v/>
      </c>
      <c r="E19" s="40">
        <f>C19/B19</f>
        <v/>
      </c>
      <c r="F19" s="41" t="inlineStr">
        <is>
          <t>Bajo</t>
        </is>
      </c>
    </row>
    <row r="20">
      <c r="A20" s="8" t="inlineStr">
        <is>
          <t>SDE (RamÃ³n Pimentel)</t>
        </is>
      </c>
      <c r="B20" s="9" t="n">
        <v>2913</v>
      </c>
      <c r="C20" s="9" t="n">
        <v>242</v>
      </c>
      <c r="D20" s="9">
        <f>B20-C20</f>
        <v/>
      </c>
      <c r="E20" s="38">
        <f>C20/B20</f>
        <v/>
      </c>
      <c r="F20" s="39" t="inlineStr">
        <is>
          <t>Bajo</t>
        </is>
      </c>
    </row>
    <row r="21">
      <c r="A21" s="42" t="inlineStr">
        <is>
          <t>Sin asignaciÃ³n/cÃ³digo activo</t>
        </is>
      </c>
      <c r="B21" s="43" t="n">
        <v>3600</v>
      </c>
      <c r="C21" s="43" t="n">
        <v>0</v>
      </c>
      <c r="D21" s="43">
        <f>B21-C21</f>
        <v/>
      </c>
      <c r="E21" s="20">
        <f>C21/B21</f>
        <v/>
      </c>
      <c r="F21" s="44" t="inlineStr">
        <is>
          <t>CrÃ­tico</t>
        </is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10" customWidth="1" min="4" max="4"/>
    <col width="11" customWidth="1" min="5" max="5"/>
    <col width="12" customWidth="1" min="6" max="6"/>
    <col width="12" customWidth="1" min="7" max="7"/>
    <col width="16" customWidth="1" min="8" max="8"/>
    <col width="12" customWidth="1" min="9" max="9"/>
    <col width="10" customWidth="1" min="10" max="10"/>
  </cols>
  <sheetData>
    <row r="1" ht="30" customHeight="1">
      <c r="A1" s="1" t="inlineStr">
        <is>
          <t>RANKING DE EFECTIVIDAD POR RUTA â€” MAYO 2025</t>
        </is>
      </c>
    </row>
    <row r="3" ht="22" customHeight="1">
      <c r="A3" s="3" t="inlineStr">
        <is>
          <t>Ruta</t>
        </is>
      </c>
      <c r="B3" s="4" t="inlineStr">
        <is>
          <t>Vendedor</t>
        </is>
      </c>
      <c r="C3" s="4" t="inlineStr">
        <is>
          <t>Supervisor</t>
        </is>
      </c>
      <c r="D3" s="4" t="inlineStr">
        <is>
          <t>Asignados</t>
        </is>
      </c>
      <c r="E3" s="6" t="inlineStr">
        <is>
          <t>Compraron</t>
        </is>
      </c>
      <c r="F3" s="5" t="inlineStr">
        <is>
          <t>No Compraron</t>
        </is>
      </c>
      <c r="G3" s="6" t="inlineStr">
        <is>
          <t>Efectividad %</t>
        </is>
      </c>
      <c r="H3" s="7" t="inlineStr">
        <is>
          <t>Ventas Mayo (RD$)</t>
        </is>
      </c>
      <c r="I3" s="7" t="inlineStr">
        <is>
          <t>Drop Size Mayo</t>
        </is>
      </c>
      <c r="J3" s="3" t="inlineStr">
        <is>
          <t>Nivel</t>
        </is>
      </c>
    </row>
    <row r="4">
      <c r="A4" s="45" t="inlineStr">
        <is>
          <t>BAR2</t>
        </is>
      </c>
      <c r="B4" s="46" t="inlineStr">
        <is>
          <t>Jhostin Olivo</t>
        </is>
      </c>
      <c r="C4" s="46" t="inlineStr">
        <is>
          <t>Sur L. (PiÃ±a Bello)</t>
        </is>
      </c>
      <c r="D4" s="47" t="n">
        <v>402</v>
      </c>
      <c r="E4" s="47" t="n">
        <v>327</v>
      </c>
      <c r="F4" s="47" t="n">
        <v>75</v>
      </c>
      <c r="G4" s="48" t="n">
        <v>0.8129999999999999</v>
      </c>
      <c r="H4" s="47" t="n">
        <v>672163</v>
      </c>
      <c r="I4" s="47" t="n">
        <v>2057</v>
      </c>
      <c r="J4" s="49" t="inlineStr">
        <is>
          <t>Alto</t>
        </is>
      </c>
    </row>
    <row r="5">
      <c r="A5" s="45" t="inlineStr">
        <is>
          <t>OCO1</t>
        </is>
      </c>
      <c r="B5" s="46" t="inlineStr">
        <is>
          <t>Manuel Donal Tejada</t>
        </is>
      </c>
      <c r="C5" s="46" t="inlineStr">
        <is>
          <t>Sur Corto (SC)</t>
        </is>
      </c>
      <c r="D5" s="47" t="n">
        <v>509</v>
      </c>
      <c r="E5" s="47" t="n">
        <v>268</v>
      </c>
      <c r="F5" s="47" t="n">
        <v>241</v>
      </c>
      <c r="G5" s="48" t="n">
        <v>0.527</v>
      </c>
      <c r="H5" s="47" t="n">
        <v>270755</v>
      </c>
      <c r="I5" s="47" t="n">
        <v>1010</v>
      </c>
      <c r="J5" s="49" t="inlineStr">
        <is>
          <t>Alto</t>
        </is>
      </c>
    </row>
    <row r="6">
      <c r="A6" s="45" t="inlineStr">
        <is>
          <t>BAN1</t>
        </is>
      </c>
      <c r="B6" s="46" t="inlineStr">
        <is>
          <t>Kelvin Bladimir MuÃ±oz</t>
        </is>
      </c>
      <c r="C6" s="46" t="inlineStr">
        <is>
          <t>Sur Corto (SC)</t>
        </is>
      </c>
      <c r="D6" s="47" t="n">
        <v>457</v>
      </c>
      <c r="E6" s="47" t="n">
        <v>221</v>
      </c>
      <c r="F6" s="47" t="n">
        <v>236</v>
      </c>
      <c r="G6" s="48" t="n">
        <v>0.484</v>
      </c>
      <c r="H6" s="47" t="n">
        <v>180629</v>
      </c>
      <c r="I6" s="47" t="n">
        <v>817</v>
      </c>
      <c r="J6" s="49" t="inlineStr">
        <is>
          <t>Alto</t>
        </is>
      </c>
    </row>
    <row r="7">
      <c r="A7" s="45" t="inlineStr">
        <is>
          <t>SJM2</t>
        </is>
      </c>
      <c r="B7" s="46" t="inlineStr">
        <is>
          <t>Jhonny Rosario</t>
        </is>
      </c>
      <c r="C7" s="46" t="inlineStr">
        <is>
          <t>Sur L. (PiÃ±a Bello)</t>
        </is>
      </c>
      <c r="D7" s="47" t="n">
        <v>395</v>
      </c>
      <c r="E7" s="47" t="n">
        <v>168</v>
      </c>
      <c r="F7" s="47" t="n">
        <v>227</v>
      </c>
      <c r="G7" s="48" t="n">
        <v>0.425</v>
      </c>
      <c r="H7" s="47" t="n">
        <v>226730</v>
      </c>
      <c r="I7" s="47" t="n">
        <v>1350</v>
      </c>
      <c r="J7" s="49" t="inlineStr">
        <is>
          <t>Alto</t>
        </is>
      </c>
    </row>
    <row r="8">
      <c r="A8" s="45" t="inlineStr">
        <is>
          <t>SDN6</t>
        </is>
      </c>
      <c r="B8" s="46" t="inlineStr">
        <is>
          <t>Angel Rodriguez</t>
        </is>
      </c>
      <c r="C8" s="46" t="inlineStr">
        <is>
          <t>SDN (Valenzuela)</t>
        </is>
      </c>
      <c r="D8" s="47" t="n">
        <v>485</v>
      </c>
      <c r="E8" s="47" t="n">
        <v>201</v>
      </c>
      <c r="F8" s="47" t="n">
        <v>284</v>
      </c>
      <c r="G8" s="48" t="n">
        <v>0.414</v>
      </c>
      <c r="H8" s="47" t="n">
        <v>156392</v>
      </c>
      <c r="I8" s="47" t="n">
        <v>778</v>
      </c>
      <c r="J8" s="49" t="inlineStr">
        <is>
          <t>Alto</t>
        </is>
      </c>
    </row>
    <row r="9">
      <c r="A9" s="45" t="inlineStr">
        <is>
          <t>SJM1</t>
        </is>
      </c>
      <c r="B9" s="46" t="inlineStr">
        <is>
          <t>Paul de los Santos</t>
        </is>
      </c>
      <c r="C9" s="46" t="inlineStr">
        <is>
          <t>Sur L. (PiÃ±a Bello)</t>
        </is>
      </c>
      <c r="D9" s="47" t="n">
        <v>473</v>
      </c>
      <c r="E9" s="47" t="n">
        <v>177</v>
      </c>
      <c r="F9" s="47" t="n">
        <v>296</v>
      </c>
      <c r="G9" s="48" t="n">
        <v>0.374</v>
      </c>
      <c r="H9" s="47" t="n">
        <v>193674</v>
      </c>
      <c r="I9" s="47" t="n">
        <v>1094</v>
      </c>
      <c r="J9" s="49" t="inlineStr">
        <is>
          <t>Alto</t>
        </is>
      </c>
    </row>
    <row r="10">
      <c r="A10" s="45" t="inlineStr">
        <is>
          <t>BAR1</t>
        </is>
      </c>
      <c r="B10" s="46" t="inlineStr">
        <is>
          <t>Franciscol Felix Felix</t>
        </is>
      </c>
      <c r="C10" s="46" t="inlineStr">
        <is>
          <t>Sur L. (PiÃ±a Bello)</t>
        </is>
      </c>
      <c r="D10" s="47" t="n">
        <v>453</v>
      </c>
      <c r="E10" s="47" t="n">
        <v>168</v>
      </c>
      <c r="F10" s="47" t="n">
        <v>285</v>
      </c>
      <c r="G10" s="48" t="n">
        <v>0.371</v>
      </c>
      <c r="H10" s="47" t="n">
        <v>214815</v>
      </c>
      <c r="I10" s="47" t="n">
        <v>1279</v>
      </c>
      <c r="J10" s="49" t="inlineStr">
        <is>
          <t>Alto</t>
        </is>
      </c>
    </row>
    <row r="11">
      <c r="A11" s="50" t="inlineStr">
        <is>
          <t>AZU1</t>
        </is>
      </c>
      <c r="B11" s="51" t="inlineStr">
        <is>
          <t>Ezequiel Beltre</t>
        </is>
      </c>
      <c r="C11" s="51" t="inlineStr">
        <is>
          <t>Sur L. (PiÃ±a Bello)</t>
        </is>
      </c>
      <c r="D11" s="52" t="n">
        <v>534</v>
      </c>
      <c r="E11" s="52" t="n">
        <v>180</v>
      </c>
      <c r="F11" s="52" t="n">
        <v>354</v>
      </c>
      <c r="G11" s="53" t="n">
        <v>0.337</v>
      </c>
      <c r="H11" s="52" t="n">
        <v>175155</v>
      </c>
      <c r="I11" s="52" t="n">
        <v>973</v>
      </c>
      <c r="J11" s="54" t="inlineStr">
        <is>
          <t>Medio</t>
        </is>
      </c>
    </row>
    <row r="12">
      <c r="A12" s="50" t="inlineStr">
        <is>
          <t>BAR3</t>
        </is>
      </c>
      <c r="B12" s="51" t="inlineStr">
        <is>
          <t>Brayan Lopez</t>
        </is>
      </c>
      <c r="C12" s="51" t="inlineStr">
        <is>
          <t>Sur L. (PiÃ±a Bello)</t>
        </is>
      </c>
      <c r="D12" s="52" t="n">
        <v>437</v>
      </c>
      <c r="E12" s="52" t="n">
        <v>132</v>
      </c>
      <c r="F12" s="52" t="n">
        <v>305</v>
      </c>
      <c r="G12" s="53" t="n">
        <v>0.302</v>
      </c>
      <c r="H12" s="52" t="n">
        <v>155497</v>
      </c>
      <c r="I12" s="52" t="n">
        <v>1178</v>
      </c>
      <c r="J12" s="54" t="inlineStr">
        <is>
          <t>Medio</t>
        </is>
      </c>
    </row>
    <row r="13">
      <c r="A13" s="50" t="inlineStr">
        <is>
          <t>AZU1</t>
        </is>
      </c>
      <c r="B13" s="51" t="inlineStr">
        <is>
          <t>Cristofer Joaquin NuÃ±ez</t>
        </is>
      </c>
      <c r="C13" s="51" t="inlineStr">
        <is>
          <t>Sur L. (PiÃ±a Bello)</t>
        </is>
      </c>
      <c r="D13" s="52" t="n">
        <v>532</v>
      </c>
      <c r="E13" s="52" t="n">
        <v>136</v>
      </c>
      <c r="F13" s="52" t="n">
        <v>396</v>
      </c>
      <c r="G13" s="53" t="n">
        <v>0.256</v>
      </c>
      <c r="H13" s="52" t="n">
        <v>94122</v>
      </c>
      <c r="I13" s="52" t="n">
        <v>692</v>
      </c>
      <c r="J13" s="54" t="inlineStr">
        <is>
          <t>Medio</t>
        </is>
      </c>
    </row>
    <row r="14">
      <c r="A14" s="50" t="inlineStr">
        <is>
          <t>SDN7</t>
        </is>
      </c>
      <c r="B14" s="51" t="inlineStr">
        <is>
          <t>Anderson Gomez</t>
        </is>
      </c>
      <c r="C14" s="51" t="inlineStr">
        <is>
          <t>SDN (Valenzuela)</t>
        </is>
      </c>
      <c r="D14" s="52" t="n">
        <v>468</v>
      </c>
      <c r="E14" s="52" t="n">
        <v>107</v>
      </c>
      <c r="F14" s="52" t="n">
        <v>361</v>
      </c>
      <c r="G14" s="53" t="n">
        <v>0.229</v>
      </c>
      <c r="H14" s="52" t="n">
        <v>98794</v>
      </c>
      <c r="I14" s="52" t="n">
        <v>923</v>
      </c>
      <c r="J14" s="54" t="inlineStr">
        <is>
          <t>Medio</t>
        </is>
      </c>
    </row>
    <row r="15">
      <c r="A15" s="50" t="inlineStr">
        <is>
          <t>SCR2</t>
        </is>
      </c>
      <c r="B15" s="51" t="inlineStr">
        <is>
          <t>Julio Cesar Sosa</t>
        </is>
      </c>
      <c r="C15" s="51" t="inlineStr">
        <is>
          <t>Sur Corto (SC)</t>
        </is>
      </c>
      <c r="D15" s="52" t="n">
        <v>503</v>
      </c>
      <c r="E15" s="52" t="n">
        <v>113</v>
      </c>
      <c r="F15" s="52" t="n">
        <v>390</v>
      </c>
      <c r="G15" s="53" t="n">
        <v>0.225</v>
      </c>
      <c r="H15" s="52" t="n">
        <v>91995</v>
      </c>
      <c r="I15" s="52" t="n">
        <v>814</v>
      </c>
      <c r="J15" s="54" t="inlineStr">
        <is>
          <t>Medio</t>
        </is>
      </c>
    </row>
    <row r="16">
      <c r="A16" s="55" t="inlineStr">
        <is>
          <t>SJM3</t>
        </is>
      </c>
      <c r="B16" s="11" t="inlineStr">
        <is>
          <t>Irvin de los Santos</t>
        </is>
      </c>
      <c r="C16" s="11" t="inlineStr">
        <is>
          <t>SDN (Valenzuela)</t>
        </is>
      </c>
      <c r="D16" s="12" t="n">
        <v>582</v>
      </c>
      <c r="E16" s="12" t="n">
        <v>105</v>
      </c>
      <c r="F16" s="12" t="n">
        <v>477</v>
      </c>
      <c r="G16" s="56" t="n">
        <v>0.18</v>
      </c>
      <c r="H16" s="12" t="n">
        <v>82936</v>
      </c>
      <c r="I16" s="12" t="n">
        <v>790</v>
      </c>
      <c r="J16" s="57" t="inlineStr">
        <is>
          <t>Bajo</t>
        </is>
      </c>
    </row>
    <row r="17">
      <c r="A17" s="55" t="inlineStr">
        <is>
          <t>BC4</t>
        </is>
      </c>
      <c r="B17" s="11" t="inlineStr">
        <is>
          <t>Joan M. Liriano</t>
        </is>
      </c>
      <c r="C17" s="11" t="inlineStr">
        <is>
          <t>BC (Pimentel)</t>
        </is>
      </c>
      <c r="D17" s="12" t="n">
        <v>609</v>
      </c>
      <c r="E17" s="12" t="n">
        <v>104</v>
      </c>
      <c r="F17" s="12" t="n">
        <v>505</v>
      </c>
      <c r="G17" s="56" t="n">
        <v>0.171</v>
      </c>
      <c r="H17" s="12" t="n">
        <v>73082</v>
      </c>
      <c r="I17" s="12" t="n">
        <v>703</v>
      </c>
      <c r="J17" s="57" t="inlineStr">
        <is>
          <t>Bajo</t>
        </is>
      </c>
    </row>
    <row r="18">
      <c r="A18" s="55" t="inlineStr">
        <is>
          <t>DN3</t>
        </is>
      </c>
      <c r="B18" s="11" t="inlineStr">
        <is>
          <t>Daniel Gutierrez</t>
        </is>
      </c>
      <c r="C18" s="11" t="inlineStr">
        <is>
          <t>DN (F. MartÃ­nez)</t>
        </is>
      </c>
      <c r="D18" s="12" t="n">
        <v>580</v>
      </c>
      <c r="E18" s="12" t="n">
        <v>87</v>
      </c>
      <c r="F18" s="12" t="n">
        <v>493</v>
      </c>
      <c r="G18" s="56" t="n">
        <v>0.15</v>
      </c>
      <c r="H18" s="12" t="n">
        <v>56294</v>
      </c>
      <c r="I18" s="12" t="n">
        <v>647</v>
      </c>
      <c r="J18" s="57" t="inlineStr">
        <is>
          <t>Bajo</t>
        </is>
      </c>
    </row>
    <row r="19">
      <c r="A19" s="55" t="inlineStr">
        <is>
          <t>SCR3</t>
        </is>
      </c>
      <c r="B19" s="11" t="inlineStr">
        <is>
          <t>Lisardo A. Placencio</t>
        </is>
      </c>
      <c r="C19" s="11" t="inlineStr">
        <is>
          <t>Sur Corto (SC)</t>
        </is>
      </c>
      <c r="D19" s="12" t="n">
        <v>478</v>
      </c>
      <c r="E19" s="12" t="n">
        <v>70</v>
      </c>
      <c r="F19" s="12" t="n">
        <v>408</v>
      </c>
      <c r="G19" s="56" t="n">
        <v>0.146</v>
      </c>
      <c r="H19" s="12" t="n">
        <v>45463</v>
      </c>
      <c r="I19" s="12" t="n">
        <v>649</v>
      </c>
      <c r="J19" s="57" t="inlineStr">
        <is>
          <t>Bajo</t>
        </is>
      </c>
    </row>
    <row r="20">
      <c r="A20" s="55" t="inlineStr">
        <is>
          <t>DN5</t>
        </is>
      </c>
      <c r="B20" s="11" t="inlineStr">
        <is>
          <t>Martina Ramirez</t>
        </is>
      </c>
      <c r="C20" s="11" t="inlineStr">
        <is>
          <t>DN (F. MartÃ­nez)</t>
        </is>
      </c>
      <c r="D20" s="12" t="n">
        <v>592</v>
      </c>
      <c r="E20" s="12" t="n">
        <v>85</v>
      </c>
      <c r="F20" s="12" t="n">
        <v>507</v>
      </c>
      <c r="G20" s="56" t="n">
        <v>0.144</v>
      </c>
      <c r="H20" s="12" t="n">
        <v>57414</v>
      </c>
      <c r="I20" s="12" t="n">
        <v>676</v>
      </c>
      <c r="J20" s="57" t="inlineStr">
        <is>
          <t>Bajo</t>
        </is>
      </c>
    </row>
    <row r="21">
      <c r="A21" s="55" t="inlineStr">
        <is>
          <t>SCR4</t>
        </is>
      </c>
      <c r="B21" s="11" t="inlineStr">
        <is>
          <t>Jefry Candelario</t>
        </is>
      </c>
      <c r="C21" s="11" t="inlineStr">
        <is>
          <t>Sur Corto (SC)</t>
        </is>
      </c>
      <c r="D21" s="12" t="n">
        <v>481</v>
      </c>
      <c r="E21" s="12" t="n">
        <v>68</v>
      </c>
      <c r="F21" s="12" t="n">
        <v>413</v>
      </c>
      <c r="G21" s="56" t="n">
        <v>0.141</v>
      </c>
      <c r="H21" s="12" t="n">
        <v>57079</v>
      </c>
      <c r="I21" s="12" t="n">
        <v>840</v>
      </c>
      <c r="J21" s="57" t="inlineStr">
        <is>
          <t>Bajo</t>
        </is>
      </c>
    </row>
    <row r="22">
      <c r="A22" s="55" t="inlineStr">
        <is>
          <t>BC5</t>
        </is>
      </c>
      <c r="B22" s="11" t="inlineStr">
        <is>
          <t>Miguel A. Berroa</t>
        </is>
      </c>
      <c r="C22" s="11" t="inlineStr">
        <is>
          <t>BC (Pimentel)</t>
        </is>
      </c>
      <c r="D22" s="12" t="n">
        <v>591</v>
      </c>
      <c r="E22" s="12" t="n">
        <v>82</v>
      </c>
      <c r="F22" s="12" t="n">
        <v>509</v>
      </c>
      <c r="G22" s="56" t="n">
        <v>0.139</v>
      </c>
      <c r="H22" s="12" t="n">
        <v>69810</v>
      </c>
      <c r="I22" s="12" t="n">
        <v>852</v>
      </c>
      <c r="J22" s="57" t="inlineStr">
        <is>
          <t>Bajo</t>
        </is>
      </c>
    </row>
    <row r="23">
      <c r="A23" s="55" t="inlineStr">
        <is>
          <t>SDE5</t>
        </is>
      </c>
      <c r="B23" s="11" t="inlineStr">
        <is>
          <t>Miguel Acosta</t>
        </is>
      </c>
      <c r="C23" s="11" t="inlineStr">
        <is>
          <t>SDE (Pimentel)</t>
        </is>
      </c>
      <c r="D23" s="12" t="n">
        <v>596</v>
      </c>
      <c r="E23" s="12" t="n">
        <v>79</v>
      </c>
      <c r="F23" s="12" t="n">
        <v>517</v>
      </c>
      <c r="G23" s="56" t="n">
        <v>0.133</v>
      </c>
      <c r="H23" s="12" t="n">
        <v>53805</v>
      </c>
      <c r="I23" s="12" t="n">
        <v>681</v>
      </c>
      <c r="J23" s="57" t="inlineStr">
        <is>
          <t>Bajo</t>
        </is>
      </c>
    </row>
    <row r="24">
      <c r="A24" s="55" t="inlineStr">
        <is>
          <t>DN6</t>
        </is>
      </c>
      <c r="B24" s="11" t="inlineStr">
        <is>
          <t>Enrrique Morillo</t>
        </is>
      </c>
      <c r="C24" s="11" t="inlineStr">
        <is>
          <t>DN (F. MartÃ­nez)</t>
        </is>
      </c>
      <c r="D24" s="12" t="n">
        <v>571</v>
      </c>
      <c r="E24" s="12" t="n">
        <v>74</v>
      </c>
      <c r="F24" s="12" t="n">
        <v>497</v>
      </c>
      <c r="G24" s="56" t="n">
        <v>0.13</v>
      </c>
      <c r="H24" s="12" t="n">
        <v>51475</v>
      </c>
      <c r="I24" s="12" t="n">
        <v>695</v>
      </c>
      <c r="J24" s="57" t="inlineStr">
        <is>
          <t>Bajo</t>
        </is>
      </c>
    </row>
    <row r="25">
      <c r="A25" s="55" t="inlineStr">
        <is>
          <t>SDO2</t>
        </is>
      </c>
      <c r="B25" s="11" t="inlineStr">
        <is>
          <t>Dilcio Navarro</t>
        </is>
      </c>
      <c r="C25" s="11" t="inlineStr">
        <is>
          <t>SDO (F. MartÃ­nez)</t>
        </is>
      </c>
      <c r="D25" s="12" t="n">
        <v>571</v>
      </c>
      <c r="E25" s="12" t="n">
        <v>71</v>
      </c>
      <c r="F25" s="12" t="n">
        <v>500</v>
      </c>
      <c r="G25" s="56" t="n">
        <v>0.124</v>
      </c>
      <c r="H25" s="12" t="n">
        <v>59903</v>
      </c>
      <c r="I25" s="12" t="n">
        <v>844</v>
      </c>
      <c r="J25" s="57" t="inlineStr">
        <is>
          <t>Bajo</t>
        </is>
      </c>
    </row>
    <row r="26">
      <c r="A26" s="55" t="inlineStr">
        <is>
          <t>SDO6</t>
        </is>
      </c>
      <c r="B26" s="11" t="inlineStr">
        <is>
          <t>Vicente Cruz</t>
        </is>
      </c>
      <c r="C26" s="11" t="inlineStr">
        <is>
          <t>SDO (F. MartÃ­nez)</t>
        </is>
      </c>
      <c r="D26" s="12" t="n">
        <v>592</v>
      </c>
      <c r="E26" s="12" t="n">
        <v>69</v>
      </c>
      <c r="F26" s="12" t="n">
        <v>523</v>
      </c>
      <c r="G26" s="56" t="n">
        <v>0.117</v>
      </c>
      <c r="H26" s="12" t="n">
        <v>60314</v>
      </c>
      <c r="I26" s="12" t="n">
        <v>874</v>
      </c>
      <c r="J26" s="57" t="inlineStr">
        <is>
          <t>Bajo</t>
        </is>
      </c>
    </row>
    <row r="27">
      <c r="A27" s="55" t="inlineStr">
        <is>
          <t>SCR2</t>
        </is>
      </c>
      <c r="B27" s="11" t="inlineStr">
        <is>
          <t>Yermin Rosario</t>
        </is>
      </c>
      <c r="C27" s="11" t="inlineStr">
        <is>
          <t>Sur Corto (SC)</t>
        </is>
      </c>
      <c r="D27" s="12" t="n">
        <v>501</v>
      </c>
      <c r="E27" s="12" t="n">
        <v>58</v>
      </c>
      <c r="F27" s="12" t="n">
        <v>443</v>
      </c>
      <c r="G27" s="56" t="n">
        <v>0.116</v>
      </c>
      <c r="H27" s="12" t="n">
        <v>46581</v>
      </c>
      <c r="I27" s="12" t="n">
        <v>803</v>
      </c>
      <c r="J27" s="57" t="inlineStr">
        <is>
          <t>Bajo</t>
        </is>
      </c>
    </row>
    <row r="28">
      <c r="A28" s="55" t="inlineStr">
        <is>
          <t>SDO1</t>
        </is>
      </c>
      <c r="B28" s="11" t="inlineStr">
        <is>
          <t>Wilquin Martinez</t>
        </is>
      </c>
      <c r="C28" s="11" t="inlineStr">
        <is>
          <t>SDO (F. MartÃ­nez)</t>
        </is>
      </c>
      <c r="D28" s="12" t="n">
        <v>617</v>
      </c>
      <c r="E28" s="12" t="n">
        <v>71</v>
      </c>
      <c r="F28" s="12" t="n">
        <v>546</v>
      </c>
      <c r="G28" s="56" t="n">
        <v>0.115</v>
      </c>
      <c r="H28" s="12" t="n">
        <v>49212</v>
      </c>
      <c r="I28" s="12" t="n">
        <v>693</v>
      </c>
      <c r="J28" s="57" t="inlineStr">
        <is>
          <t>Bajo</t>
        </is>
      </c>
    </row>
    <row r="29">
      <c r="A29" s="55" t="inlineStr">
        <is>
          <t>SDN2</t>
        </is>
      </c>
      <c r="B29" s="11" t="inlineStr">
        <is>
          <t>Wilson M. Quezada</t>
        </is>
      </c>
      <c r="C29" s="11" t="inlineStr">
        <is>
          <t>SDN (Valenzuela)</t>
        </is>
      </c>
      <c r="D29" s="12" t="n">
        <v>576</v>
      </c>
      <c r="E29" s="12" t="n">
        <v>62</v>
      </c>
      <c r="F29" s="12" t="n">
        <v>514</v>
      </c>
      <c r="G29" s="56" t="n">
        <v>0.108</v>
      </c>
      <c r="H29" s="12" t="n">
        <v>45186</v>
      </c>
      <c r="I29" s="12" t="n">
        <v>729</v>
      </c>
      <c r="J29" s="57" t="inlineStr">
        <is>
          <t>Bajo</t>
        </is>
      </c>
    </row>
    <row r="30">
      <c r="A30" s="55" t="inlineStr">
        <is>
          <t>SDE2</t>
        </is>
      </c>
      <c r="B30" s="11" t="inlineStr">
        <is>
          <t>Giancarlo Tavarez</t>
        </is>
      </c>
      <c r="C30" s="11" t="inlineStr">
        <is>
          <t>SDE (Pimentel)</t>
        </is>
      </c>
      <c r="D30" s="12" t="n">
        <v>590</v>
      </c>
      <c r="E30" s="12" t="n">
        <v>62</v>
      </c>
      <c r="F30" s="12" t="n">
        <v>528</v>
      </c>
      <c r="G30" s="56" t="n">
        <v>0.105</v>
      </c>
      <c r="H30" s="12" t="n">
        <v>34745</v>
      </c>
      <c r="I30" s="12" t="n">
        <v>560</v>
      </c>
      <c r="J30" s="57" t="inlineStr">
        <is>
          <t>Bajo</t>
        </is>
      </c>
    </row>
    <row r="31">
      <c r="A31" s="55" t="inlineStr">
        <is>
          <t>DN4</t>
        </is>
      </c>
      <c r="B31" s="11" t="inlineStr">
        <is>
          <t>Bernabet Reyes</t>
        </is>
      </c>
      <c r="C31" s="11" t="inlineStr">
        <is>
          <t>DN (F. MartÃ­nez)</t>
        </is>
      </c>
      <c r="D31" s="12" t="n">
        <v>560</v>
      </c>
      <c r="E31" s="12" t="n">
        <v>59</v>
      </c>
      <c r="F31" s="12" t="n">
        <v>501</v>
      </c>
      <c r="G31" s="56" t="n">
        <v>0.105</v>
      </c>
      <c r="H31" s="12" t="n">
        <v>38884</v>
      </c>
      <c r="I31" s="12" t="n">
        <v>660</v>
      </c>
      <c r="J31" s="57" t="inlineStr">
        <is>
          <t>Bajo</t>
        </is>
      </c>
    </row>
    <row r="32">
      <c r="A32" s="55" t="inlineStr">
        <is>
          <t>SDE3</t>
        </is>
      </c>
      <c r="B32" s="11" t="inlineStr">
        <is>
          <t>Heriberto NuÃ±ez</t>
        </is>
      </c>
      <c r="C32" s="11" t="inlineStr">
        <is>
          <t>SDE (Pimentel)</t>
        </is>
      </c>
      <c r="D32" s="12" t="n">
        <v>588</v>
      </c>
      <c r="E32" s="12" t="n">
        <v>61</v>
      </c>
      <c r="F32" s="12" t="n">
        <v>527</v>
      </c>
      <c r="G32" s="56" t="n">
        <v>0.104</v>
      </c>
      <c r="H32" s="12" t="n">
        <v>32564</v>
      </c>
      <c r="I32" s="12" t="n">
        <v>534</v>
      </c>
      <c r="J32" s="57" t="inlineStr">
        <is>
          <t>Bajo</t>
        </is>
      </c>
    </row>
    <row r="33">
      <c r="A33" s="55" t="inlineStr">
        <is>
          <t>SDE4</t>
        </is>
      </c>
      <c r="B33" s="11" t="inlineStr">
        <is>
          <t>Sandra Reyes Polanco</t>
        </is>
      </c>
      <c r="C33" s="11" t="inlineStr">
        <is>
          <t>SDE (Pimentel)</t>
        </is>
      </c>
      <c r="D33" s="12" t="n">
        <v>578</v>
      </c>
      <c r="E33" s="12" t="n">
        <v>57</v>
      </c>
      <c r="F33" s="12" t="n">
        <v>521</v>
      </c>
      <c r="G33" s="56" t="n">
        <v>0.099</v>
      </c>
      <c r="H33" s="12" t="n">
        <v>33964</v>
      </c>
      <c r="I33" s="12" t="n">
        <v>595</v>
      </c>
      <c r="J33" s="57" t="inlineStr">
        <is>
          <t>Bajo</t>
        </is>
      </c>
    </row>
    <row r="34">
      <c r="A34" s="55" t="inlineStr">
        <is>
          <t>SDO4</t>
        </is>
      </c>
      <c r="B34" s="11" t="inlineStr">
        <is>
          <t>Melvin MariÃ±ez</t>
        </is>
      </c>
      <c r="C34" s="11" t="inlineStr">
        <is>
          <t>SDO (F. MartÃ­nez)</t>
        </is>
      </c>
      <c r="D34" s="12" t="n">
        <v>600</v>
      </c>
      <c r="E34" s="12" t="n">
        <v>59</v>
      </c>
      <c r="F34" s="12" t="n">
        <v>541</v>
      </c>
      <c r="G34" s="56" t="n">
        <v>0.098</v>
      </c>
      <c r="H34" s="12" t="n">
        <v>39015</v>
      </c>
      <c r="I34" s="12" t="n">
        <v>661</v>
      </c>
      <c r="J34" s="57" t="inlineStr">
        <is>
          <t>Bajo</t>
        </is>
      </c>
    </row>
    <row r="35">
      <c r="A35" s="55" t="inlineStr">
        <is>
          <t>SCR1</t>
        </is>
      </c>
      <c r="B35" s="11" t="inlineStr">
        <is>
          <t>Winston Rosario</t>
        </is>
      </c>
      <c r="C35" s="11" t="inlineStr">
        <is>
          <t>Sur Corto (SC)</t>
        </is>
      </c>
      <c r="D35" s="12" t="n">
        <v>472</v>
      </c>
      <c r="E35" s="12" t="n">
        <v>44</v>
      </c>
      <c r="F35" s="12" t="n">
        <v>428</v>
      </c>
      <c r="G35" s="56" t="n">
        <v>0.09300000000000001</v>
      </c>
      <c r="H35" s="12" t="n">
        <v>27780</v>
      </c>
      <c r="I35" s="12" t="n">
        <v>631</v>
      </c>
      <c r="J35" s="57" t="inlineStr">
        <is>
          <t>Bajo</t>
        </is>
      </c>
    </row>
    <row r="36">
      <c r="A36" s="55" t="inlineStr">
        <is>
          <t>SDN4</t>
        </is>
      </c>
      <c r="B36" s="11" t="inlineStr">
        <is>
          <t>Katherine Moronta</t>
        </is>
      </c>
      <c r="C36" s="11" t="inlineStr">
        <is>
          <t>SDN (Valenzuela)</t>
        </is>
      </c>
      <c r="D36" s="12" t="n">
        <v>489</v>
      </c>
      <c r="E36" s="12" t="n">
        <v>38</v>
      </c>
      <c r="F36" s="12" t="n">
        <v>451</v>
      </c>
      <c r="G36" s="56" t="n">
        <v>0.078</v>
      </c>
      <c r="H36" s="12" t="n">
        <v>16331</v>
      </c>
      <c r="I36" s="12" t="n">
        <v>430</v>
      </c>
      <c r="J36" s="57" t="inlineStr">
        <is>
          <t>Bajo</t>
        </is>
      </c>
    </row>
    <row r="37">
      <c r="A37" s="55" t="inlineStr">
        <is>
          <t>DN7</t>
        </is>
      </c>
      <c r="B37" s="11" t="inlineStr">
        <is>
          <t>Junior M. Ramos</t>
        </is>
      </c>
      <c r="C37" s="11" t="inlineStr">
        <is>
          <t>DN (F. MartÃ­nez)</t>
        </is>
      </c>
      <c r="D37" s="12" t="n">
        <v>591</v>
      </c>
      <c r="E37" s="12" t="n">
        <v>42</v>
      </c>
      <c r="F37" s="12" t="n">
        <v>549</v>
      </c>
      <c r="G37" s="56" t="n">
        <v>0.07099999999999999</v>
      </c>
      <c r="H37" s="12" t="n">
        <v>20924</v>
      </c>
      <c r="I37" s="12" t="n">
        <v>498</v>
      </c>
      <c r="J37" s="57" t="inlineStr">
        <is>
          <t>Bajo</t>
        </is>
      </c>
    </row>
    <row r="38">
      <c r="A38" s="55" t="inlineStr">
        <is>
          <t>SDN3</t>
        </is>
      </c>
      <c r="B38" s="11" t="inlineStr">
        <is>
          <t>Antonio Delgado</t>
        </is>
      </c>
      <c r="C38" s="11" t="inlineStr">
        <is>
          <t>SDN (Valenzuela)</t>
        </is>
      </c>
      <c r="D38" s="12" t="n">
        <v>585</v>
      </c>
      <c r="E38" s="12" t="n">
        <v>38</v>
      </c>
      <c r="F38" s="12" t="n">
        <v>547</v>
      </c>
      <c r="G38" s="56" t="n">
        <v>0.065</v>
      </c>
      <c r="H38" s="12" t="n">
        <v>22896</v>
      </c>
      <c r="I38" s="12" t="n">
        <v>602</v>
      </c>
      <c r="J38" s="57" t="inlineStr">
        <is>
          <t>Bajo</t>
        </is>
      </c>
    </row>
    <row r="39">
      <c r="A39" s="55" t="inlineStr">
        <is>
          <t>SDE8</t>
        </is>
      </c>
      <c r="B39" s="11" t="inlineStr">
        <is>
          <t>Josue Fabian</t>
        </is>
      </c>
      <c r="C39" s="11" t="inlineStr">
        <is>
          <t>SDE (Pimentel)</t>
        </is>
      </c>
      <c r="D39" s="12" t="n">
        <v>575</v>
      </c>
      <c r="E39" s="12" t="n">
        <v>35</v>
      </c>
      <c r="F39" s="12" t="n">
        <v>540</v>
      </c>
      <c r="G39" s="56" t="n">
        <v>0.061</v>
      </c>
      <c r="H39" s="12" t="n">
        <v>23062</v>
      </c>
      <c r="I39" s="12" t="n">
        <v>659</v>
      </c>
      <c r="J39" s="57" t="inlineStr">
        <is>
          <t>Bajo</t>
        </is>
      </c>
    </row>
    <row r="40">
      <c r="A40" s="55" t="inlineStr">
        <is>
          <t>SDO7</t>
        </is>
      </c>
      <c r="B40" s="11" t="inlineStr">
        <is>
          <t>Carla Valdez</t>
        </is>
      </c>
      <c r="C40" s="11" t="inlineStr">
        <is>
          <t>SDO (F. MartÃ­nez)</t>
        </is>
      </c>
      <c r="D40" s="12" t="n">
        <v>617</v>
      </c>
      <c r="E40" s="12" t="n">
        <v>30</v>
      </c>
      <c r="F40" s="12" t="n">
        <v>587</v>
      </c>
      <c r="G40" s="56" t="n">
        <v>0.049</v>
      </c>
      <c r="H40" s="12" t="n">
        <v>22635</v>
      </c>
      <c r="I40" s="12" t="n">
        <v>755</v>
      </c>
      <c r="J40" s="57" t="inlineStr">
        <is>
          <t>Bajo</t>
        </is>
      </c>
    </row>
    <row r="41">
      <c r="A41" s="58" t="inlineStr">
        <is>
          <t>ASSUR1</t>
        </is>
      </c>
      <c r="B41" s="59" t="inlineStr">
        <is>
          <t>Hanel Giron</t>
        </is>
      </c>
      <c r="C41" s="59" t="inlineStr">
        <is>
          <t>Tradicional</t>
        </is>
      </c>
      <c r="D41" s="60" t="n">
        <v>118</v>
      </c>
      <c r="E41" s="60" t="n">
        <v>4</v>
      </c>
      <c r="F41" s="60" t="n">
        <v>114</v>
      </c>
      <c r="G41" s="61" t="n">
        <v>0.034</v>
      </c>
      <c r="H41" s="60" t="n">
        <v>28205</v>
      </c>
      <c r="I41" s="60" t="n">
        <v>7051</v>
      </c>
      <c r="J41" s="62" t="inlineStr">
        <is>
          <t>Especial</t>
        </is>
      </c>
    </row>
    <row r="42">
      <c r="A42" s="58" t="inlineStr">
        <is>
          <t>MSUR1</t>
        </is>
      </c>
      <c r="B42" s="59" t="inlineStr">
        <is>
          <t>Luis Ml. Feliz</t>
        </is>
      </c>
      <c r="C42" s="59" t="inlineStr">
        <is>
          <t>Tradicional</t>
        </is>
      </c>
      <c r="D42" s="60" t="n">
        <v>141</v>
      </c>
      <c r="E42" s="60" t="n">
        <v>3</v>
      </c>
      <c r="F42" s="60" t="n">
        <v>138</v>
      </c>
      <c r="G42" s="61" t="n">
        <v>0.021</v>
      </c>
      <c r="H42" s="60" t="n">
        <v>32193</v>
      </c>
      <c r="I42" s="60" t="n">
        <v>10731</v>
      </c>
      <c r="J42" s="62" t="inlineStr">
        <is>
          <t>Especial</t>
        </is>
      </c>
    </row>
    <row r="43">
      <c r="A43" s="63" t="inlineStr">
        <is>
          <t>SDE1</t>
        </is>
      </c>
      <c r="B43" s="42" t="inlineStr">
        <is>
          <t>Yeuri MontaÃ±o</t>
        </is>
      </c>
      <c r="C43" s="42" t="inlineStr">
        <is>
          <t>SDE (Pimentel)</t>
        </is>
      </c>
      <c r="D43" s="43" t="n">
        <v>582</v>
      </c>
      <c r="E43" s="43" t="n">
        <v>8</v>
      </c>
      <c r="F43" s="43" t="n">
        <v>574</v>
      </c>
      <c r="G43" s="20" t="n">
        <v>0.014</v>
      </c>
      <c r="H43" s="43" t="n">
        <v>3052</v>
      </c>
      <c r="I43" s="43" t="n">
        <v>381</v>
      </c>
      <c r="J43" s="44" t="inlineStr">
        <is>
          <t>CrÃ­tico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4" customWidth="1" min="5" max="5"/>
    <col width="35" customWidth="1" min="6" max="6"/>
  </cols>
  <sheetData>
    <row r="1" ht="30" customHeight="1">
      <c r="A1" s="1" t="inlineStr">
        <is>
          <t>DEVOLUCIONES COLOMBINA â€” ENEâ€“MAY 2025</t>
        </is>
      </c>
    </row>
    <row r="3">
      <c r="A3" s="3" t="inlineStr">
        <is>
          <t>Mes</t>
        </is>
      </c>
      <c r="B3" s="4" t="inlineStr">
        <is>
          <t>Ventas Netas (RD$)</t>
        </is>
      </c>
      <c r="C3" s="5" t="inlineStr">
        <is>
          <t>Devoluciones (RD$)</t>
        </is>
      </c>
      <c r="D3" s="7" t="inlineStr">
        <is>
          <t>Docs. DevoluciÃ³n</t>
        </is>
      </c>
      <c r="E3" s="5" t="inlineStr">
        <is>
          <t>% Sobre Ventas</t>
        </is>
      </c>
      <c r="F3" s="64" t="inlineStr">
        <is>
          <t>ObservaciÃ³n</t>
        </is>
      </c>
    </row>
    <row r="4">
      <c r="A4" s="8" t="inlineStr">
        <is>
          <t>Enero</t>
        </is>
      </c>
      <c r="B4" s="9" t="n">
        <v>8844801</v>
      </c>
      <c r="C4" s="9" t="n">
        <v>567737</v>
      </c>
      <c r="D4" s="9" t="n">
        <v>1168</v>
      </c>
      <c r="E4" s="65">
        <f>C4/B4</f>
        <v/>
      </c>
      <c r="F4" s="8" t="inlineStr">
        <is>
          <t>Mes con mayor volumen de devoluciones</t>
        </is>
      </c>
    </row>
    <row r="5">
      <c r="A5" s="11" t="inlineStr">
        <is>
          <t>Febrero</t>
        </is>
      </c>
      <c r="B5" s="12" t="n">
        <v>8360587</v>
      </c>
      <c r="C5" s="12" t="n">
        <v>473499</v>
      </c>
      <c r="D5" s="12" t="n">
        <v>1054</v>
      </c>
      <c r="E5" s="66">
        <f>C5/B5</f>
        <v/>
      </c>
      <c r="F5" s="11" t="inlineStr"/>
    </row>
    <row r="6">
      <c r="A6" s="8" t="inlineStr">
        <is>
          <t>Marzo</t>
        </is>
      </c>
      <c r="B6" s="9" t="n">
        <v>8510687</v>
      </c>
      <c r="C6" s="9" t="n">
        <v>558818</v>
      </c>
      <c r="D6" s="9" t="n">
        <v>1136</v>
      </c>
      <c r="E6" s="65">
        <f>C6/B6</f>
        <v/>
      </c>
      <c r="F6" s="8" t="inlineStr"/>
    </row>
    <row r="7">
      <c r="A7" s="11" t="inlineStr">
        <is>
          <t>Abril</t>
        </is>
      </c>
      <c r="B7" s="12" t="n">
        <v>8119320</v>
      </c>
      <c r="C7" s="12" t="n">
        <v>403244</v>
      </c>
      <c r="D7" s="12" t="n">
        <v>981</v>
      </c>
      <c r="E7" s="66">
        <f>C7/B7</f>
        <v/>
      </c>
      <c r="F7" s="11" t="inlineStr">
        <is>
          <t>Mejor mes en control de devoluciones</t>
        </is>
      </c>
    </row>
    <row r="8">
      <c r="A8" s="8" t="inlineStr">
        <is>
          <t>Mayo</t>
        </is>
      </c>
      <c r="B8" s="9" t="n">
        <v>9348489</v>
      </c>
      <c r="C8" s="9" t="n">
        <v>512741</v>
      </c>
      <c r="D8" s="9" t="n">
        <v>1085</v>
      </c>
      <c r="E8" s="65">
        <f>C8/B8</f>
        <v/>
      </c>
      <c r="F8" s="8" t="inlineStr"/>
    </row>
    <row r="9">
      <c r="A9" s="14" t="inlineStr">
        <is>
          <t>TOTAL</t>
        </is>
      </c>
      <c r="B9" s="23">
        <f>SUM(B4:B8)</f>
        <v/>
      </c>
      <c r="C9" s="23">
        <f>SUM(C4:C8)</f>
        <v/>
      </c>
      <c r="D9" s="23">
        <f>SUM(D4:D8)</f>
        <v/>
      </c>
      <c r="E9" s="24">
        <f>AVERAGE(E4:E8)</f>
        <v/>
      </c>
      <c r="F9" s="67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30" customWidth="1" min="4" max="4"/>
    <col width="10" customWidth="1" min="5" max="5"/>
    <col width="18" customWidth="1" min="6" max="6"/>
  </cols>
  <sheetData>
    <row r="1" ht="30" customHeight="1">
      <c r="A1" s="1" t="inlineStr">
        <is>
          <t>PLAN DE ACCIÃ“N FOCAL â€” COLOMBINA 2025</t>
        </is>
      </c>
    </row>
    <row r="3" ht="22" customHeight="1">
      <c r="A3" s="3" t="inlineStr">
        <is>
          <t>#</t>
        </is>
      </c>
      <c r="B3" s="4" t="inlineStr">
        <is>
          <t>Iniciativa</t>
        </is>
      </c>
      <c r="C3" s="4" t="inlineStr">
        <is>
          <t>DescripciÃ³n</t>
        </is>
      </c>
      <c r="D3" s="6" t="inlineStr">
        <is>
          <t>Impacto Estimado</t>
        </is>
      </c>
      <c r="E3" s="7" t="inlineStr">
        <is>
          <t>Prioridad</t>
        </is>
      </c>
      <c r="F3" s="64" t="inlineStr">
        <is>
          <t>Responsable</t>
        </is>
      </c>
    </row>
    <row r="4" ht="30" customHeight="1">
      <c r="A4" s="68" t="inlineStr">
        <is>
          <t>01</t>
        </is>
      </c>
      <c r="B4" s="69" t="inlineStr">
        <is>
          <t>Elevar efectividad SDO/DN/SDE</t>
        </is>
      </c>
      <c r="C4" s="70" t="inlineStr">
        <is>
          <t>~8,800 clientes con 8â€“12% efectividad. Replicar mÃ©todo Jhostin Olivo (BAR2, 81%). Meta: llevar a 20%.</t>
        </is>
      </c>
      <c r="D4" s="70" t="inlineStr">
        <is>
          <t>~+RD$1.5M/mes si llegan a 20%</t>
        </is>
      </c>
      <c r="E4" s="71" t="inlineStr">
        <is>
          <t>Alta</t>
        </is>
      </c>
      <c r="F4" s="70" t="inlineStr"/>
    </row>
    <row r="5" ht="30" customHeight="1">
      <c r="A5" s="72" t="inlineStr">
        <is>
          <t>02</t>
        </is>
      </c>
      <c r="B5" s="73" t="inlineStr">
        <is>
          <t>Activar rutas con 0% penetraciÃ³n</t>
        </is>
      </c>
      <c r="C5" s="74" t="inlineStr">
        <is>
          <t>11 rutas (~3,600 clientes) sin venta Colombina. DiagnÃ³stico: capacitaciÃ³n, portafolio o nuevas rutas.</t>
        </is>
      </c>
      <c r="D5" s="74" t="inlineStr">
        <is>
          <t>~+RD$3.5M/mes al promedio del 19%</t>
        </is>
      </c>
      <c r="E5" s="75" t="inlineStr">
        <is>
          <t>CrÃ­tica</t>
        </is>
      </c>
      <c r="F5" s="74" t="inlineStr"/>
    </row>
    <row r="6" ht="30" customHeight="1">
      <c r="A6" s="68" t="inlineStr">
        <is>
          <t>03</t>
        </is>
      </c>
      <c r="B6" s="69" t="inlineStr">
        <is>
          <t>Recuperar drop size B Mediano/C PequeÃ±o</t>
        </is>
      </c>
      <c r="C6" s="70" t="inlineStr">
        <is>
          <t>BajÃ³ RD$100+ en ambos segmentos (5 meses). Combos y venta cruzada entre categorÃ­as Colombina.</t>
        </is>
      </c>
      <c r="D6" s="70" t="inlineStr">
        <is>
          <t>~+RD$800K/mes (RD$100/factura extra)</t>
        </is>
      </c>
      <c r="E6" s="71" t="inlineStr">
        <is>
          <t>Alta</t>
        </is>
      </c>
      <c r="F6" s="70" t="inlineStr"/>
    </row>
    <row r="7" ht="30" customHeight="1">
      <c r="A7" s="68" t="inlineStr">
        <is>
          <t>04</t>
        </is>
      </c>
      <c r="B7" s="69" t="inlineStr">
        <is>
          <t>Capitalizar ChocolaterÃ­a creciente</t>
        </is>
      </c>
      <c r="C7" s="70" t="inlineStr">
        <is>
          <t>CuadruplicÃ³ en 5 meses (RD$119Kâ†’RD$463K). Solicitar POP, exhibidores y presupuesto al suplidor.</t>
        </is>
      </c>
      <c r="D7" s="70" t="inlineStr">
        <is>
          <t>Sostenibilidad de la tendencia</t>
        </is>
      </c>
      <c r="E7" s="71" t="inlineStr">
        <is>
          <t>Alta</t>
        </is>
      </c>
      <c r="F7" s="70" t="inlineStr"/>
    </row>
    <row r="8" ht="30" customHeight="1">
      <c r="A8" s="76" t="inlineStr">
        <is>
          <t>05</t>
        </is>
      </c>
      <c r="B8" s="77" t="inlineStr">
        <is>
          <t>Plan Paletas + Bolones Junâ€“Ago</t>
        </is>
      </c>
      <c r="C8" s="78" t="inlineStr">
        <is>
          <t>Vacaciones escolares bajan ventas. Paletas favorecidas por calor. Bolones en riesgo si era escolar.</t>
        </is>
      </c>
      <c r="D8" s="78" t="inlineStr">
        <is>
          <t>Proteger RD$4.9M acum. de Paletas</t>
        </is>
      </c>
      <c r="E8" s="79" t="inlineStr">
        <is>
          <t>Media</t>
        </is>
      </c>
      <c r="F8" s="78" t="inlineStr"/>
    </row>
    <row r="9" ht="30" customHeight="1">
      <c r="A9" s="76" t="inlineStr">
        <is>
          <t>06</t>
        </is>
      </c>
      <c r="B9" s="77" t="inlineStr">
        <is>
          <t>Revisar portafolio Gomas/Blandos</t>
        </is>
      </c>
      <c r="C9" s="78" t="inlineStr">
        <is>
          <t>Gomas: RD$371Kâ†’RD$315K (-15%). Blandos marginal. Verificar precio, surtido y competencia activa.</t>
        </is>
      </c>
      <c r="D9" s="78" t="inlineStr">
        <is>
          <t>Detener caÃ­da de RD$56K/mes</t>
        </is>
      </c>
      <c r="E9" s="79" t="inlineStr">
        <is>
          <t>Media</t>
        </is>
      </c>
      <c r="F9" s="78" t="inlineStr"/>
    </row>
    <row r="10" ht="30" customHeight="1">
      <c r="A10" s="68" t="inlineStr">
        <is>
          <t>07</t>
        </is>
      </c>
      <c r="B10" s="69" t="inlineStr">
        <is>
          <t>Monitoreo semanal Junâ€“Ago</t>
        </is>
      </c>
      <c r="C10" s="70" t="inlineStr">
        <is>
          <t>Doble impacto: eliminaciÃ³n rutas Centro SD + vacaciones. Alertas tempranas por zona y categorÃ­a.</t>
        </is>
      </c>
      <c r="D10" s="70" t="inlineStr">
        <is>
          <t>Evitar pÃ©rdidas no detectadas a tiempo</t>
        </is>
      </c>
      <c r="E10" s="71" t="inlineStr">
        <is>
          <t>Alta</t>
        </is>
      </c>
      <c r="F10" s="70" t="inlineStr"/>
    </row>
    <row r="11" ht="30" customHeight="1">
      <c r="A11" s="72" t="inlineStr">
        <is>
          <t>08</t>
        </is>
      </c>
      <c r="B11" s="73" t="inlineStr">
        <is>
          <t>ReuniÃ³n plan con Colombina</t>
        </is>
      </c>
      <c r="C11" s="74" t="inlineStr">
        <is>
          <t>Presentar hallazgos, acordar metas de efectividad por zona y plan de soporte (POP, exhibidores, precio).</t>
        </is>
      </c>
      <c r="D11" s="74" t="inlineStr">
        <is>
          <t>AlineaciÃ³n estratÃ©gica con suplidor</t>
        </is>
      </c>
      <c r="E11" s="75" t="inlineStr">
        <is>
          <t>CrÃ­tica</t>
        </is>
      </c>
      <c r="F11" s="7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2026-06-18T17:44:49Z</dcterms:created>
  <dcterms:modified xsi:type="dcterms:W3CDTF">2026-06-18T17:44:49Z</dcterms:modified>
</cp:coreProperties>
</file>