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Claude/Agroveterinaria/"/>
    </mc:Choice>
  </mc:AlternateContent>
  <xr:revisionPtr revIDLastSave="1" documentId="8_{4F8CD86C-0785-4C6C-9C77-2C85464F2FF0}" xr6:coauthVersionLast="47" xr6:coauthVersionMax="47" xr10:uidLastSave="{E2B382A6-C042-4235-9FF6-BD538793F77E}"/>
  <bookViews>
    <workbookView xWindow="-108" yWindow="-108" windowWidth="23256" windowHeight="12456" tabRatio="648" activeTab="3" xr2:uid="{00000000-000D-0000-FFFF-FFFF00000000}"/>
  </bookViews>
  <sheets>
    <sheet name="Portada" sheetId="1" r:id="rId1"/>
    <sheet name="Censo" sheetId="2" r:id="rId2"/>
    <sheet name="Resumen" sheetId="3" r:id="rId3"/>
    <sheet name="Seed Inicial" sheetId="4" r:id="rId4"/>
    <sheet name="Catalogos" sheetId="5" r:id="rId5"/>
    <sheet name="Portafolio CMI" sheetId="6" r:id="rId6"/>
    <sheet name="Clasificac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3" l="1"/>
  <c r="B43" i="3"/>
  <c r="B42" i="3"/>
  <c r="B41" i="3"/>
  <c r="B40" i="3"/>
  <c r="B39" i="3"/>
  <c r="B38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34" i="3" s="1"/>
  <c r="B17" i="3"/>
  <c r="B16" i="3"/>
  <c r="B15" i="3"/>
  <c r="B14" i="3"/>
  <c r="B13" i="3"/>
  <c r="B9" i="3"/>
  <c r="B8" i="3"/>
  <c r="B7" i="3"/>
  <c r="B6" i="3"/>
  <c r="B5" i="3"/>
  <c r="B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100-000001000000}">
      <text>
        <r>
          <rPr>
            <sz val="10"/>
            <rFont val="Arial"/>
            <family val="2"/>
          </rPr>
          <t>Validar SIEMPRE en DGII antes de cargar a sistema.
Formato: 9 dígitos (RNC) u 11 (cédula).</t>
        </r>
      </text>
    </comment>
    <comment ref="N4" authorId="0" shapeId="0" xr:uid="{00000000-0006-0000-0100-000002000000}">
      <text>
        <r>
          <rPr>
            <sz val="10"/>
            <rFont val="Arial"/>
            <family val="2"/>
          </rPr>
          <t>Latitud GPS. Tomar EN SITIO con Google Maps.
Rango RD: 17.5 - 20.0</t>
        </r>
      </text>
    </comment>
    <comment ref="O4" authorId="0" shapeId="0" xr:uid="{00000000-0006-0000-0100-000003000000}">
      <text>
        <r>
          <rPr>
            <sz val="10"/>
            <rFont val="Arial"/>
            <family val="2"/>
          </rPr>
          <t>Longitud GPS. Tomar EN SITIO con Google Maps.
Rango RD: -72.1 a -68.3</t>
        </r>
      </text>
    </comment>
    <comment ref="P4" authorId="0" shapeId="0" xr:uid="{00000000-0006-0000-0100-000004000000}">
      <text>
        <r>
          <rPr>
            <sz val="10"/>
            <rFont val="Arial"/>
            <family val="2"/>
          </rPr>
          <t>Subir foto a OneDrive y pegar el LINK aquí.
No guardar la imagen embebida.</t>
        </r>
      </text>
    </comment>
    <comment ref="Q4" authorId="0" shapeId="0" xr:uid="{00000000-0006-0000-0100-000005000000}">
      <text>
        <r>
          <rPr>
            <sz val="10"/>
            <rFont val="Arial"/>
            <family val="2"/>
          </rPr>
          <t>Ver criterios en hoja 'Clasificacion'.
A=8-9pts, B=6-7pts, C=4-5pts, D=3pts</t>
        </r>
      </text>
    </comment>
  </commentList>
</comments>
</file>

<file path=xl/sharedStrings.xml><?xml version="1.0" encoding="utf-8"?>
<sst xmlns="http://schemas.openxmlformats.org/spreadsheetml/2006/main" count="570" uniqueCount="395">
  <si>
    <t>CENSO DE CLIENTES — AGROVETERINARIAS</t>
  </si>
  <si>
    <t>AM Comercial · Proyecto Distribución Rufo / Alimiau (CMI Alimentos)</t>
  </si>
  <si>
    <t>Región: Distrito Nacional · Gran Santo Domingo · Monte Plata · Toda la Zona Sur (San Cristóbal a Pedernales)</t>
  </si>
  <si>
    <t>OBJETIVO</t>
  </si>
  <si>
    <t>Censar todos los puntos de venta del canal Agroveterinaria, Pet Shop, Veterinaria y Colmado Grande con sección mascota en las 14 provincias de operatividad de AM Comercial, para mapear cobertura, asignar vendedores y definir estrategia de penetración para Rufo y Alimiau (CMI).</t>
  </si>
  <si>
    <t>ESTRUCTURA DEL ARCHIVO</t>
  </si>
  <si>
    <t>• CENSO: Hoja maestra. Aquí trabajan los vendedores. Filtros por Provincia, Municipio, Vendedor y Clasificación.
• Catálogos: Listas maestras (Provincias, Municipios, Vendedores, Tipos de Negocio) que alimentan los desplegables.
• Portafolio CMI: Marcas y SKUs Rufo / Alimiau disponibles en RD para referencia del vendedor.
• Clasificación A-B-C-D: Criterios objetivos para clasificar cada punto.
• Resumen: KPIs automáticos (clientes por provincia, por clasificación, % cobertura).
• Seed Inicial: Lista preliminar de cadenas/puntos públicamente conocidos (REQUIERE VALIDACIÓN EN CAMPO).</t>
  </si>
  <si>
    <t>REGLAS DE LLENADO (CRÍTICO)</t>
  </si>
  <si>
    <t>1. RNC/Cédula: validar SIEMPRE en DGII (https://dgii.gov.do) antes de cargar a sistema. NO inventar.
2. Latitud/Longitud: tomar EN SITIO con Google Maps (mantener pulsado el punto exacto del local).
3. Imagen del cliente: foto de la fachada con el rótulo visible. Subir a OneDrive y pegar el LINK en la celda.
4. Clasificación A/B/C/D: usar los criterios de la hoja 'Clasificación' — NO improvisar.
5. Teléfono: formato 809-000-0000 (dejar fijo, no celular del dueño salvo que sea el del negocio).
6. Estado del Censo: actualizar en cada visita (Pendiente / Visitado / Activo / No interesa / Cerrado).</t>
  </si>
  <si>
    <t>PORTAFOLIO A OFRECER</t>
  </si>
  <si>
    <t>RUFO (perros) — Cachorro y Adulto, presentaciones desde 1 lb hasta 44 lb. Línea premium: Rufo PRO (Protein Plus+).
ALIMIAU (gatos) — alimento balanceado para felinos, portafolio CMI Alimentos.
Fabricante: CMI / Molinos Modernos en RD. Canal objetivo: agroveterinarias, pet shops, veterinarias y colmados grandes.</t>
  </si>
  <si>
    <t>Preparado por: Rudy — Gerente de Ventas, AM Comercial</t>
  </si>
  <si>
    <t>Versión 1.0 — Plantilla base para arranque del censo</t>
  </si>
  <si>
    <t>CENSO DE CLIENTES — AGROVETERINARIAS / PET SHOPS / VETERINARIAS / COLMADOS</t>
  </si>
  <si>
    <t>Hoja de trabajo de campo · Filtra por Provincia, Municipio, Vendedor o Clasificación</t>
  </si>
  <si>
    <t>ID</t>
  </si>
  <si>
    <t>Nombre del Negocio (Razón Social)</t>
  </si>
  <si>
    <t>RNC / Cédula</t>
  </si>
  <si>
    <t>Tipo de Negocio</t>
  </si>
  <si>
    <t>Dirección (Calle y Nº)</t>
  </si>
  <si>
    <t>Barrio</t>
  </si>
  <si>
    <t>Sector</t>
  </si>
  <si>
    <t>Municipio</t>
  </si>
  <si>
    <t>Provincia</t>
  </si>
  <si>
    <t>Zona Comercial</t>
  </si>
  <si>
    <t>Teléfono del Negocio</t>
  </si>
  <si>
    <t>Nombre del Dueño</t>
  </si>
  <si>
    <t>Teléfono del Dueño</t>
  </si>
  <si>
    <t>Latitud</t>
  </si>
  <si>
    <t>Longitud</t>
  </si>
  <si>
    <t>Imagen (Link OneDrive)</t>
  </si>
  <si>
    <t>Clasificación</t>
  </si>
  <si>
    <t>Vende Rufo hoy</t>
  </si>
  <si>
    <t>Marcas Competencia que vende</t>
  </si>
  <si>
    <t>Vendedor Asignado</t>
  </si>
  <si>
    <t>Estado del Censo</t>
  </si>
  <si>
    <t>Fecha Última Visita</t>
  </si>
  <si>
    <t>Observaciones</t>
  </si>
  <si>
    <t>RESUMEN EJECUTIVO — CENSO AGROVETERINARIAS</t>
  </si>
  <si>
    <t>KPIs GENERALES</t>
  </si>
  <si>
    <t>Total clientes censados</t>
  </si>
  <si>
    <t>Total con RNC validado</t>
  </si>
  <si>
    <t>Total con GPS capturado</t>
  </si>
  <si>
    <t>Total con foto cargada</t>
  </si>
  <si>
    <t>% cobertura GPS</t>
  </si>
  <si>
    <t>% cobertura foto</t>
  </si>
  <si>
    <t>CLIENTES POR CLASIFICACIÓN</t>
  </si>
  <si>
    <t>A — Cliente clave</t>
  </si>
  <si>
    <t>B — Cliente importante</t>
  </si>
  <si>
    <t>C — Cliente regular</t>
  </si>
  <si>
    <t>D — Cliente pequeño</t>
  </si>
  <si>
    <t>Sin clasificar</t>
  </si>
  <si>
    <t>CLIENTES POR PROVINCIA</t>
  </si>
  <si>
    <t>Distrito Nacional</t>
  </si>
  <si>
    <t>Santo Domingo</t>
  </si>
  <si>
    <t>San Cristóbal</t>
  </si>
  <si>
    <t>Monte Plata</t>
  </si>
  <si>
    <t>Peravia</t>
  </si>
  <si>
    <t>San José de Ocoa</t>
  </si>
  <si>
    <t>Azua</t>
  </si>
  <si>
    <t>Barahona</t>
  </si>
  <si>
    <t>Pedernales</t>
  </si>
  <si>
    <t>Independencia</t>
  </si>
  <si>
    <t>Bahoruco</t>
  </si>
  <si>
    <t>San Juan</t>
  </si>
  <si>
    <t>Elías Piña</t>
  </si>
  <si>
    <t>TOTAL</t>
  </si>
  <si>
    <t>ESTADO DEL CENSO</t>
  </si>
  <si>
    <t>Pendiente</t>
  </si>
  <si>
    <t>Visitado</t>
  </si>
  <si>
    <t>Activo</t>
  </si>
  <si>
    <t>Inactivo</t>
  </si>
  <si>
    <t>No interesa</t>
  </si>
  <si>
    <t>Cerrado</t>
  </si>
  <si>
    <t>Re-visitar</t>
  </si>
  <si>
    <t>SEED INICIAL — PUNTOS DE REFERENCIA PARA ARRANQUE DEL CENSO</t>
  </si>
  <si>
    <t>⚠️ IMPORTANTE: Esta lista es de cadenas/establecimientos públicamente conocidos. TODA fila debe ser VALIDADA EN CAMPO por el vendedor (dirección exacta, RNC, teléfono, dueño, GPS). NO cargar a sistema sin validación.</t>
  </si>
  <si>
    <t>Cadena / Punto</t>
  </si>
  <si>
    <t>Tipo</t>
  </si>
  <si>
    <t>Zona / Sector aprox.</t>
  </si>
  <si>
    <t>Notas</t>
  </si>
  <si>
    <t>Acción del vendedor</t>
  </si>
  <si>
    <t>Prioridad</t>
  </si>
  <si>
    <t>Validado en campo (S/N)</t>
  </si>
  <si>
    <t>Mayorista</t>
  </si>
  <si>
    <t>Alta</t>
  </si>
  <si>
    <t>Supermercado</t>
  </si>
  <si>
    <t>Pet shops y veterinarias en Av. Núñez de Cáceres</t>
  </si>
  <si>
    <t>Pet Shop / Veterinaria</t>
  </si>
  <si>
    <t>Bella Vista / Los Prados</t>
  </si>
  <si>
    <t>Zona alta densidad de pet shops</t>
  </si>
  <si>
    <t>Recorrido a pie + GPS</t>
  </si>
  <si>
    <t>Pet shops y veterinarias en Av. Independencia</t>
  </si>
  <si>
    <t>Gazcue / Centro de los Héroes</t>
  </si>
  <si>
    <t>Zona tradicional veterinaria</t>
  </si>
  <si>
    <t>Pet shops Av. Sarasota / Av. Anacaona</t>
  </si>
  <si>
    <t>Bella Vista / Mirador Sur</t>
  </si>
  <si>
    <t>Zona alto poder adquisitivo</t>
  </si>
  <si>
    <t>Recorrido</t>
  </si>
  <si>
    <t>Veterinarias y agroveterinarias Villa Mella</t>
  </si>
  <si>
    <t>Agroveterinaria / Veterinaria</t>
  </si>
  <si>
    <t>Santo Domingo Norte</t>
  </si>
  <si>
    <t>Zona popular alto volumen mascota</t>
  </si>
  <si>
    <t>Censo barrio por barrio</t>
  </si>
  <si>
    <t>Agroveterinarias Los Alcarrizos</t>
  </si>
  <si>
    <t>Agroveterinaria</t>
  </si>
  <si>
    <t>Los Alcarrizos centro</t>
  </si>
  <si>
    <t>Zona densamente poblada</t>
  </si>
  <si>
    <t>Censo en av. principal</t>
  </si>
  <si>
    <t>Agroveterinarias Mercado Nuevo / Villa Consuelo</t>
  </si>
  <si>
    <t>Villa Consuelo</t>
  </si>
  <si>
    <t>Concentración tradicional de agroveterinarias</t>
  </si>
  <si>
    <t>Censo a pie</t>
  </si>
  <si>
    <t>Agroveterinarias zona Mercado Modelo</t>
  </si>
  <si>
    <t>Centro Histórico</t>
  </si>
  <si>
    <t>Zona comercial tradicional</t>
  </si>
  <si>
    <t>Media</t>
  </si>
  <si>
    <t>Agroveterinarias en San Cristóbal centro</t>
  </si>
  <si>
    <t>Calle General Cabral / centro ciudad</t>
  </si>
  <si>
    <t>Zona urbana principal de la provincia</t>
  </si>
  <si>
    <t>Censo en eje principal</t>
  </si>
  <si>
    <t>Agroveterinarias Bajos de Haina</t>
  </si>
  <si>
    <t>Centro Haina</t>
  </si>
  <si>
    <t>Zona industrial + popular</t>
  </si>
  <si>
    <t>Censo</t>
  </si>
  <si>
    <t>Agroveterinarias Villa Altagracia</t>
  </si>
  <si>
    <t>Centro Villa Altagracia</t>
  </si>
  <si>
    <t>Cabecera municipal</t>
  </si>
  <si>
    <t>Agroveterinarias Baní centro</t>
  </si>
  <si>
    <t>Calle Mella / Sánchez</t>
  </si>
  <si>
    <t>Cabecera provincial principal del Sur</t>
  </si>
  <si>
    <t>Censo en eje comercial</t>
  </si>
  <si>
    <t>Agroveterinarias Azua centro</t>
  </si>
  <si>
    <t>Centro Azua</t>
  </si>
  <si>
    <t>Cabecera provincial, paso obligado al Sur profundo</t>
  </si>
  <si>
    <t>Censo eje principal</t>
  </si>
  <si>
    <t>Agroveterinarias Barahona centro</t>
  </si>
  <si>
    <t>Calle Jaime Mota / centro</t>
  </si>
  <si>
    <t>Polo comercial del Sur</t>
  </si>
  <si>
    <t>Censo + identificar mayoristas locales</t>
  </si>
  <si>
    <t>Agroveterinarias San Juan de la Maguana</t>
  </si>
  <si>
    <t>Centro San Juan</t>
  </si>
  <si>
    <t>Zona ganadera fuerte, alto consumo agroveterinario</t>
  </si>
  <si>
    <t>Censo + mayoristas</t>
  </si>
  <si>
    <t>Agroveterinarias Las Matas de Farfán</t>
  </si>
  <si>
    <t>Centro Las Matas</t>
  </si>
  <si>
    <t>Zona rural-comercial</t>
  </si>
  <si>
    <t>Agroveterinarias Comendador (Elías Piña)</t>
  </si>
  <si>
    <t>Centro Comendador</t>
  </si>
  <si>
    <t>Frontera, comercio binacional</t>
  </si>
  <si>
    <t>Censo + verificar competencia haitiana</t>
  </si>
  <si>
    <t>Agroveterinarias Neiba centro</t>
  </si>
  <si>
    <t>Centro Neiba</t>
  </si>
  <si>
    <t>Cabecera provincial</t>
  </si>
  <si>
    <t>Agroveterinarias Jimaní</t>
  </si>
  <si>
    <t>Centro Jimaní</t>
  </si>
  <si>
    <t>Frontera, mercado binacional</t>
  </si>
  <si>
    <t>Agroveterinarias Pedernales</t>
  </si>
  <si>
    <t>Centro Pedernales</t>
  </si>
  <si>
    <t>Zona aislada, baja densidad pero sin competencia fuerte</t>
  </si>
  <si>
    <t>Censo + evaluar logística entrega</t>
  </si>
  <si>
    <t>Agroveterinarias Monte Plata centro + Bayaguana + Yamasá</t>
  </si>
  <si>
    <t>Cabeceras municipales</t>
  </si>
  <si>
    <t>Zona ganadera</t>
  </si>
  <si>
    <t>Censo en cada cabecera</t>
  </si>
  <si>
    <t>Agroveterinarias San José de Ocoa</t>
  </si>
  <si>
    <t>Centro Ocoa</t>
  </si>
  <si>
    <t>Zona agrícola-ganadera</t>
  </si>
  <si>
    <t>PROVINCIA</t>
  </si>
  <si>
    <t>MUNICIPIO</t>
  </si>
  <si>
    <t>TIPO DE NEGOCIO</t>
  </si>
  <si>
    <t>CLASIFICACIÓN</t>
  </si>
  <si>
    <t>ESTADO CENSO</t>
  </si>
  <si>
    <t>ZONA COMERCIAL</t>
  </si>
  <si>
    <t>VENDE RUFO HOY</t>
  </si>
  <si>
    <t>LISTA_PROVINCIAS</t>
  </si>
  <si>
    <t>VENDEDORES (reemplazar con nombres reales)</t>
  </si>
  <si>
    <t>Santo Domingo de Guzmán</t>
  </si>
  <si>
    <t>A</t>
  </si>
  <si>
    <t>Sí</t>
  </si>
  <si>
    <t>GSD-Vendedor 01</t>
  </si>
  <si>
    <t>Santo Domingo Este</t>
  </si>
  <si>
    <t>Pet Shop</t>
  </si>
  <si>
    <t>B</t>
  </si>
  <si>
    <t>Gran Santo Domingo</t>
  </si>
  <si>
    <t>No</t>
  </si>
  <si>
    <t>GSD-Vendedor 02</t>
  </si>
  <si>
    <t>Veterinaria</t>
  </si>
  <si>
    <t>C</t>
  </si>
  <si>
    <t>Por confirmar</t>
  </si>
  <si>
    <t>GSD-Vendedor 03</t>
  </si>
  <si>
    <t>Santo Domingo Oeste</t>
  </si>
  <si>
    <t>Colmado Grande c/ Sección Mascota</t>
  </si>
  <si>
    <t>D</t>
  </si>
  <si>
    <t>Sur Cercano</t>
  </si>
  <si>
    <t>GSD-Vendedor 04</t>
  </si>
  <si>
    <t>Boca Chica</t>
  </si>
  <si>
    <t>Sur Profundo</t>
  </si>
  <si>
    <t>GSD-Vendedor 05</t>
  </si>
  <si>
    <t>Los Alcarrizos</t>
  </si>
  <si>
    <t>GSD-Vendedor 06</t>
  </si>
  <si>
    <t>Pedro Brand</t>
  </si>
  <si>
    <t>Otro</t>
  </si>
  <si>
    <t>GSD-Vendedor 07</t>
  </si>
  <si>
    <t>San Antonio de Guerra</t>
  </si>
  <si>
    <t>GSD-Vendedor 08</t>
  </si>
  <si>
    <t>GSD-Vendedor 09</t>
  </si>
  <si>
    <t>Bajos de Haina</t>
  </si>
  <si>
    <t>GSD-Vendedor 10</t>
  </si>
  <si>
    <t>Cambita Garabitos</t>
  </si>
  <si>
    <t>GSD-Vendedor 11</t>
  </si>
  <si>
    <t>Los Cacaos</t>
  </si>
  <si>
    <t>GSD-Vendedor 12</t>
  </si>
  <si>
    <t>Sabana Grande de Palenque</t>
  </si>
  <si>
    <t>GSD-Vendedor 13</t>
  </si>
  <si>
    <t>San Gregorio de Nigua</t>
  </si>
  <si>
    <t>GSD-Vendedor 14</t>
  </si>
  <si>
    <t>Villa Altagracia</t>
  </si>
  <si>
    <t>GSD-Vendedor 15</t>
  </si>
  <si>
    <t>Yaguate</t>
  </si>
  <si>
    <t>GSD-Vendedor 16</t>
  </si>
  <si>
    <t>GSD-Vendedor 17</t>
  </si>
  <si>
    <t>Bayaguana</t>
  </si>
  <si>
    <t>GSD-Vendedor 18</t>
  </si>
  <si>
    <t>Sabana Grande de Boyá</t>
  </si>
  <si>
    <t>GSD-Vendedor 19</t>
  </si>
  <si>
    <t>Yamasá</t>
  </si>
  <si>
    <t>GSD-Vendedor 20</t>
  </si>
  <si>
    <t>Peralvillo</t>
  </si>
  <si>
    <t>GSD-Vendedor 21</t>
  </si>
  <si>
    <t>Baní</t>
  </si>
  <si>
    <t>GSD-Vendedor 22</t>
  </si>
  <si>
    <t>Nizao</t>
  </si>
  <si>
    <t>GSD-Vendedor 23</t>
  </si>
  <si>
    <t>GSD-Vendedor 24</t>
  </si>
  <si>
    <t>Rancho Arriba</t>
  </si>
  <si>
    <t>GSD-Vendedor 25</t>
  </si>
  <si>
    <t>Sabana Larga</t>
  </si>
  <si>
    <t>GSD-Vendedor 26</t>
  </si>
  <si>
    <t>Azua de Compostela</t>
  </si>
  <si>
    <t>GSD-Vendedor 27</t>
  </si>
  <si>
    <t>Estebanía</t>
  </si>
  <si>
    <t>GSD-Vendedor 28</t>
  </si>
  <si>
    <t>Guayabal</t>
  </si>
  <si>
    <t>GSD-Vendedor 29</t>
  </si>
  <si>
    <t>Las Charcas</t>
  </si>
  <si>
    <t>GSD-Vendedor 30</t>
  </si>
  <si>
    <t>Las Yayas de Viajama</t>
  </si>
  <si>
    <t>GSD-Vendedor 31</t>
  </si>
  <si>
    <t>Padre Las Casas</t>
  </si>
  <si>
    <t>GSD-Vendedor 32</t>
  </si>
  <si>
    <t>Peralta</t>
  </si>
  <si>
    <t>GSD-Vendedor 33</t>
  </si>
  <si>
    <t>Pueblo Viejo</t>
  </si>
  <si>
    <t>SUR-Vendedor 01</t>
  </si>
  <si>
    <t>Sabana Yegua</t>
  </si>
  <si>
    <t>SUR-Vendedor 02</t>
  </si>
  <si>
    <t>Tábara Arriba</t>
  </si>
  <si>
    <t>SUR-Vendedor 03</t>
  </si>
  <si>
    <t>Santa Cruz de Barahona</t>
  </si>
  <si>
    <t>SUR-Vendedor 04</t>
  </si>
  <si>
    <t>Cabral</t>
  </si>
  <si>
    <t>SUR-Vendedor 05</t>
  </si>
  <si>
    <t>El Peñón</t>
  </si>
  <si>
    <t>SUR-Vendedor 06</t>
  </si>
  <si>
    <t>Enriquillo</t>
  </si>
  <si>
    <t>SUR-Vendedor 07</t>
  </si>
  <si>
    <t>Fundación</t>
  </si>
  <si>
    <t>SUR-Vendedor 08</t>
  </si>
  <si>
    <t>Jaquimeyes</t>
  </si>
  <si>
    <t>SUR-Vendedor 09</t>
  </si>
  <si>
    <t>La Ciénaga</t>
  </si>
  <si>
    <t>SUR-Vendedor 10</t>
  </si>
  <si>
    <t>Las Salinas</t>
  </si>
  <si>
    <t>SUR-Vendedor 11</t>
  </si>
  <si>
    <t>Paraíso</t>
  </si>
  <si>
    <t>SUR-Vendedor 12</t>
  </si>
  <si>
    <t>Polo</t>
  </si>
  <si>
    <t>SUR-Vendedor 13</t>
  </si>
  <si>
    <t>Vicente Noble</t>
  </si>
  <si>
    <t>MAY-SUR Vendedor 01</t>
  </si>
  <si>
    <t>MAY-SUR Vendedor 02</t>
  </si>
  <si>
    <t>NOTA: Esta hoja alimenta los desplegables de la hoja CENSO. Si agregas más opciones, expande el rango en el Data Validation.</t>
  </si>
  <si>
    <t>Oviedo</t>
  </si>
  <si>
    <t>MAY-GSD Vendedor 01</t>
  </si>
  <si>
    <t>Jimaní</t>
  </si>
  <si>
    <t>Cristóbal</t>
  </si>
  <si>
    <t>Duvergé</t>
  </si>
  <si>
    <t>La Descubierta</t>
  </si>
  <si>
    <t>Mella</t>
  </si>
  <si>
    <t>Postrer Río</t>
  </si>
  <si>
    <t>Neiba</t>
  </si>
  <si>
    <t>Galván</t>
  </si>
  <si>
    <t>Los Ríos</t>
  </si>
  <si>
    <t>Tamayo</t>
  </si>
  <si>
    <t>Villa Jaragua</t>
  </si>
  <si>
    <t>San Juan de la Maguana</t>
  </si>
  <si>
    <t>Bohechío</t>
  </si>
  <si>
    <t>El Cercado</t>
  </si>
  <si>
    <t>Juan de Herrera</t>
  </si>
  <si>
    <t>Las Matas de Farfán</t>
  </si>
  <si>
    <t>Vallejuelo</t>
  </si>
  <si>
    <t>Comendador</t>
  </si>
  <si>
    <t>Bánica</t>
  </si>
  <si>
    <t>El Llano</t>
  </si>
  <si>
    <t>Hondo Valle</t>
  </si>
  <si>
    <t>Juan Santiago</t>
  </si>
  <si>
    <t>Pedro Santana</t>
  </si>
  <si>
    <t>PORTAFOLIO CMI ALIMENTOS — MASCOTAS (REPÚBLICA DOMINICANA)</t>
  </si>
  <si>
    <t>Marca</t>
  </si>
  <si>
    <t>Categoría</t>
  </si>
  <si>
    <t>Producto / Línea</t>
  </si>
  <si>
    <t>Presentaciones</t>
  </si>
  <si>
    <t>Segmento</t>
  </si>
  <si>
    <t>Notas comerciales</t>
  </si>
  <si>
    <t>Rufo</t>
  </si>
  <si>
    <t>Perros</t>
  </si>
  <si>
    <t>Rufo Cachorro</t>
  </si>
  <si>
    <t>420 g, 2.2 lb, 4.4 lb, 8.8 lb, 44 lb</t>
  </si>
  <si>
    <t>Mainstream / Masivo</t>
  </si>
  <si>
    <t>Para perros 0-12 meses. Disponible hasta colmados.</t>
  </si>
  <si>
    <t>Rufo Adulto</t>
  </si>
  <si>
    <t>1 lb, 2.2 lb, 4.4 lb, 8.8 lb, 44 lb</t>
  </si>
  <si>
    <t>Para perros desde 1 año. Producto base de la marca.</t>
  </si>
  <si>
    <t>Rufo PRO</t>
  </si>
  <si>
    <t>Rufo PRO (Protein Plus+)</t>
  </si>
  <si>
    <t>Saco de presentación premium</t>
  </si>
  <si>
    <t>Premium / Superior</t>
  </si>
  <si>
    <t>Fórmula con probióticos, vegetales, yuca. Protege órganos vitales.</t>
  </si>
  <si>
    <t>Alimiau</t>
  </si>
  <si>
    <t>Gatos</t>
  </si>
  <si>
    <t>Alimiau (línea base)</t>
  </si>
  <si>
    <t>Por confirmar con CMI</t>
  </si>
  <si>
    <t>Mainstream</t>
  </si>
  <si>
    <t>Alimento balanceado para gatos. Confirmar SKUs vigentes en RD con Molinos Modernos.</t>
  </si>
  <si>
    <t>FABRICANTE Y CONTACTO</t>
  </si>
  <si>
    <t>Empresa local:</t>
  </si>
  <si>
    <t>Molinos Modernos Dominicana (CMI Alimentos / Corporación Multi Inversiones)</t>
  </si>
  <si>
    <t>Dirección:</t>
  </si>
  <si>
    <t>Av. Máximo Gómez, Santo Domingo</t>
  </si>
  <si>
    <t>Teléfono:</t>
  </si>
  <si>
    <t>809-788-2222 (verificar opción comercial)</t>
  </si>
  <si>
    <t>Web RD:</t>
  </si>
  <si>
    <t>rd.molinosmodernosenlinea.com</t>
  </si>
  <si>
    <t>Categoría AM Comercial:</t>
  </si>
  <si>
    <t>Pet Food — Canal Tradicional + Especializado</t>
  </si>
  <si>
    <t>COMPETENCIA EN RD (referencia para el vendedor)</t>
  </si>
  <si>
    <t>Perros — masivo:</t>
  </si>
  <si>
    <t>Pedigree, Dog Chow, Chunky, Campeón, Ultracan, Nutreco/Vitaloss</t>
  </si>
  <si>
    <t>Perros — premium:</t>
  </si>
  <si>
    <t>Royal Canin, Hill's Science Diet, Pro Plan, Eukanuba, Diamond</t>
  </si>
  <si>
    <t>Gatos — masivo:</t>
  </si>
  <si>
    <t>Whiskas, Cat Chow, Friskies, Campeón Gato</t>
  </si>
  <si>
    <t>Gatos — premium:</t>
  </si>
  <si>
    <t>Royal Canin Feline, Hill's, Pro Plan Cat</t>
  </si>
  <si>
    <t>CRITERIOS DE CLASIFICACIÓN A / B / C / D</t>
  </si>
  <si>
    <t>Método: Tamaño del local + Tráfico + Surtido visible (3 dimensiones, sumar puntaje)</t>
  </si>
  <si>
    <t>Dimensión</t>
  </si>
  <si>
    <t>1 punto (Bajo)</t>
  </si>
  <si>
    <t>2 puntos (Medio)</t>
  </si>
  <si>
    <t>3 puntos (Alto)</t>
  </si>
  <si>
    <t>Cómo medir</t>
  </si>
  <si>
    <t>Tamaño del local</t>
  </si>
  <si>
    <t>&lt; 30 m² (puesto/módulo)</t>
  </si>
  <si>
    <t>30 - 80 m² (local mediano)</t>
  </si>
  <si>
    <t>&gt; 80 m² (local amplio / multi-rubro)</t>
  </si>
  <si>
    <t>Estimación visual del vendedor (m² de área de venta)</t>
  </si>
  <si>
    <t>Tráfico de clientes</t>
  </si>
  <si>
    <t>Bajo (&lt; 30 clientes/día)</t>
  </si>
  <si>
    <t>Medio (30 - 100 clientes/día)</t>
  </si>
  <si>
    <t>Alto (&gt; 100 clientes/día)</t>
  </si>
  <si>
    <t>Observación en horario pico (10am-12m / 4pm-7pm)</t>
  </si>
  <si>
    <t>Surtido visible de mascotas</t>
  </si>
  <si>
    <t>1 marca o solo bulto suelto</t>
  </si>
  <si>
    <t>2-4 marcas, varias presentaciones</t>
  </si>
  <si>
    <t>5+ marcas, bulto + libra + accesorios</t>
  </si>
  <si>
    <t>Conteo de SKUs en góndola/exhibición de mascotas</t>
  </si>
  <si>
    <t>EQUIVALENCIA PUNTAJE TOTAL → CLASIFICACIÓN</t>
  </si>
  <si>
    <t>Puntaje Total (suma 3 dimensiones)</t>
  </si>
  <si>
    <t>Perfil esperado</t>
  </si>
  <si>
    <t>Frecuencia visita sugerida</t>
  </si>
  <si>
    <t>Color</t>
  </si>
  <si>
    <t>8 - 9 puntos</t>
  </si>
  <si>
    <t>Cliente clave / alto volumen</t>
  </si>
  <si>
    <t>Semanal</t>
  </si>
  <si>
    <t>6 - 7 puntos</t>
  </si>
  <si>
    <t>Cliente importante / volumen medio-alto</t>
  </si>
  <si>
    <t>Quincenal</t>
  </si>
  <si>
    <t>4 - 5 puntos</t>
  </si>
  <si>
    <t>Cliente regular / volumen medio-bajo</t>
  </si>
  <si>
    <t>Mensual</t>
  </si>
  <si>
    <t>3 puntos</t>
  </si>
  <si>
    <t>Cliente pequeño / esporádico</t>
  </si>
  <si>
    <t>Bimestral o por demanda</t>
  </si>
  <si>
    <t>NOTA: Esta clasificación es PRELIMINAR (basada en observación). Tras 3 meses de venta efectiva, RECLASIFICAR usando el monto de compra mensual real (criterio cuantitativo objetivo) cruzando con tu BD de ventas de AM Comercial.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</si>
</sst>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2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b/>
      <sz val="10"/>
      <name val="Arial"/>
      <charset val="1"/>
    </font>
    <font>
      <b/>
      <sz val="10"/>
      <color rgb="FFC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CD5B4"/>
      </patternFill>
    </fill>
    <fill>
      <patternFill patternType="solid">
        <fgColor rgb="FFFCD5B4"/>
        <bgColor rgb="FFF8CBAD"/>
      </patternFill>
    </fill>
    <fill>
      <patternFill patternType="solid">
        <fgColor rgb="FFF8CBAD"/>
        <bgColor rgb="FFFCD5B4"/>
      </patternFill>
    </fill>
    <fill>
      <patternFill patternType="solid">
        <fgColor rgb="FFFFFFFF"/>
        <bgColor rgb="FFCCFFFF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9" fillId="0" borderId="0" xfId="0" applyFont="1" applyAlignment="1">
      <alignment horizontal="left" vertical="center" wrapText="1"/>
    </xf>
    <xf numFmtId="0" fontId="4" fillId="2" borderId="0" xfId="0" applyFont="1" applyFill="1"/>
    <xf numFmtId="0" fontId="3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8" fillId="2" borderId="1" xfId="0" applyFont="1" applyFill="1" applyBorder="1"/>
    <xf numFmtId="3" fontId="8" fillId="2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FCD5B4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CD5B4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CD5B4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enso" displayName="TablaCenso" ref="A4:W504" totalsRowShown="0">
  <autoFilter ref="A4:W504" xr:uid="{00000000-0009-0000-0100-000001000000}"/>
  <tableColumns count="23">
    <tableColumn id="1" xr3:uid="{00000000-0010-0000-0000-000001000000}" name="ID"/>
    <tableColumn id="2" xr3:uid="{00000000-0010-0000-0000-000002000000}" name="Nombre del Negocio (Razón Social)"/>
    <tableColumn id="3" xr3:uid="{00000000-0010-0000-0000-000003000000}" name="RNC / Cédula"/>
    <tableColumn id="4" xr3:uid="{00000000-0010-0000-0000-000004000000}" name="Tipo de Negocio"/>
    <tableColumn id="5" xr3:uid="{00000000-0010-0000-0000-000005000000}" name="Dirección (Calle y Nº)"/>
    <tableColumn id="6" xr3:uid="{00000000-0010-0000-0000-000006000000}" name="Barrio"/>
    <tableColumn id="7" xr3:uid="{00000000-0010-0000-0000-000007000000}" name="Sector"/>
    <tableColumn id="8" xr3:uid="{00000000-0010-0000-0000-000008000000}" name="Municipio"/>
    <tableColumn id="9" xr3:uid="{00000000-0010-0000-0000-000009000000}" name="Provincia"/>
    <tableColumn id="10" xr3:uid="{00000000-0010-0000-0000-00000A000000}" name="Zona Comercial"/>
    <tableColumn id="11" xr3:uid="{00000000-0010-0000-0000-00000B000000}" name="Teléfono del Negocio"/>
    <tableColumn id="12" xr3:uid="{00000000-0010-0000-0000-00000C000000}" name="Nombre del Dueño"/>
    <tableColumn id="13" xr3:uid="{00000000-0010-0000-0000-00000D000000}" name="Teléfono del Dueño"/>
    <tableColumn id="14" xr3:uid="{00000000-0010-0000-0000-00000E000000}" name="Latitud"/>
    <tableColumn id="15" xr3:uid="{00000000-0010-0000-0000-00000F000000}" name="Longitud"/>
    <tableColumn id="16" xr3:uid="{00000000-0010-0000-0000-000010000000}" name="Imagen (Link OneDrive)"/>
    <tableColumn id="17" xr3:uid="{00000000-0010-0000-0000-000011000000}" name="Clasificación"/>
    <tableColumn id="18" xr3:uid="{00000000-0010-0000-0000-000012000000}" name="Vende Rufo hoy"/>
    <tableColumn id="19" xr3:uid="{00000000-0010-0000-0000-000013000000}" name="Marcas Competencia que vende"/>
    <tableColumn id="20" xr3:uid="{00000000-0010-0000-0000-000014000000}" name="Vendedor Asignado"/>
    <tableColumn id="21" xr3:uid="{00000000-0010-0000-0000-000015000000}" name="Estado del Censo"/>
    <tableColumn id="22" xr3:uid="{00000000-0010-0000-0000-000016000000}" name="Fecha Última Visita"/>
    <tableColumn id="23" xr3:uid="{00000000-0010-0000-0000-000017000000}" name="Observacion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zoomScaleNormal="100" workbookViewId="0"/>
  </sheetViews>
  <sheetFormatPr baseColWidth="10" defaultColWidth="8.6640625" defaultRowHeight="14.4" x14ac:dyDescent="0.3"/>
  <cols>
    <col min="1" max="1" width="2" customWidth="1"/>
    <col min="2" max="2" width="110" customWidth="1"/>
  </cols>
  <sheetData>
    <row r="2" spans="2:2" ht="21" x14ac:dyDescent="0.4">
      <c r="B2" s="7" t="s">
        <v>0</v>
      </c>
    </row>
    <row r="3" spans="2:2" ht="15.6" x14ac:dyDescent="0.3">
      <c r="B3" s="8" t="s">
        <v>1</v>
      </c>
    </row>
    <row r="4" spans="2:2" x14ac:dyDescent="0.3">
      <c r="B4" s="9" t="s">
        <v>2</v>
      </c>
    </row>
    <row r="6" spans="2:2" x14ac:dyDescent="0.3">
      <c r="B6" s="10" t="s">
        <v>3</v>
      </c>
    </row>
    <row r="7" spans="2:2" ht="45" customHeight="1" x14ac:dyDescent="0.3">
      <c r="B7" s="11" t="s">
        <v>4</v>
      </c>
    </row>
    <row r="9" spans="2:2" x14ac:dyDescent="0.3">
      <c r="B9" s="10" t="s">
        <v>5</v>
      </c>
    </row>
    <row r="10" spans="2:2" ht="109.5" customHeight="1" x14ac:dyDescent="0.3">
      <c r="B10" s="11" t="s">
        <v>6</v>
      </c>
    </row>
    <row r="12" spans="2:2" x14ac:dyDescent="0.3">
      <c r="B12" s="10" t="s">
        <v>7</v>
      </c>
    </row>
    <row r="13" spans="2:2" ht="109.5" customHeight="1" x14ac:dyDescent="0.3">
      <c r="B13" s="11" t="s">
        <v>8</v>
      </c>
    </row>
    <row r="15" spans="2:2" x14ac:dyDescent="0.3">
      <c r="B15" s="10" t="s">
        <v>9</v>
      </c>
    </row>
    <row r="16" spans="2:2" ht="69.75" customHeight="1" x14ac:dyDescent="0.3">
      <c r="B16" s="11" t="s">
        <v>10</v>
      </c>
    </row>
    <row r="18" spans="2:2" x14ac:dyDescent="0.3">
      <c r="B18" s="9" t="s">
        <v>11</v>
      </c>
    </row>
    <row r="19" spans="2:2" x14ac:dyDescent="0.3">
      <c r="B19" s="9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0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0" sqref="D10"/>
    </sheetView>
  </sheetViews>
  <sheetFormatPr baseColWidth="10" defaultColWidth="8.6640625" defaultRowHeight="14.4" x14ac:dyDescent="0.3"/>
  <cols>
    <col min="1" max="1" width="6" customWidth="1"/>
    <col min="2" max="2" width="38" customWidth="1"/>
    <col min="3" max="3" width="16" customWidth="1"/>
    <col min="4" max="4" width="22" customWidth="1"/>
    <col min="5" max="5" width="32" customWidth="1"/>
    <col min="6" max="7" width="22" customWidth="1"/>
    <col min="8" max="8" width="24" customWidth="1"/>
    <col min="9" max="10" width="20" customWidth="1"/>
    <col min="11" max="11" width="16" customWidth="1"/>
    <col min="12" max="12" width="28" customWidth="1"/>
    <col min="13" max="13" width="16" customWidth="1"/>
    <col min="14" max="15" width="14" customWidth="1"/>
    <col min="16" max="16" width="28" customWidth="1"/>
    <col min="17" max="18" width="14" customWidth="1"/>
    <col min="19" max="19" width="30" customWidth="1"/>
    <col min="20" max="20" width="22" customWidth="1"/>
    <col min="21" max="22" width="16" customWidth="1"/>
    <col min="23" max="23" width="40" customWidth="1"/>
  </cols>
  <sheetData>
    <row r="1" spans="1:23" ht="21" x14ac:dyDescent="0.4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3" x14ac:dyDescent="0.3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4" spans="1:23" ht="37.5" customHeight="1" x14ac:dyDescent="0.3">
      <c r="A4" s="12" t="s">
        <v>15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2" t="s">
        <v>24</v>
      </c>
      <c r="K4" s="12" t="s">
        <v>25</v>
      </c>
      <c r="L4" s="12" t="s">
        <v>26</v>
      </c>
      <c r="M4" s="12" t="s">
        <v>27</v>
      </c>
      <c r="N4" s="12" t="s">
        <v>28</v>
      </c>
      <c r="O4" s="12" t="s">
        <v>29</v>
      </c>
      <c r="P4" s="12" t="s">
        <v>30</v>
      </c>
      <c r="Q4" s="12" t="s">
        <v>31</v>
      </c>
      <c r="R4" s="12" t="s">
        <v>32</v>
      </c>
      <c r="S4" s="12" t="s">
        <v>33</v>
      </c>
      <c r="T4" s="12" t="s">
        <v>34</v>
      </c>
      <c r="U4" s="12" t="s">
        <v>35</v>
      </c>
      <c r="V4" s="12" t="s">
        <v>36</v>
      </c>
      <c r="W4" s="12" t="s">
        <v>37</v>
      </c>
    </row>
    <row r="5" spans="1:23" x14ac:dyDescent="0.3">
      <c r="A5" s="13">
        <v>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3"/>
      <c r="O5" s="13"/>
      <c r="P5" s="14"/>
      <c r="Q5" s="13"/>
      <c r="R5" s="13"/>
      <c r="S5" s="14"/>
      <c r="T5" s="14"/>
      <c r="U5" s="13"/>
      <c r="V5" s="13"/>
      <c r="W5" s="14"/>
    </row>
    <row r="6" spans="1:23" x14ac:dyDescent="0.3">
      <c r="A6" s="13">
        <v>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3"/>
      <c r="O6" s="13"/>
      <c r="P6" s="14"/>
      <c r="Q6" s="13"/>
      <c r="R6" s="13"/>
      <c r="S6" s="14"/>
      <c r="T6" s="14"/>
      <c r="U6" s="13"/>
      <c r="V6" s="13"/>
      <c r="W6" s="14"/>
    </row>
    <row r="7" spans="1:23" x14ac:dyDescent="0.3">
      <c r="A7" s="13">
        <v>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3"/>
      <c r="O7" s="13"/>
      <c r="P7" s="14"/>
      <c r="Q7" s="13"/>
      <c r="R7" s="13"/>
      <c r="S7" s="14"/>
      <c r="T7" s="14"/>
      <c r="U7" s="13"/>
      <c r="V7" s="13"/>
      <c r="W7" s="14"/>
    </row>
    <row r="8" spans="1:23" x14ac:dyDescent="0.3">
      <c r="A8" s="13">
        <v>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3"/>
      <c r="O8" s="13"/>
      <c r="P8" s="14"/>
      <c r="Q8" s="13"/>
      <c r="R8" s="13"/>
      <c r="S8" s="14"/>
      <c r="T8" s="14"/>
      <c r="U8" s="13"/>
      <c r="V8" s="13"/>
      <c r="W8" s="14"/>
    </row>
    <row r="9" spans="1:23" x14ac:dyDescent="0.3">
      <c r="A9" s="13">
        <v>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3"/>
      <c r="O9" s="13"/>
      <c r="P9" s="14"/>
      <c r="Q9" s="13"/>
      <c r="R9" s="13"/>
      <c r="S9" s="14"/>
      <c r="T9" s="14"/>
      <c r="U9" s="13"/>
      <c r="V9" s="13"/>
      <c r="W9" s="14"/>
    </row>
    <row r="10" spans="1:23" x14ac:dyDescent="0.3">
      <c r="A10" s="13">
        <v>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3"/>
      <c r="O10" s="13"/>
      <c r="P10" s="14"/>
      <c r="Q10" s="13"/>
      <c r="R10" s="13"/>
      <c r="S10" s="14"/>
      <c r="T10" s="14"/>
      <c r="U10" s="13"/>
      <c r="V10" s="13"/>
      <c r="W10" s="14"/>
    </row>
    <row r="11" spans="1:23" x14ac:dyDescent="0.3">
      <c r="A11" s="13">
        <v>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3"/>
      <c r="O11" s="13"/>
      <c r="P11" s="14"/>
      <c r="Q11" s="13"/>
      <c r="R11" s="13"/>
      <c r="S11" s="14"/>
      <c r="T11" s="14"/>
      <c r="U11" s="13"/>
      <c r="V11" s="13"/>
      <c r="W11" s="14"/>
    </row>
    <row r="12" spans="1:23" x14ac:dyDescent="0.3">
      <c r="A12" s="13">
        <v>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3"/>
      <c r="O12" s="13"/>
      <c r="P12" s="14"/>
      <c r="Q12" s="13"/>
      <c r="R12" s="13"/>
      <c r="S12" s="14"/>
      <c r="T12" s="14"/>
      <c r="U12" s="13"/>
      <c r="V12" s="13"/>
      <c r="W12" s="14"/>
    </row>
    <row r="13" spans="1:23" x14ac:dyDescent="0.3">
      <c r="A13" s="13">
        <v>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3"/>
      <c r="O13" s="13"/>
      <c r="P13" s="14"/>
      <c r="Q13" s="13"/>
      <c r="R13" s="13"/>
      <c r="S13" s="14"/>
      <c r="T13" s="14"/>
      <c r="U13" s="13"/>
      <c r="V13" s="13"/>
      <c r="W13" s="14"/>
    </row>
    <row r="14" spans="1:23" x14ac:dyDescent="0.3">
      <c r="A14" s="13">
        <v>10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3"/>
      <c r="O14" s="13"/>
      <c r="P14" s="14"/>
      <c r="Q14" s="13"/>
      <c r="R14" s="13"/>
      <c r="S14" s="14"/>
      <c r="T14" s="14"/>
      <c r="U14" s="13"/>
      <c r="V14" s="13"/>
      <c r="W14" s="14"/>
    </row>
    <row r="15" spans="1:23" x14ac:dyDescent="0.3">
      <c r="A15" s="13">
        <v>11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3"/>
      <c r="O15" s="13"/>
      <c r="P15" s="14"/>
      <c r="Q15" s="13"/>
      <c r="R15" s="13"/>
      <c r="S15" s="14"/>
      <c r="T15" s="14"/>
      <c r="U15" s="13"/>
      <c r="V15" s="13"/>
      <c r="W15" s="14"/>
    </row>
    <row r="16" spans="1:23" x14ac:dyDescent="0.3">
      <c r="A16" s="13">
        <v>12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3"/>
      <c r="O16" s="13"/>
      <c r="P16" s="14"/>
      <c r="Q16" s="13"/>
      <c r="R16" s="13"/>
      <c r="S16" s="14"/>
      <c r="T16" s="14"/>
      <c r="U16" s="13"/>
      <c r="V16" s="13"/>
      <c r="W16" s="14"/>
    </row>
    <row r="17" spans="1:23" x14ac:dyDescent="0.3">
      <c r="A17" s="13">
        <v>13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3"/>
      <c r="O17" s="13"/>
      <c r="P17" s="14"/>
      <c r="Q17" s="13"/>
      <c r="R17" s="13"/>
      <c r="S17" s="14"/>
      <c r="T17" s="14"/>
      <c r="U17" s="13"/>
      <c r="V17" s="13"/>
      <c r="W17" s="14"/>
    </row>
    <row r="18" spans="1:23" x14ac:dyDescent="0.3">
      <c r="A18" s="13">
        <v>14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3"/>
      <c r="O18" s="13"/>
      <c r="P18" s="14"/>
      <c r="Q18" s="13"/>
      <c r="R18" s="13"/>
      <c r="S18" s="14"/>
      <c r="T18" s="14"/>
      <c r="U18" s="13"/>
      <c r="V18" s="13"/>
      <c r="W18" s="14"/>
    </row>
    <row r="19" spans="1:23" x14ac:dyDescent="0.3">
      <c r="A19" s="13">
        <v>15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13"/>
      <c r="P19" s="14"/>
      <c r="Q19" s="13"/>
      <c r="R19" s="13"/>
      <c r="S19" s="14"/>
      <c r="T19" s="14"/>
      <c r="U19" s="13"/>
      <c r="V19" s="13"/>
      <c r="W19" s="14"/>
    </row>
    <row r="20" spans="1:23" x14ac:dyDescent="0.3">
      <c r="A20" s="13">
        <v>16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3"/>
      <c r="O20" s="13"/>
      <c r="P20" s="14"/>
      <c r="Q20" s="13"/>
      <c r="R20" s="13"/>
      <c r="S20" s="14"/>
      <c r="T20" s="14"/>
      <c r="U20" s="13"/>
      <c r="V20" s="13"/>
      <c r="W20" s="14"/>
    </row>
    <row r="21" spans="1:23" x14ac:dyDescent="0.3">
      <c r="A21" s="13">
        <v>17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3"/>
      <c r="O21" s="13"/>
      <c r="P21" s="14"/>
      <c r="Q21" s="13"/>
      <c r="R21" s="13"/>
      <c r="S21" s="14"/>
      <c r="T21" s="14"/>
      <c r="U21" s="13"/>
      <c r="V21" s="13"/>
      <c r="W21" s="14"/>
    </row>
    <row r="22" spans="1:23" x14ac:dyDescent="0.3">
      <c r="A22" s="13">
        <v>18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3"/>
      <c r="O22" s="13"/>
      <c r="P22" s="14"/>
      <c r="Q22" s="13"/>
      <c r="R22" s="13"/>
      <c r="S22" s="14"/>
      <c r="T22" s="14"/>
      <c r="U22" s="13"/>
      <c r="V22" s="13"/>
      <c r="W22" s="14"/>
    </row>
    <row r="23" spans="1:23" x14ac:dyDescent="0.3">
      <c r="A23" s="13">
        <v>19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3"/>
      <c r="O23" s="13"/>
      <c r="P23" s="14"/>
      <c r="Q23" s="13"/>
      <c r="R23" s="13"/>
      <c r="S23" s="14"/>
      <c r="T23" s="14"/>
      <c r="U23" s="13"/>
      <c r="V23" s="13"/>
      <c r="W23" s="14"/>
    </row>
    <row r="24" spans="1:23" x14ac:dyDescent="0.3">
      <c r="A24" s="13">
        <v>20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13"/>
      <c r="P24" s="14"/>
      <c r="Q24" s="13"/>
      <c r="R24" s="13"/>
      <c r="S24" s="14"/>
      <c r="T24" s="14"/>
      <c r="U24" s="13"/>
      <c r="V24" s="13"/>
      <c r="W24" s="14"/>
    </row>
    <row r="25" spans="1:23" x14ac:dyDescent="0.3">
      <c r="A25" s="13">
        <v>21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3"/>
      <c r="O25" s="13"/>
      <c r="P25" s="14"/>
      <c r="Q25" s="13"/>
      <c r="R25" s="13"/>
      <c r="S25" s="14"/>
      <c r="T25" s="14"/>
      <c r="U25" s="13"/>
      <c r="V25" s="13"/>
      <c r="W25" s="14"/>
    </row>
    <row r="26" spans="1:23" x14ac:dyDescent="0.3">
      <c r="A26" s="13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3"/>
      <c r="O26" s="13"/>
      <c r="P26" s="14"/>
      <c r="Q26" s="13"/>
      <c r="R26" s="13"/>
      <c r="S26" s="14"/>
      <c r="T26" s="14"/>
      <c r="U26" s="13"/>
      <c r="V26" s="13"/>
      <c r="W26" s="14"/>
    </row>
    <row r="27" spans="1:23" x14ac:dyDescent="0.3">
      <c r="A27" s="13">
        <v>23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3"/>
      <c r="O27" s="13"/>
      <c r="P27" s="14"/>
      <c r="Q27" s="13"/>
      <c r="R27" s="13"/>
      <c r="S27" s="14"/>
      <c r="T27" s="14"/>
      <c r="U27" s="13"/>
      <c r="V27" s="13"/>
      <c r="W27" s="14"/>
    </row>
    <row r="28" spans="1:23" x14ac:dyDescent="0.3">
      <c r="A28" s="13">
        <v>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3"/>
      <c r="O28" s="13"/>
      <c r="P28" s="14"/>
      <c r="Q28" s="13"/>
      <c r="R28" s="13"/>
      <c r="S28" s="14"/>
      <c r="T28" s="14"/>
      <c r="U28" s="13"/>
      <c r="V28" s="13"/>
      <c r="W28" s="14"/>
    </row>
    <row r="29" spans="1:23" x14ac:dyDescent="0.3">
      <c r="A29" s="13">
        <v>25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3"/>
      <c r="O29" s="13"/>
      <c r="P29" s="14"/>
      <c r="Q29" s="13"/>
      <c r="R29" s="13"/>
      <c r="S29" s="14"/>
      <c r="T29" s="14"/>
      <c r="U29" s="13"/>
      <c r="V29" s="13"/>
      <c r="W29" s="14"/>
    </row>
    <row r="30" spans="1:23" x14ac:dyDescent="0.3">
      <c r="A30" s="13">
        <v>26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3"/>
      <c r="O30" s="13"/>
      <c r="P30" s="14"/>
      <c r="Q30" s="13"/>
      <c r="R30" s="13"/>
      <c r="S30" s="14"/>
      <c r="T30" s="14"/>
      <c r="U30" s="13"/>
      <c r="V30" s="13"/>
      <c r="W30" s="14"/>
    </row>
    <row r="31" spans="1:23" x14ac:dyDescent="0.3">
      <c r="A31" s="13">
        <v>27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3"/>
      <c r="O31" s="13"/>
      <c r="P31" s="14"/>
      <c r="Q31" s="13"/>
      <c r="R31" s="13"/>
      <c r="S31" s="14"/>
      <c r="T31" s="14"/>
      <c r="U31" s="13"/>
      <c r="V31" s="13"/>
      <c r="W31" s="14"/>
    </row>
    <row r="32" spans="1:23" x14ac:dyDescent="0.3">
      <c r="A32" s="13">
        <v>28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3"/>
      <c r="O32" s="13"/>
      <c r="P32" s="14"/>
      <c r="Q32" s="13"/>
      <c r="R32" s="13"/>
      <c r="S32" s="14"/>
      <c r="T32" s="14"/>
      <c r="U32" s="13"/>
      <c r="V32" s="13"/>
      <c r="W32" s="14"/>
    </row>
    <row r="33" spans="1:23" x14ac:dyDescent="0.3">
      <c r="A33" s="13">
        <v>29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3"/>
      <c r="O33" s="13"/>
      <c r="P33" s="14"/>
      <c r="Q33" s="13"/>
      <c r="R33" s="13"/>
      <c r="S33" s="14"/>
      <c r="T33" s="14"/>
      <c r="U33" s="13"/>
      <c r="V33" s="13"/>
      <c r="W33" s="14"/>
    </row>
    <row r="34" spans="1:23" x14ac:dyDescent="0.3">
      <c r="A34" s="13">
        <v>30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3"/>
      <c r="O34" s="13"/>
      <c r="P34" s="14"/>
      <c r="Q34" s="13"/>
      <c r="R34" s="13"/>
      <c r="S34" s="14"/>
      <c r="T34" s="14"/>
      <c r="U34" s="13"/>
      <c r="V34" s="13"/>
      <c r="W34" s="14"/>
    </row>
    <row r="35" spans="1:23" x14ac:dyDescent="0.3">
      <c r="A35" s="13">
        <v>31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3"/>
      <c r="O35" s="13"/>
      <c r="P35" s="14"/>
      <c r="Q35" s="13"/>
      <c r="R35" s="13"/>
      <c r="S35" s="14"/>
      <c r="T35" s="14"/>
      <c r="U35" s="13"/>
      <c r="V35" s="13"/>
      <c r="W35" s="14"/>
    </row>
    <row r="36" spans="1:23" x14ac:dyDescent="0.3">
      <c r="A36" s="13">
        <v>32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3"/>
      <c r="O36" s="13"/>
      <c r="P36" s="14"/>
      <c r="Q36" s="13"/>
      <c r="R36" s="13"/>
      <c r="S36" s="14"/>
      <c r="T36" s="14"/>
      <c r="U36" s="13"/>
      <c r="V36" s="13"/>
      <c r="W36" s="14"/>
    </row>
    <row r="37" spans="1:23" x14ac:dyDescent="0.3">
      <c r="A37" s="13">
        <v>33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3"/>
      <c r="O37" s="13"/>
      <c r="P37" s="14"/>
      <c r="Q37" s="13"/>
      <c r="R37" s="13"/>
      <c r="S37" s="14"/>
      <c r="T37" s="14"/>
      <c r="U37" s="13"/>
      <c r="V37" s="13"/>
      <c r="W37" s="14"/>
    </row>
    <row r="38" spans="1:23" x14ac:dyDescent="0.3">
      <c r="A38" s="13">
        <v>34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3"/>
      <c r="O38" s="13"/>
      <c r="P38" s="14"/>
      <c r="Q38" s="13"/>
      <c r="R38" s="13"/>
      <c r="S38" s="14"/>
      <c r="T38" s="14"/>
      <c r="U38" s="13"/>
      <c r="V38" s="13"/>
      <c r="W38" s="14"/>
    </row>
    <row r="39" spans="1:23" x14ac:dyDescent="0.3">
      <c r="A39" s="13">
        <v>35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3"/>
      <c r="O39" s="13"/>
      <c r="P39" s="14"/>
      <c r="Q39" s="13"/>
      <c r="R39" s="13"/>
      <c r="S39" s="14"/>
      <c r="T39" s="14"/>
      <c r="U39" s="13"/>
      <c r="V39" s="13"/>
      <c r="W39" s="14"/>
    </row>
    <row r="40" spans="1:23" x14ac:dyDescent="0.3">
      <c r="A40" s="13">
        <v>36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3"/>
      <c r="O40" s="13"/>
      <c r="P40" s="14"/>
      <c r="Q40" s="13"/>
      <c r="R40" s="13"/>
      <c r="S40" s="14"/>
      <c r="T40" s="14"/>
      <c r="U40" s="13"/>
      <c r="V40" s="13"/>
      <c r="W40" s="14"/>
    </row>
    <row r="41" spans="1:23" x14ac:dyDescent="0.3">
      <c r="A41" s="13">
        <v>37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3"/>
      <c r="O41" s="13"/>
      <c r="P41" s="14"/>
      <c r="Q41" s="13"/>
      <c r="R41" s="13"/>
      <c r="S41" s="14"/>
      <c r="T41" s="14"/>
      <c r="U41" s="13"/>
      <c r="V41" s="13"/>
      <c r="W41" s="14"/>
    </row>
    <row r="42" spans="1:23" x14ac:dyDescent="0.3">
      <c r="A42" s="13">
        <v>38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3"/>
      <c r="O42" s="13"/>
      <c r="P42" s="14"/>
      <c r="Q42" s="13"/>
      <c r="R42" s="13"/>
      <c r="S42" s="14"/>
      <c r="T42" s="14"/>
      <c r="U42" s="13"/>
      <c r="V42" s="13"/>
      <c r="W42" s="14"/>
    </row>
    <row r="43" spans="1:23" x14ac:dyDescent="0.3">
      <c r="A43" s="13">
        <v>39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3"/>
      <c r="O43" s="13"/>
      <c r="P43" s="14"/>
      <c r="Q43" s="13"/>
      <c r="R43" s="13"/>
      <c r="S43" s="14"/>
      <c r="T43" s="14"/>
      <c r="U43" s="13"/>
      <c r="V43" s="13"/>
      <c r="W43" s="14"/>
    </row>
    <row r="44" spans="1:23" x14ac:dyDescent="0.3">
      <c r="A44" s="13">
        <v>40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3"/>
      <c r="O44" s="13"/>
      <c r="P44" s="14"/>
      <c r="Q44" s="13"/>
      <c r="R44" s="13"/>
      <c r="S44" s="14"/>
      <c r="T44" s="14"/>
      <c r="U44" s="13"/>
      <c r="V44" s="13"/>
      <c r="W44" s="14"/>
    </row>
    <row r="45" spans="1:23" x14ac:dyDescent="0.3">
      <c r="A45" s="13">
        <v>41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3"/>
      <c r="O45" s="13"/>
      <c r="P45" s="14"/>
      <c r="Q45" s="13"/>
      <c r="R45" s="13"/>
      <c r="S45" s="14"/>
      <c r="T45" s="14"/>
      <c r="U45" s="13"/>
      <c r="V45" s="13"/>
      <c r="W45" s="14"/>
    </row>
    <row r="46" spans="1:23" x14ac:dyDescent="0.3">
      <c r="A46" s="13">
        <v>42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3"/>
      <c r="O46" s="13"/>
      <c r="P46" s="14"/>
      <c r="Q46" s="13"/>
      <c r="R46" s="13"/>
      <c r="S46" s="14"/>
      <c r="T46" s="14"/>
      <c r="U46" s="13"/>
      <c r="V46" s="13"/>
      <c r="W46" s="14"/>
    </row>
    <row r="47" spans="1:23" x14ac:dyDescent="0.3">
      <c r="A47" s="13">
        <v>43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3"/>
      <c r="O47" s="13"/>
      <c r="P47" s="14"/>
      <c r="Q47" s="13"/>
      <c r="R47" s="13"/>
      <c r="S47" s="14"/>
      <c r="T47" s="14"/>
      <c r="U47" s="13"/>
      <c r="V47" s="13"/>
      <c r="W47" s="14"/>
    </row>
    <row r="48" spans="1:23" x14ac:dyDescent="0.3">
      <c r="A48" s="13">
        <v>44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3"/>
      <c r="O48" s="13"/>
      <c r="P48" s="14"/>
      <c r="Q48" s="13"/>
      <c r="R48" s="13"/>
      <c r="S48" s="14"/>
      <c r="T48" s="14"/>
      <c r="U48" s="13"/>
      <c r="V48" s="13"/>
      <c r="W48" s="14"/>
    </row>
    <row r="49" spans="1:23" x14ac:dyDescent="0.3">
      <c r="A49" s="13">
        <v>45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3"/>
      <c r="O49" s="13"/>
      <c r="P49" s="14"/>
      <c r="Q49" s="13"/>
      <c r="R49" s="13"/>
      <c r="S49" s="14"/>
      <c r="T49" s="14"/>
      <c r="U49" s="13"/>
      <c r="V49" s="13"/>
      <c r="W49" s="14"/>
    </row>
    <row r="50" spans="1:23" x14ac:dyDescent="0.3">
      <c r="A50" s="13">
        <v>46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3"/>
      <c r="O50" s="13"/>
      <c r="P50" s="14"/>
      <c r="Q50" s="13"/>
      <c r="R50" s="13"/>
      <c r="S50" s="14"/>
      <c r="T50" s="14"/>
      <c r="U50" s="13"/>
      <c r="V50" s="13"/>
      <c r="W50" s="14"/>
    </row>
    <row r="51" spans="1:23" x14ac:dyDescent="0.3">
      <c r="A51" s="13">
        <v>47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3"/>
      <c r="O51" s="13"/>
      <c r="P51" s="14"/>
      <c r="Q51" s="13"/>
      <c r="R51" s="13"/>
      <c r="S51" s="14"/>
      <c r="T51" s="14"/>
      <c r="U51" s="13"/>
      <c r="V51" s="13"/>
      <c r="W51" s="14"/>
    </row>
    <row r="52" spans="1:23" x14ac:dyDescent="0.3">
      <c r="A52" s="13">
        <v>48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3"/>
      <c r="O52" s="13"/>
      <c r="P52" s="14"/>
      <c r="Q52" s="13"/>
      <c r="R52" s="13"/>
      <c r="S52" s="14"/>
      <c r="T52" s="14"/>
      <c r="U52" s="13"/>
      <c r="V52" s="13"/>
      <c r="W52" s="14"/>
    </row>
    <row r="53" spans="1:23" x14ac:dyDescent="0.3">
      <c r="A53" s="13">
        <v>49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3"/>
      <c r="O53" s="13"/>
      <c r="P53" s="14"/>
      <c r="Q53" s="13"/>
      <c r="R53" s="13"/>
      <c r="S53" s="14"/>
      <c r="T53" s="14"/>
      <c r="U53" s="13"/>
      <c r="V53" s="13"/>
      <c r="W53" s="14"/>
    </row>
    <row r="54" spans="1:23" x14ac:dyDescent="0.3">
      <c r="A54" s="13">
        <v>50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3"/>
      <c r="O54" s="13"/>
      <c r="P54" s="14"/>
      <c r="Q54" s="13"/>
      <c r="R54" s="13"/>
      <c r="S54" s="14"/>
      <c r="T54" s="14"/>
      <c r="U54" s="13"/>
      <c r="V54" s="13"/>
      <c r="W54" s="14"/>
    </row>
    <row r="55" spans="1:23" x14ac:dyDescent="0.3">
      <c r="A55" s="13">
        <v>51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3"/>
      <c r="O55" s="13"/>
      <c r="P55" s="14"/>
      <c r="Q55" s="13"/>
      <c r="R55" s="13"/>
      <c r="S55" s="14"/>
      <c r="T55" s="14"/>
      <c r="U55" s="13"/>
      <c r="V55" s="13"/>
      <c r="W55" s="14"/>
    </row>
    <row r="56" spans="1:23" x14ac:dyDescent="0.3">
      <c r="A56" s="13">
        <v>52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3"/>
      <c r="O56" s="13"/>
      <c r="P56" s="14"/>
      <c r="Q56" s="13"/>
      <c r="R56" s="13"/>
      <c r="S56" s="14"/>
      <c r="T56" s="14"/>
      <c r="U56" s="13"/>
      <c r="V56" s="13"/>
      <c r="W56" s="14"/>
    </row>
    <row r="57" spans="1:23" x14ac:dyDescent="0.3">
      <c r="A57" s="13">
        <v>53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3"/>
      <c r="O57" s="13"/>
      <c r="P57" s="14"/>
      <c r="Q57" s="13"/>
      <c r="R57" s="13"/>
      <c r="S57" s="14"/>
      <c r="T57" s="14"/>
      <c r="U57" s="13"/>
      <c r="V57" s="13"/>
      <c r="W57" s="14"/>
    </row>
    <row r="58" spans="1:23" x14ac:dyDescent="0.3">
      <c r="A58" s="13">
        <v>54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3"/>
      <c r="O58" s="13"/>
      <c r="P58" s="14"/>
      <c r="Q58" s="13"/>
      <c r="R58" s="13"/>
      <c r="S58" s="14"/>
      <c r="T58" s="14"/>
      <c r="U58" s="13"/>
      <c r="V58" s="13"/>
      <c r="W58" s="14"/>
    </row>
    <row r="59" spans="1:23" x14ac:dyDescent="0.3">
      <c r="A59" s="13">
        <v>55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3"/>
      <c r="O59" s="13"/>
      <c r="P59" s="14"/>
      <c r="Q59" s="13"/>
      <c r="R59" s="13"/>
      <c r="S59" s="14"/>
      <c r="T59" s="14"/>
      <c r="U59" s="13"/>
      <c r="V59" s="13"/>
      <c r="W59" s="14"/>
    </row>
    <row r="60" spans="1:23" x14ac:dyDescent="0.3">
      <c r="A60" s="13">
        <v>56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3"/>
      <c r="O60" s="13"/>
      <c r="P60" s="14"/>
      <c r="Q60" s="13"/>
      <c r="R60" s="13"/>
      <c r="S60" s="14"/>
      <c r="T60" s="14"/>
      <c r="U60" s="13"/>
      <c r="V60" s="13"/>
      <c r="W60" s="14"/>
    </row>
    <row r="61" spans="1:23" x14ac:dyDescent="0.3">
      <c r="A61" s="13">
        <v>57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3"/>
      <c r="O61" s="13"/>
      <c r="P61" s="14"/>
      <c r="Q61" s="13"/>
      <c r="R61" s="13"/>
      <c r="S61" s="14"/>
      <c r="T61" s="14"/>
      <c r="U61" s="13"/>
      <c r="V61" s="13"/>
      <c r="W61" s="14"/>
    </row>
    <row r="62" spans="1:23" x14ac:dyDescent="0.3">
      <c r="A62" s="13">
        <v>58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3"/>
      <c r="O62" s="13"/>
      <c r="P62" s="14"/>
      <c r="Q62" s="13"/>
      <c r="R62" s="13"/>
      <c r="S62" s="14"/>
      <c r="T62" s="14"/>
      <c r="U62" s="13"/>
      <c r="V62" s="13"/>
      <c r="W62" s="14"/>
    </row>
    <row r="63" spans="1:23" x14ac:dyDescent="0.3">
      <c r="A63" s="13">
        <v>59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3"/>
      <c r="O63" s="13"/>
      <c r="P63" s="14"/>
      <c r="Q63" s="13"/>
      <c r="R63" s="13"/>
      <c r="S63" s="14"/>
      <c r="T63" s="14"/>
      <c r="U63" s="13"/>
      <c r="V63" s="13"/>
      <c r="W63" s="14"/>
    </row>
    <row r="64" spans="1:23" x14ac:dyDescent="0.3">
      <c r="A64" s="13">
        <v>60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3"/>
      <c r="O64" s="13"/>
      <c r="P64" s="14"/>
      <c r="Q64" s="13"/>
      <c r="R64" s="13"/>
      <c r="S64" s="14"/>
      <c r="T64" s="14"/>
      <c r="U64" s="13"/>
      <c r="V64" s="13"/>
      <c r="W64" s="14"/>
    </row>
    <row r="65" spans="1:23" x14ac:dyDescent="0.3">
      <c r="A65" s="13">
        <v>61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3"/>
      <c r="O65" s="13"/>
      <c r="P65" s="14"/>
      <c r="Q65" s="13"/>
      <c r="R65" s="13"/>
      <c r="S65" s="14"/>
      <c r="T65" s="14"/>
      <c r="U65" s="13"/>
      <c r="V65" s="13"/>
      <c r="W65" s="14"/>
    </row>
    <row r="66" spans="1:23" x14ac:dyDescent="0.3">
      <c r="A66" s="13">
        <v>62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3"/>
      <c r="O66" s="13"/>
      <c r="P66" s="14"/>
      <c r="Q66" s="13"/>
      <c r="R66" s="13"/>
      <c r="S66" s="14"/>
      <c r="T66" s="14"/>
      <c r="U66" s="13"/>
      <c r="V66" s="13"/>
      <c r="W66" s="14"/>
    </row>
    <row r="67" spans="1:23" x14ac:dyDescent="0.3">
      <c r="A67" s="13">
        <v>63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3"/>
      <c r="O67" s="13"/>
      <c r="P67" s="14"/>
      <c r="Q67" s="13"/>
      <c r="R67" s="13"/>
      <c r="S67" s="14"/>
      <c r="T67" s="14"/>
      <c r="U67" s="13"/>
      <c r="V67" s="13"/>
      <c r="W67" s="14"/>
    </row>
    <row r="68" spans="1:23" x14ac:dyDescent="0.3">
      <c r="A68" s="13">
        <v>64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3"/>
      <c r="O68" s="13"/>
      <c r="P68" s="14"/>
      <c r="Q68" s="13"/>
      <c r="R68" s="13"/>
      <c r="S68" s="14"/>
      <c r="T68" s="14"/>
      <c r="U68" s="13"/>
      <c r="V68" s="13"/>
      <c r="W68" s="14"/>
    </row>
    <row r="69" spans="1:23" x14ac:dyDescent="0.3">
      <c r="A69" s="13">
        <v>65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3"/>
      <c r="O69" s="13"/>
      <c r="P69" s="14"/>
      <c r="Q69" s="13"/>
      <c r="R69" s="13"/>
      <c r="S69" s="14"/>
      <c r="T69" s="14"/>
      <c r="U69" s="13"/>
      <c r="V69" s="13"/>
      <c r="W69" s="14"/>
    </row>
    <row r="70" spans="1:23" x14ac:dyDescent="0.3">
      <c r="A70" s="13">
        <v>66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3"/>
      <c r="O70" s="13"/>
      <c r="P70" s="14"/>
      <c r="Q70" s="13"/>
      <c r="R70" s="13"/>
      <c r="S70" s="14"/>
      <c r="T70" s="14"/>
      <c r="U70" s="13"/>
      <c r="V70" s="13"/>
      <c r="W70" s="14"/>
    </row>
    <row r="71" spans="1:23" x14ac:dyDescent="0.3">
      <c r="A71" s="13">
        <v>67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3"/>
      <c r="O71" s="13"/>
      <c r="P71" s="14"/>
      <c r="Q71" s="13"/>
      <c r="R71" s="13"/>
      <c r="S71" s="14"/>
      <c r="T71" s="14"/>
      <c r="U71" s="13"/>
      <c r="V71" s="13"/>
      <c r="W71" s="14"/>
    </row>
    <row r="72" spans="1:23" x14ac:dyDescent="0.3">
      <c r="A72" s="13">
        <v>68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3"/>
      <c r="O72" s="13"/>
      <c r="P72" s="14"/>
      <c r="Q72" s="13"/>
      <c r="R72" s="13"/>
      <c r="S72" s="14"/>
      <c r="T72" s="14"/>
      <c r="U72" s="13"/>
      <c r="V72" s="13"/>
      <c r="W72" s="14"/>
    </row>
    <row r="73" spans="1:23" x14ac:dyDescent="0.3">
      <c r="A73" s="13">
        <v>69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3"/>
      <c r="O73" s="13"/>
      <c r="P73" s="14"/>
      <c r="Q73" s="13"/>
      <c r="R73" s="13"/>
      <c r="S73" s="14"/>
      <c r="T73" s="14"/>
      <c r="U73" s="13"/>
      <c r="V73" s="13"/>
      <c r="W73" s="14"/>
    </row>
    <row r="74" spans="1:23" x14ac:dyDescent="0.3">
      <c r="A74" s="13">
        <v>70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3"/>
      <c r="O74" s="13"/>
      <c r="P74" s="14"/>
      <c r="Q74" s="13"/>
      <c r="R74" s="13"/>
      <c r="S74" s="14"/>
      <c r="T74" s="14"/>
      <c r="U74" s="13"/>
      <c r="V74" s="13"/>
      <c r="W74" s="14"/>
    </row>
    <row r="75" spans="1:23" x14ac:dyDescent="0.3">
      <c r="A75" s="13">
        <v>71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3"/>
      <c r="O75" s="13"/>
      <c r="P75" s="14"/>
      <c r="Q75" s="13"/>
      <c r="R75" s="13"/>
      <c r="S75" s="14"/>
      <c r="T75" s="14"/>
      <c r="U75" s="13"/>
      <c r="V75" s="13"/>
      <c r="W75" s="14"/>
    </row>
    <row r="76" spans="1:23" x14ac:dyDescent="0.3">
      <c r="A76" s="13">
        <v>72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3"/>
      <c r="O76" s="13"/>
      <c r="P76" s="14"/>
      <c r="Q76" s="13"/>
      <c r="R76" s="13"/>
      <c r="S76" s="14"/>
      <c r="T76" s="14"/>
      <c r="U76" s="13"/>
      <c r="V76" s="13"/>
      <c r="W76" s="14"/>
    </row>
    <row r="77" spans="1:23" x14ac:dyDescent="0.3">
      <c r="A77" s="13">
        <v>73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3"/>
      <c r="O77" s="13"/>
      <c r="P77" s="14"/>
      <c r="Q77" s="13"/>
      <c r="R77" s="13"/>
      <c r="S77" s="14"/>
      <c r="T77" s="14"/>
      <c r="U77" s="13"/>
      <c r="V77" s="13"/>
      <c r="W77" s="14"/>
    </row>
    <row r="78" spans="1:23" x14ac:dyDescent="0.3">
      <c r="A78" s="13">
        <v>74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3"/>
      <c r="O78" s="13"/>
      <c r="P78" s="14"/>
      <c r="Q78" s="13"/>
      <c r="R78" s="13"/>
      <c r="S78" s="14"/>
      <c r="T78" s="14"/>
      <c r="U78" s="13"/>
      <c r="V78" s="13"/>
      <c r="W78" s="14"/>
    </row>
    <row r="79" spans="1:23" x14ac:dyDescent="0.3">
      <c r="A79" s="13">
        <v>75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3"/>
      <c r="O79" s="13"/>
      <c r="P79" s="14"/>
      <c r="Q79" s="13"/>
      <c r="R79" s="13"/>
      <c r="S79" s="14"/>
      <c r="T79" s="14"/>
      <c r="U79" s="13"/>
      <c r="V79" s="13"/>
      <c r="W79" s="14"/>
    </row>
    <row r="80" spans="1:23" x14ac:dyDescent="0.3">
      <c r="A80" s="13">
        <v>76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3"/>
      <c r="O80" s="13"/>
      <c r="P80" s="14"/>
      <c r="Q80" s="13"/>
      <c r="R80" s="13"/>
      <c r="S80" s="14"/>
      <c r="T80" s="14"/>
      <c r="U80" s="13"/>
      <c r="V80" s="13"/>
      <c r="W80" s="14"/>
    </row>
    <row r="81" spans="1:23" x14ac:dyDescent="0.3">
      <c r="A81" s="13">
        <v>77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3"/>
      <c r="O81" s="13"/>
      <c r="P81" s="14"/>
      <c r="Q81" s="13"/>
      <c r="R81" s="13"/>
      <c r="S81" s="14"/>
      <c r="T81" s="14"/>
      <c r="U81" s="13"/>
      <c r="V81" s="13"/>
      <c r="W81" s="14"/>
    </row>
    <row r="82" spans="1:23" x14ac:dyDescent="0.3">
      <c r="A82" s="13">
        <v>78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3"/>
      <c r="O82" s="13"/>
      <c r="P82" s="14"/>
      <c r="Q82" s="13"/>
      <c r="R82" s="13"/>
      <c r="S82" s="14"/>
      <c r="T82" s="14"/>
      <c r="U82" s="13"/>
      <c r="V82" s="13"/>
      <c r="W82" s="14"/>
    </row>
    <row r="83" spans="1:23" x14ac:dyDescent="0.3">
      <c r="A83" s="13">
        <v>79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3"/>
      <c r="O83" s="13"/>
      <c r="P83" s="14"/>
      <c r="Q83" s="13"/>
      <c r="R83" s="13"/>
      <c r="S83" s="14"/>
      <c r="T83" s="14"/>
      <c r="U83" s="13"/>
      <c r="V83" s="13"/>
      <c r="W83" s="14"/>
    </row>
    <row r="84" spans="1:23" x14ac:dyDescent="0.3">
      <c r="A84" s="13">
        <v>80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3"/>
      <c r="O84" s="13"/>
      <c r="P84" s="14"/>
      <c r="Q84" s="13"/>
      <c r="R84" s="13"/>
      <c r="S84" s="14"/>
      <c r="T84" s="14"/>
      <c r="U84" s="13"/>
      <c r="V84" s="13"/>
      <c r="W84" s="14"/>
    </row>
    <row r="85" spans="1:23" x14ac:dyDescent="0.3">
      <c r="A85" s="13">
        <v>81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3"/>
      <c r="O85" s="13"/>
      <c r="P85" s="14"/>
      <c r="Q85" s="13"/>
      <c r="R85" s="13"/>
      <c r="S85" s="14"/>
      <c r="T85" s="14"/>
      <c r="U85" s="13"/>
      <c r="V85" s="13"/>
      <c r="W85" s="14"/>
    </row>
    <row r="86" spans="1:23" x14ac:dyDescent="0.3">
      <c r="A86" s="13">
        <v>82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3"/>
      <c r="O86" s="13"/>
      <c r="P86" s="14"/>
      <c r="Q86" s="13"/>
      <c r="R86" s="13"/>
      <c r="S86" s="14"/>
      <c r="T86" s="14"/>
      <c r="U86" s="13"/>
      <c r="V86" s="13"/>
      <c r="W86" s="14"/>
    </row>
    <row r="87" spans="1:23" x14ac:dyDescent="0.3">
      <c r="A87" s="13">
        <v>83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3"/>
      <c r="O87" s="13"/>
      <c r="P87" s="14"/>
      <c r="Q87" s="13"/>
      <c r="R87" s="13"/>
      <c r="S87" s="14"/>
      <c r="T87" s="14"/>
      <c r="U87" s="13"/>
      <c r="V87" s="13"/>
      <c r="W87" s="14"/>
    </row>
    <row r="88" spans="1:23" x14ac:dyDescent="0.3">
      <c r="A88" s="13">
        <v>84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3"/>
      <c r="O88" s="13"/>
      <c r="P88" s="14"/>
      <c r="Q88" s="13"/>
      <c r="R88" s="13"/>
      <c r="S88" s="14"/>
      <c r="T88" s="14"/>
      <c r="U88" s="13"/>
      <c r="V88" s="13"/>
      <c r="W88" s="14"/>
    </row>
    <row r="89" spans="1:23" x14ac:dyDescent="0.3">
      <c r="A89" s="13">
        <v>85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3"/>
      <c r="O89" s="13"/>
      <c r="P89" s="14"/>
      <c r="Q89" s="13"/>
      <c r="R89" s="13"/>
      <c r="S89" s="14"/>
      <c r="T89" s="14"/>
      <c r="U89" s="13"/>
      <c r="V89" s="13"/>
      <c r="W89" s="14"/>
    </row>
    <row r="90" spans="1:23" x14ac:dyDescent="0.3">
      <c r="A90" s="13">
        <v>86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3"/>
      <c r="O90" s="13"/>
      <c r="P90" s="14"/>
      <c r="Q90" s="13"/>
      <c r="R90" s="13"/>
      <c r="S90" s="14"/>
      <c r="T90" s="14"/>
      <c r="U90" s="13"/>
      <c r="V90" s="13"/>
      <c r="W90" s="14"/>
    </row>
    <row r="91" spans="1:23" x14ac:dyDescent="0.3">
      <c r="A91" s="13">
        <v>87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3"/>
      <c r="O91" s="13"/>
      <c r="P91" s="14"/>
      <c r="Q91" s="13"/>
      <c r="R91" s="13"/>
      <c r="S91" s="14"/>
      <c r="T91" s="14"/>
      <c r="U91" s="13"/>
      <c r="V91" s="13"/>
      <c r="W91" s="14"/>
    </row>
    <row r="92" spans="1:23" x14ac:dyDescent="0.3">
      <c r="A92" s="13">
        <v>88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3"/>
      <c r="O92" s="13"/>
      <c r="P92" s="14"/>
      <c r="Q92" s="13"/>
      <c r="R92" s="13"/>
      <c r="S92" s="14"/>
      <c r="T92" s="14"/>
      <c r="U92" s="13"/>
      <c r="V92" s="13"/>
      <c r="W92" s="14"/>
    </row>
    <row r="93" spans="1:23" x14ac:dyDescent="0.3">
      <c r="A93" s="13">
        <v>89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3"/>
      <c r="O93" s="13"/>
      <c r="P93" s="14"/>
      <c r="Q93" s="13"/>
      <c r="R93" s="13"/>
      <c r="S93" s="14"/>
      <c r="T93" s="14"/>
      <c r="U93" s="13"/>
      <c r="V93" s="13"/>
      <c r="W93" s="14"/>
    </row>
    <row r="94" spans="1:23" x14ac:dyDescent="0.3">
      <c r="A94" s="13">
        <v>90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3"/>
      <c r="O94" s="13"/>
      <c r="P94" s="14"/>
      <c r="Q94" s="13"/>
      <c r="R94" s="13"/>
      <c r="S94" s="14"/>
      <c r="T94" s="14"/>
      <c r="U94" s="13"/>
      <c r="V94" s="13"/>
      <c r="W94" s="14"/>
    </row>
    <row r="95" spans="1:23" x14ac:dyDescent="0.3">
      <c r="A95" s="13">
        <v>91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3"/>
      <c r="O95" s="13"/>
      <c r="P95" s="14"/>
      <c r="Q95" s="13"/>
      <c r="R95" s="13"/>
      <c r="S95" s="14"/>
      <c r="T95" s="14"/>
      <c r="U95" s="13"/>
      <c r="V95" s="13"/>
      <c r="W95" s="14"/>
    </row>
    <row r="96" spans="1:23" x14ac:dyDescent="0.3">
      <c r="A96" s="13">
        <v>92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3"/>
      <c r="O96" s="13"/>
      <c r="P96" s="14"/>
      <c r="Q96" s="13"/>
      <c r="R96" s="13"/>
      <c r="S96" s="14"/>
      <c r="T96" s="14"/>
      <c r="U96" s="13"/>
      <c r="V96" s="13"/>
      <c r="W96" s="14"/>
    </row>
    <row r="97" spans="1:23" x14ac:dyDescent="0.3">
      <c r="A97" s="13">
        <v>93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3"/>
      <c r="O97" s="13"/>
      <c r="P97" s="14"/>
      <c r="Q97" s="13"/>
      <c r="R97" s="13"/>
      <c r="S97" s="14"/>
      <c r="T97" s="14"/>
      <c r="U97" s="13"/>
      <c r="V97" s="13"/>
      <c r="W97" s="14"/>
    </row>
    <row r="98" spans="1:23" x14ac:dyDescent="0.3">
      <c r="A98" s="13">
        <v>94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3"/>
      <c r="O98" s="13"/>
      <c r="P98" s="14"/>
      <c r="Q98" s="13"/>
      <c r="R98" s="13"/>
      <c r="S98" s="14"/>
      <c r="T98" s="14"/>
      <c r="U98" s="13"/>
      <c r="V98" s="13"/>
      <c r="W98" s="14"/>
    </row>
    <row r="99" spans="1:23" x14ac:dyDescent="0.3">
      <c r="A99" s="13">
        <v>95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3"/>
      <c r="O99" s="13"/>
      <c r="P99" s="14"/>
      <c r="Q99" s="13"/>
      <c r="R99" s="13"/>
      <c r="S99" s="14"/>
      <c r="T99" s="14"/>
      <c r="U99" s="13"/>
      <c r="V99" s="13"/>
      <c r="W99" s="14"/>
    </row>
    <row r="100" spans="1:23" x14ac:dyDescent="0.3">
      <c r="A100" s="13">
        <v>96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3"/>
      <c r="O100" s="13"/>
      <c r="P100" s="14"/>
      <c r="Q100" s="13"/>
      <c r="R100" s="13"/>
      <c r="S100" s="14"/>
      <c r="T100" s="14"/>
      <c r="U100" s="13"/>
      <c r="V100" s="13"/>
      <c r="W100" s="14"/>
    </row>
    <row r="101" spans="1:23" x14ac:dyDescent="0.3">
      <c r="A101" s="13">
        <v>97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3"/>
      <c r="O101" s="13"/>
      <c r="P101" s="14"/>
      <c r="Q101" s="13"/>
      <c r="R101" s="13"/>
      <c r="S101" s="14"/>
      <c r="T101" s="14"/>
      <c r="U101" s="13"/>
      <c r="V101" s="13"/>
      <c r="W101" s="14"/>
    </row>
    <row r="102" spans="1:23" x14ac:dyDescent="0.3">
      <c r="A102" s="13">
        <v>98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3"/>
      <c r="O102" s="13"/>
      <c r="P102" s="14"/>
      <c r="Q102" s="13"/>
      <c r="R102" s="13"/>
      <c r="S102" s="14"/>
      <c r="T102" s="14"/>
      <c r="U102" s="13"/>
      <c r="V102" s="13"/>
      <c r="W102" s="14"/>
    </row>
    <row r="103" spans="1:23" x14ac:dyDescent="0.3">
      <c r="A103" s="13">
        <v>99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3"/>
      <c r="O103" s="13"/>
      <c r="P103" s="14"/>
      <c r="Q103" s="13"/>
      <c r="R103" s="13"/>
      <c r="S103" s="14"/>
      <c r="T103" s="14"/>
      <c r="U103" s="13"/>
      <c r="V103" s="13"/>
      <c r="W103" s="14"/>
    </row>
    <row r="104" spans="1:23" x14ac:dyDescent="0.3">
      <c r="A104" s="13">
        <v>100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3"/>
      <c r="O104" s="13"/>
      <c r="P104" s="14"/>
      <c r="Q104" s="13"/>
      <c r="R104" s="13"/>
      <c r="S104" s="14"/>
      <c r="T104" s="14"/>
      <c r="U104" s="13"/>
      <c r="V104" s="13"/>
      <c r="W104" s="14"/>
    </row>
    <row r="105" spans="1:23" x14ac:dyDescent="0.3">
      <c r="A105" s="13">
        <v>101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3"/>
      <c r="O105" s="13"/>
      <c r="P105" s="14"/>
      <c r="Q105" s="13"/>
      <c r="R105" s="13"/>
      <c r="S105" s="14"/>
      <c r="T105" s="14"/>
      <c r="U105" s="13"/>
      <c r="V105" s="13"/>
      <c r="W105" s="14"/>
    </row>
    <row r="106" spans="1:23" x14ac:dyDescent="0.3">
      <c r="A106" s="13">
        <v>102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3"/>
      <c r="O106" s="13"/>
      <c r="P106" s="14"/>
      <c r="Q106" s="13"/>
      <c r="R106" s="13"/>
      <c r="S106" s="14"/>
      <c r="T106" s="14"/>
      <c r="U106" s="13"/>
      <c r="V106" s="13"/>
      <c r="W106" s="14"/>
    </row>
    <row r="107" spans="1:23" x14ac:dyDescent="0.3">
      <c r="A107" s="13">
        <v>103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3"/>
      <c r="O107" s="13"/>
      <c r="P107" s="14"/>
      <c r="Q107" s="13"/>
      <c r="R107" s="13"/>
      <c r="S107" s="14"/>
      <c r="T107" s="14"/>
      <c r="U107" s="13"/>
      <c r="V107" s="13"/>
      <c r="W107" s="14"/>
    </row>
    <row r="108" spans="1:23" x14ac:dyDescent="0.3">
      <c r="A108" s="13">
        <v>104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3"/>
      <c r="O108" s="13"/>
      <c r="P108" s="14"/>
      <c r="Q108" s="13"/>
      <c r="R108" s="13"/>
      <c r="S108" s="14"/>
      <c r="T108" s="14"/>
      <c r="U108" s="13"/>
      <c r="V108" s="13"/>
      <c r="W108" s="14"/>
    </row>
    <row r="109" spans="1:23" x14ac:dyDescent="0.3">
      <c r="A109" s="13">
        <v>105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3"/>
      <c r="O109" s="13"/>
      <c r="P109" s="14"/>
      <c r="Q109" s="13"/>
      <c r="R109" s="13"/>
      <c r="S109" s="14"/>
      <c r="T109" s="14"/>
      <c r="U109" s="13"/>
      <c r="V109" s="13"/>
      <c r="W109" s="14"/>
    </row>
    <row r="110" spans="1:23" x14ac:dyDescent="0.3">
      <c r="A110" s="13">
        <v>106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3"/>
      <c r="O110" s="13"/>
      <c r="P110" s="14"/>
      <c r="Q110" s="13"/>
      <c r="R110" s="13"/>
      <c r="S110" s="14"/>
      <c r="T110" s="14"/>
      <c r="U110" s="13"/>
      <c r="V110" s="13"/>
      <c r="W110" s="14"/>
    </row>
    <row r="111" spans="1:23" x14ac:dyDescent="0.3">
      <c r="A111" s="13">
        <v>107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3"/>
      <c r="O111" s="13"/>
      <c r="P111" s="14"/>
      <c r="Q111" s="13"/>
      <c r="R111" s="13"/>
      <c r="S111" s="14"/>
      <c r="T111" s="14"/>
      <c r="U111" s="13"/>
      <c r="V111" s="13"/>
      <c r="W111" s="14"/>
    </row>
    <row r="112" spans="1:23" x14ac:dyDescent="0.3">
      <c r="A112" s="13">
        <v>108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3"/>
      <c r="O112" s="13"/>
      <c r="P112" s="14"/>
      <c r="Q112" s="13"/>
      <c r="R112" s="13"/>
      <c r="S112" s="14"/>
      <c r="T112" s="14"/>
      <c r="U112" s="13"/>
      <c r="V112" s="13"/>
      <c r="W112" s="14"/>
    </row>
    <row r="113" spans="1:23" x14ac:dyDescent="0.3">
      <c r="A113" s="13">
        <v>109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3"/>
      <c r="O113" s="13"/>
      <c r="P113" s="14"/>
      <c r="Q113" s="13"/>
      <c r="R113" s="13"/>
      <c r="S113" s="14"/>
      <c r="T113" s="14"/>
      <c r="U113" s="13"/>
      <c r="V113" s="13"/>
      <c r="W113" s="14"/>
    </row>
    <row r="114" spans="1:23" x14ac:dyDescent="0.3">
      <c r="A114" s="13">
        <v>110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3"/>
      <c r="O114" s="13"/>
      <c r="P114" s="14"/>
      <c r="Q114" s="13"/>
      <c r="R114" s="13"/>
      <c r="S114" s="14"/>
      <c r="T114" s="14"/>
      <c r="U114" s="13"/>
      <c r="V114" s="13"/>
      <c r="W114" s="14"/>
    </row>
    <row r="115" spans="1:23" x14ac:dyDescent="0.3">
      <c r="A115" s="13">
        <v>111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3"/>
      <c r="O115" s="13"/>
      <c r="P115" s="14"/>
      <c r="Q115" s="13"/>
      <c r="R115" s="13"/>
      <c r="S115" s="14"/>
      <c r="T115" s="14"/>
      <c r="U115" s="13"/>
      <c r="V115" s="13"/>
      <c r="W115" s="14"/>
    </row>
    <row r="116" spans="1:23" x14ac:dyDescent="0.3">
      <c r="A116" s="13">
        <v>112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3"/>
      <c r="O116" s="13"/>
      <c r="P116" s="14"/>
      <c r="Q116" s="13"/>
      <c r="R116" s="13"/>
      <c r="S116" s="14"/>
      <c r="T116" s="14"/>
      <c r="U116" s="13"/>
      <c r="V116" s="13"/>
      <c r="W116" s="14"/>
    </row>
    <row r="117" spans="1:23" x14ac:dyDescent="0.3">
      <c r="A117" s="13">
        <v>113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3"/>
      <c r="O117" s="13"/>
      <c r="P117" s="14"/>
      <c r="Q117" s="13"/>
      <c r="R117" s="13"/>
      <c r="S117" s="14"/>
      <c r="T117" s="14"/>
      <c r="U117" s="13"/>
      <c r="V117" s="13"/>
      <c r="W117" s="14"/>
    </row>
    <row r="118" spans="1:23" x14ac:dyDescent="0.3">
      <c r="A118" s="13">
        <v>114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3"/>
      <c r="O118" s="13"/>
      <c r="P118" s="14"/>
      <c r="Q118" s="13"/>
      <c r="R118" s="13"/>
      <c r="S118" s="14"/>
      <c r="T118" s="14"/>
      <c r="U118" s="13"/>
      <c r="V118" s="13"/>
      <c r="W118" s="14"/>
    </row>
    <row r="119" spans="1:23" x14ac:dyDescent="0.3">
      <c r="A119" s="13">
        <v>115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3"/>
      <c r="O119" s="13"/>
      <c r="P119" s="14"/>
      <c r="Q119" s="13"/>
      <c r="R119" s="13"/>
      <c r="S119" s="14"/>
      <c r="T119" s="14"/>
      <c r="U119" s="13"/>
      <c r="V119" s="13"/>
      <c r="W119" s="14"/>
    </row>
    <row r="120" spans="1:23" x14ac:dyDescent="0.3">
      <c r="A120" s="13">
        <v>116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3"/>
      <c r="O120" s="13"/>
      <c r="P120" s="14"/>
      <c r="Q120" s="13"/>
      <c r="R120" s="13"/>
      <c r="S120" s="14"/>
      <c r="T120" s="14"/>
      <c r="U120" s="13"/>
      <c r="V120" s="13"/>
      <c r="W120" s="14"/>
    </row>
    <row r="121" spans="1:23" x14ac:dyDescent="0.3">
      <c r="A121" s="13">
        <v>117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3"/>
      <c r="O121" s="13"/>
      <c r="P121" s="14"/>
      <c r="Q121" s="13"/>
      <c r="R121" s="13"/>
      <c r="S121" s="14"/>
      <c r="T121" s="14"/>
      <c r="U121" s="13"/>
      <c r="V121" s="13"/>
      <c r="W121" s="14"/>
    </row>
    <row r="122" spans="1:23" x14ac:dyDescent="0.3">
      <c r="A122" s="13">
        <v>118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3"/>
      <c r="O122" s="13"/>
      <c r="P122" s="14"/>
      <c r="Q122" s="13"/>
      <c r="R122" s="13"/>
      <c r="S122" s="14"/>
      <c r="T122" s="14"/>
      <c r="U122" s="13"/>
      <c r="V122" s="13"/>
      <c r="W122" s="14"/>
    </row>
    <row r="123" spans="1:23" x14ac:dyDescent="0.3">
      <c r="A123" s="13">
        <v>119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3"/>
      <c r="O123" s="13"/>
      <c r="P123" s="14"/>
      <c r="Q123" s="13"/>
      <c r="R123" s="13"/>
      <c r="S123" s="14"/>
      <c r="T123" s="14"/>
      <c r="U123" s="13"/>
      <c r="V123" s="13"/>
      <c r="W123" s="14"/>
    </row>
    <row r="124" spans="1:23" x14ac:dyDescent="0.3">
      <c r="A124" s="13">
        <v>120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3"/>
      <c r="O124" s="13"/>
      <c r="P124" s="14"/>
      <c r="Q124" s="13"/>
      <c r="R124" s="13"/>
      <c r="S124" s="14"/>
      <c r="T124" s="14"/>
      <c r="U124" s="13"/>
      <c r="V124" s="13"/>
      <c r="W124" s="14"/>
    </row>
    <row r="125" spans="1:23" x14ac:dyDescent="0.3">
      <c r="A125" s="13">
        <v>121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3"/>
      <c r="O125" s="13"/>
      <c r="P125" s="14"/>
      <c r="Q125" s="13"/>
      <c r="R125" s="13"/>
      <c r="S125" s="14"/>
      <c r="T125" s="14"/>
      <c r="U125" s="13"/>
      <c r="V125" s="13"/>
      <c r="W125" s="14"/>
    </row>
    <row r="126" spans="1:23" x14ac:dyDescent="0.3">
      <c r="A126" s="13">
        <v>122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3"/>
      <c r="O126" s="13"/>
      <c r="P126" s="14"/>
      <c r="Q126" s="13"/>
      <c r="R126" s="13"/>
      <c r="S126" s="14"/>
      <c r="T126" s="14"/>
      <c r="U126" s="13"/>
      <c r="V126" s="13"/>
      <c r="W126" s="14"/>
    </row>
    <row r="127" spans="1:23" x14ac:dyDescent="0.3">
      <c r="A127" s="13">
        <v>123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3"/>
      <c r="O127" s="13"/>
      <c r="P127" s="14"/>
      <c r="Q127" s="13"/>
      <c r="R127" s="13"/>
      <c r="S127" s="14"/>
      <c r="T127" s="14"/>
      <c r="U127" s="13"/>
      <c r="V127" s="13"/>
      <c r="W127" s="14"/>
    </row>
    <row r="128" spans="1:23" x14ac:dyDescent="0.3">
      <c r="A128" s="13">
        <v>124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3"/>
      <c r="O128" s="13"/>
      <c r="P128" s="14"/>
      <c r="Q128" s="13"/>
      <c r="R128" s="13"/>
      <c r="S128" s="14"/>
      <c r="T128" s="14"/>
      <c r="U128" s="13"/>
      <c r="V128" s="13"/>
      <c r="W128" s="14"/>
    </row>
    <row r="129" spans="1:23" x14ac:dyDescent="0.3">
      <c r="A129" s="13">
        <v>125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3"/>
      <c r="O129" s="13"/>
      <c r="P129" s="14"/>
      <c r="Q129" s="13"/>
      <c r="R129" s="13"/>
      <c r="S129" s="14"/>
      <c r="T129" s="14"/>
      <c r="U129" s="13"/>
      <c r="V129" s="13"/>
      <c r="W129" s="14"/>
    </row>
    <row r="130" spans="1:23" x14ac:dyDescent="0.3">
      <c r="A130" s="13">
        <v>126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3"/>
      <c r="O130" s="13"/>
      <c r="P130" s="14"/>
      <c r="Q130" s="13"/>
      <c r="R130" s="13"/>
      <c r="S130" s="14"/>
      <c r="T130" s="14"/>
      <c r="U130" s="13"/>
      <c r="V130" s="13"/>
      <c r="W130" s="14"/>
    </row>
    <row r="131" spans="1:23" x14ac:dyDescent="0.3">
      <c r="A131" s="13">
        <v>127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3"/>
      <c r="O131" s="13"/>
      <c r="P131" s="14"/>
      <c r="Q131" s="13"/>
      <c r="R131" s="13"/>
      <c r="S131" s="14"/>
      <c r="T131" s="14"/>
      <c r="U131" s="13"/>
      <c r="V131" s="13"/>
      <c r="W131" s="14"/>
    </row>
    <row r="132" spans="1:23" x14ac:dyDescent="0.3">
      <c r="A132" s="13">
        <v>128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3"/>
      <c r="O132" s="13"/>
      <c r="P132" s="14"/>
      <c r="Q132" s="13"/>
      <c r="R132" s="13"/>
      <c r="S132" s="14"/>
      <c r="T132" s="14"/>
      <c r="U132" s="13"/>
      <c r="V132" s="13"/>
      <c r="W132" s="14"/>
    </row>
    <row r="133" spans="1:23" x14ac:dyDescent="0.3">
      <c r="A133" s="13">
        <v>129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3"/>
      <c r="O133" s="13"/>
      <c r="P133" s="14"/>
      <c r="Q133" s="13"/>
      <c r="R133" s="13"/>
      <c r="S133" s="14"/>
      <c r="T133" s="14"/>
      <c r="U133" s="13"/>
      <c r="V133" s="13"/>
      <c r="W133" s="14"/>
    </row>
    <row r="134" spans="1:23" x14ac:dyDescent="0.3">
      <c r="A134" s="13">
        <v>130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3"/>
      <c r="O134" s="13"/>
      <c r="P134" s="14"/>
      <c r="Q134" s="13"/>
      <c r="R134" s="13"/>
      <c r="S134" s="14"/>
      <c r="T134" s="14"/>
      <c r="U134" s="13"/>
      <c r="V134" s="13"/>
      <c r="W134" s="14"/>
    </row>
    <row r="135" spans="1:23" x14ac:dyDescent="0.3">
      <c r="A135" s="13">
        <v>131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3"/>
      <c r="O135" s="13"/>
      <c r="P135" s="14"/>
      <c r="Q135" s="13"/>
      <c r="R135" s="13"/>
      <c r="S135" s="14"/>
      <c r="T135" s="14"/>
      <c r="U135" s="13"/>
      <c r="V135" s="13"/>
      <c r="W135" s="14"/>
    </row>
    <row r="136" spans="1:23" x14ac:dyDescent="0.3">
      <c r="A136" s="13">
        <v>132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3"/>
      <c r="O136" s="13"/>
      <c r="P136" s="14"/>
      <c r="Q136" s="13"/>
      <c r="R136" s="13"/>
      <c r="S136" s="14"/>
      <c r="T136" s="14"/>
      <c r="U136" s="13"/>
      <c r="V136" s="13"/>
      <c r="W136" s="14"/>
    </row>
    <row r="137" spans="1:23" x14ac:dyDescent="0.3">
      <c r="A137" s="13">
        <v>133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3"/>
      <c r="O137" s="13"/>
      <c r="P137" s="14"/>
      <c r="Q137" s="13"/>
      <c r="R137" s="13"/>
      <c r="S137" s="14"/>
      <c r="T137" s="14"/>
      <c r="U137" s="13"/>
      <c r="V137" s="13"/>
      <c r="W137" s="14"/>
    </row>
    <row r="138" spans="1:23" x14ac:dyDescent="0.3">
      <c r="A138" s="13">
        <v>134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3"/>
      <c r="O138" s="13"/>
      <c r="P138" s="14"/>
      <c r="Q138" s="13"/>
      <c r="R138" s="13"/>
      <c r="S138" s="14"/>
      <c r="T138" s="14"/>
      <c r="U138" s="13"/>
      <c r="V138" s="13"/>
      <c r="W138" s="14"/>
    </row>
    <row r="139" spans="1:23" x14ac:dyDescent="0.3">
      <c r="A139" s="13">
        <v>135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3"/>
      <c r="O139" s="13"/>
      <c r="P139" s="14"/>
      <c r="Q139" s="13"/>
      <c r="R139" s="13"/>
      <c r="S139" s="14"/>
      <c r="T139" s="14"/>
      <c r="U139" s="13"/>
      <c r="V139" s="13"/>
      <c r="W139" s="14"/>
    </row>
    <row r="140" spans="1:23" x14ac:dyDescent="0.3">
      <c r="A140" s="13">
        <v>136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3"/>
      <c r="O140" s="13"/>
      <c r="P140" s="14"/>
      <c r="Q140" s="13"/>
      <c r="R140" s="13"/>
      <c r="S140" s="14"/>
      <c r="T140" s="14"/>
      <c r="U140" s="13"/>
      <c r="V140" s="13"/>
      <c r="W140" s="14"/>
    </row>
    <row r="141" spans="1:23" x14ac:dyDescent="0.3">
      <c r="A141" s="13">
        <v>137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3"/>
      <c r="O141" s="13"/>
      <c r="P141" s="14"/>
      <c r="Q141" s="13"/>
      <c r="R141" s="13"/>
      <c r="S141" s="14"/>
      <c r="T141" s="14"/>
      <c r="U141" s="13"/>
      <c r="V141" s="13"/>
      <c r="W141" s="14"/>
    </row>
    <row r="142" spans="1:23" x14ac:dyDescent="0.3">
      <c r="A142" s="13">
        <v>138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3"/>
      <c r="O142" s="13"/>
      <c r="P142" s="14"/>
      <c r="Q142" s="13"/>
      <c r="R142" s="13"/>
      <c r="S142" s="14"/>
      <c r="T142" s="14"/>
      <c r="U142" s="13"/>
      <c r="V142" s="13"/>
      <c r="W142" s="14"/>
    </row>
    <row r="143" spans="1:23" x14ac:dyDescent="0.3">
      <c r="A143" s="13">
        <v>139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3"/>
      <c r="O143" s="13"/>
      <c r="P143" s="14"/>
      <c r="Q143" s="13"/>
      <c r="R143" s="13"/>
      <c r="S143" s="14"/>
      <c r="T143" s="14"/>
      <c r="U143" s="13"/>
      <c r="V143" s="13"/>
      <c r="W143" s="14"/>
    </row>
    <row r="144" spans="1:23" x14ac:dyDescent="0.3">
      <c r="A144" s="13">
        <v>140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3"/>
      <c r="O144" s="13"/>
      <c r="P144" s="14"/>
      <c r="Q144" s="13"/>
      <c r="R144" s="13"/>
      <c r="S144" s="14"/>
      <c r="T144" s="14"/>
      <c r="U144" s="13"/>
      <c r="V144" s="13"/>
      <c r="W144" s="14"/>
    </row>
    <row r="145" spans="1:23" x14ac:dyDescent="0.3">
      <c r="A145" s="13">
        <v>141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3"/>
      <c r="O145" s="13"/>
      <c r="P145" s="14"/>
      <c r="Q145" s="13"/>
      <c r="R145" s="13"/>
      <c r="S145" s="14"/>
      <c r="T145" s="14"/>
      <c r="U145" s="13"/>
      <c r="V145" s="13"/>
      <c r="W145" s="14"/>
    </row>
    <row r="146" spans="1:23" x14ac:dyDescent="0.3">
      <c r="A146" s="13">
        <v>142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3"/>
      <c r="O146" s="13"/>
      <c r="P146" s="14"/>
      <c r="Q146" s="13"/>
      <c r="R146" s="13"/>
      <c r="S146" s="14"/>
      <c r="T146" s="14"/>
      <c r="U146" s="13"/>
      <c r="V146" s="13"/>
      <c r="W146" s="14"/>
    </row>
    <row r="147" spans="1:23" x14ac:dyDescent="0.3">
      <c r="A147" s="13">
        <v>143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3"/>
      <c r="O147" s="13"/>
      <c r="P147" s="14"/>
      <c r="Q147" s="13"/>
      <c r="R147" s="13"/>
      <c r="S147" s="14"/>
      <c r="T147" s="14"/>
      <c r="U147" s="13"/>
      <c r="V147" s="13"/>
      <c r="W147" s="14"/>
    </row>
    <row r="148" spans="1:23" x14ac:dyDescent="0.3">
      <c r="A148" s="13">
        <v>144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3"/>
      <c r="O148" s="13"/>
      <c r="P148" s="14"/>
      <c r="Q148" s="13"/>
      <c r="R148" s="13"/>
      <c r="S148" s="14"/>
      <c r="T148" s="14"/>
      <c r="U148" s="13"/>
      <c r="V148" s="13"/>
      <c r="W148" s="14"/>
    </row>
    <row r="149" spans="1:23" x14ac:dyDescent="0.3">
      <c r="A149" s="13">
        <v>145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3"/>
      <c r="O149" s="13"/>
      <c r="P149" s="14"/>
      <c r="Q149" s="13"/>
      <c r="R149" s="13"/>
      <c r="S149" s="14"/>
      <c r="T149" s="14"/>
      <c r="U149" s="13"/>
      <c r="V149" s="13"/>
      <c r="W149" s="14"/>
    </row>
    <row r="150" spans="1:23" x14ac:dyDescent="0.3">
      <c r="A150" s="13">
        <v>146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3"/>
      <c r="O150" s="13"/>
      <c r="P150" s="14"/>
      <c r="Q150" s="13"/>
      <c r="R150" s="13"/>
      <c r="S150" s="14"/>
      <c r="T150" s="14"/>
      <c r="U150" s="13"/>
      <c r="V150" s="13"/>
      <c r="W150" s="14"/>
    </row>
    <row r="151" spans="1:23" x14ac:dyDescent="0.3">
      <c r="A151" s="13">
        <v>147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3"/>
      <c r="O151" s="13"/>
      <c r="P151" s="14"/>
      <c r="Q151" s="13"/>
      <c r="R151" s="13"/>
      <c r="S151" s="14"/>
      <c r="T151" s="14"/>
      <c r="U151" s="13"/>
      <c r="V151" s="13"/>
      <c r="W151" s="14"/>
    </row>
    <row r="152" spans="1:23" x14ac:dyDescent="0.3">
      <c r="A152" s="13">
        <v>148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3"/>
      <c r="O152" s="13"/>
      <c r="P152" s="14"/>
      <c r="Q152" s="13"/>
      <c r="R152" s="13"/>
      <c r="S152" s="14"/>
      <c r="T152" s="14"/>
      <c r="U152" s="13"/>
      <c r="V152" s="13"/>
      <c r="W152" s="14"/>
    </row>
    <row r="153" spans="1:23" x14ac:dyDescent="0.3">
      <c r="A153" s="13">
        <v>149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3"/>
      <c r="O153" s="13"/>
      <c r="P153" s="14"/>
      <c r="Q153" s="13"/>
      <c r="R153" s="13"/>
      <c r="S153" s="14"/>
      <c r="T153" s="14"/>
      <c r="U153" s="13"/>
      <c r="V153" s="13"/>
      <c r="W153" s="14"/>
    </row>
    <row r="154" spans="1:23" x14ac:dyDescent="0.3">
      <c r="A154" s="13">
        <v>150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3"/>
      <c r="O154" s="13"/>
      <c r="P154" s="14"/>
      <c r="Q154" s="13"/>
      <c r="R154" s="13"/>
      <c r="S154" s="14"/>
      <c r="T154" s="14"/>
      <c r="U154" s="13"/>
      <c r="V154" s="13"/>
      <c r="W154" s="14"/>
    </row>
    <row r="155" spans="1:23" x14ac:dyDescent="0.3">
      <c r="A155" s="13">
        <v>151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3"/>
      <c r="O155" s="13"/>
      <c r="P155" s="14"/>
      <c r="Q155" s="13"/>
      <c r="R155" s="13"/>
      <c r="S155" s="14"/>
      <c r="T155" s="14"/>
      <c r="U155" s="13"/>
      <c r="V155" s="13"/>
      <c r="W155" s="14"/>
    </row>
    <row r="156" spans="1:23" x14ac:dyDescent="0.3">
      <c r="A156" s="13">
        <v>152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3"/>
      <c r="O156" s="13"/>
      <c r="P156" s="14"/>
      <c r="Q156" s="13"/>
      <c r="R156" s="13"/>
      <c r="S156" s="14"/>
      <c r="T156" s="14"/>
      <c r="U156" s="13"/>
      <c r="V156" s="13"/>
      <c r="W156" s="14"/>
    </row>
    <row r="157" spans="1:23" x14ac:dyDescent="0.3">
      <c r="A157" s="13">
        <v>153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3"/>
      <c r="O157" s="13"/>
      <c r="P157" s="14"/>
      <c r="Q157" s="13"/>
      <c r="R157" s="13"/>
      <c r="S157" s="14"/>
      <c r="T157" s="14"/>
      <c r="U157" s="13"/>
      <c r="V157" s="13"/>
      <c r="W157" s="14"/>
    </row>
    <row r="158" spans="1:23" x14ac:dyDescent="0.3">
      <c r="A158" s="13">
        <v>154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3"/>
      <c r="O158" s="13"/>
      <c r="P158" s="14"/>
      <c r="Q158" s="13"/>
      <c r="R158" s="13"/>
      <c r="S158" s="14"/>
      <c r="T158" s="14"/>
      <c r="U158" s="13"/>
      <c r="V158" s="13"/>
      <c r="W158" s="14"/>
    </row>
    <row r="159" spans="1:23" x14ac:dyDescent="0.3">
      <c r="A159" s="13">
        <v>155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3"/>
      <c r="O159" s="13"/>
      <c r="P159" s="14"/>
      <c r="Q159" s="13"/>
      <c r="R159" s="13"/>
      <c r="S159" s="14"/>
      <c r="T159" s="14"/>
      <c r="U159" s="13"/>
      <c r="V159" s="13"/>
      <c r="W159" s="14"/>
    </row>
    <row r="160" spans="1:23" x14ac:dyDescent="0.3">
      <c r="A160" s="13">
        <v>156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3"/>
      <c r="O160" s="13"/>
      <c r="P160" s="14"/>
      <c r="Q160" s="13"/>
      <c r="R160" s="13"/>
      <c r="S160" s="14"/>
      <c r="T160" s="14"/>
      <c r="U160" s="13"/>
      <c r="V160" s="13"/>
      <c r="W160" s="14"/>
    </row>
    <row r="161" spans="1:23" x14ac:dyDescent="0.3">
      <c r="A161" s="13">
        <v>157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3"/>
      <c r="O161" s="13"/>
      <c r="P161" s="14"/>
      <c r="Q161" s="13"/>
      <c r="R161" s="13"/>
      <c r="S161" s="14"/>
      <c r="T161" s="14"/>
      <c r="U161" s="13"/>
      <c r="V161" s="13"/>
      <c r="W161" s="14"/>
    </row>
    <row r="162" spans="1:23" x14ac:dyDescent="0.3">
      <c r="A162" s="13">
        <v>158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3"/>
      <c r="O162" s="13"/>
      <c r="P162" s="14"/>
      <c r="Q162" s="13"/>
      <c r="R162" s="13"/>
      <c r="S162" s="14"/>
      <c r="T162" s="14"/>
      <c r="U162" s="13"/>
      <c r="V162" s="13"/>
      <c r="W162" s="14"/>
    </row>
    <row r="163" spans="1:23" x14ac:dyDescent="0.3">
      <c r="A163" s="13">
        <v>159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3"/>
      <c r="O163" s="13"/>
      <c r="P163" s="14"/>
      <c r="Q163" s="13"/>
      <c r="R163" s="13"/>
      <c r="S163" s="14"/>
      <c r="T163" s="14"/>
      <c r="U163" s="13"/>
      <c r="V163" s="13"/>
      <c r="W163" s="14"/>
    </row>
    <row r="164" spans="1:23" x14ac:dyDescent="0.3">
      <c r="A164" s="13">
        <v>160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3"/>
      <c r="O164" s="13"/>
      <c r="P164" s="14"/>
      <c r="Q164" s="13"/>
      <c r="R164" s="13"/>
      <c r="S164" s="14"/>
      <c r="T164" s="14"/>
      <c r="U164" s="13"/>
      <c r="V164" s="13"/>
      <c r="W164" s="14"/>
    </row>
    <row r="165" spans="1:23" x14ac:dyDescent="0.3">
      <c r="A165" s="13">
        <v>161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3"/>
      <c r="O165" s="13"/>
      <c r="P165" s="14"/>
      <c r="Q165" s="13"/>
      <c r="R165" s="13"/>
      <c r="S165" s="14"/>
      <c r="T165" s="14"/>
      <c r="U165" s="13"/>
      <c r="V165" s="13"/>
      <c r="W165" s="14"/>
    </row>
    <row r="166" spans="1:23" x14ac:dyDescent="0.3">
      <c r="A166" s="13">
        <v>162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3"/>
      <c r="O166" s="13"/>
      <c r="P166" s="14"/>
      <c r="Q166" s="13"/>
      <c r="R166" s="13"/>
      <c r="S166" s="14"/>
      <c r="T166" s="14"/>
      <c r="U166" s="13"/>
      <c r="V166" s="13"/>
      <c r="W166" s="14"/>
    </row>
    <row r="167" spans="1:23" x14ac:dyDescent="0.3">
      <c r="A167" s="13">
        <v>163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3"/>
      <c r="O167" s="13"/>
      <c r="P167" s="14"/>
      <c r="Q167" s="13"/>
      <c r="R167" s="13"/>
      <c r="S167" s="14"/>
      <c r="T167" s="14"/>
      <c r="U167" s="13"/>
      <c r="V167" s="13"/>
      <c r="W167" s="14"/>
    </row>
    <row r="168" spans="1:23" x14ac:dyDescent="0.3">
      <c r="A168" s="13">
        <v>164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3"/>
      <c r="O168" s="13"/>
      <c r="P168" s="14"/>
      <c r="Q168" s="13"/>
      <c r="R168" s="13"/>
      <c r="S168" s="14"/>
      <c r="T168" s="14"/>
      <c r="U168" s="13"/>
      <c r="V168" s="13"/>
      <c r="W168" s="14"/>
    </row>
    <row r="169" spans="1:23" x14ac:dyDescent="0.3">
      <c r="A169" s="13">
        <v>165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3"/>
      <c r="O169" s="13"/>
      <c r="P169" s="14"/>
      <c r="Q169" s="13"/>
      <c r="R169" s="13"/>
      <c r="S169" s="14"/>
      <c r="T169" s="14"/>
      <c r="U169" s="13"/>
      <c r="V169" s="13"/>
      <c r="W169" s="14"/>
    </row>
    <row r="170" spans="1:23" x14ac:dyDescent="0.3">
      <c r="A170" s="13">
        <v>166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3"/>
      <c r="O170" s="13"/>
      <c r="P170" s="14"/>
      <c r="Q170" s="13"/>
      <c r="R170" s="13"/>
      <c r="S170" s="14"/>
      <c r="T170" s="14"/>
      <c r="U170" s="13"/>
      <c r="V170" s="13"/>
      <c r="W170" s="14"/>
    </row>
    <row r="171" spans="1:23" x14ac:dyDescent="0.3">
      <c r="A171" s="13">
        <v>167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3"/>
      <c r="O171" s="13"/>
      <c r="P171" s="14"/>
      <c r="Q171" s="13"/>
      <c r="R171" s="13"/>
      <c r="S171" s="14"/>
      <c r="T171" s="14"/>
      <c r="U171" s="13"/>
      <c r="V171" s="13"/>
      <c r="W171" s="14"/>
    </row>
    <row r="172" spans="1:23" x14ac:dyDescent="0.3">
      <c r="A172" s="13">
        <v>168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3"/>
      <c r="O172" s="13"/>
      <c r="P172" s="14"/>
      <c r="Q172" s="13"/>
      <c r="R172" s="13"/>
      <c r="S172" s="14"/>
      <c r="T172" s="14"/>
      <c r="U172" s="13"/>
      <c r="V172" s="13"/>
      <c r="W172" s="14"/>
    </row>
    <row r="173" spans="1:23" x14ac:dyDescent="0.3">
      <c r="A173" s="13">
        <v>169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3"/>
      <c r="O173" s="13"/>
      <c r="P173" s="14"/>
      <c r="Q173" s="13"/>
      <c r="R173" s="13"/>
      <c r="S173" s="14"/>
      <c r="T173" s="14"/>
      <c r="U173" s="13"/>
      <c r="V173" s="13"/>
      <c r="W173" s="14"/>
    </row>
    <row r="174" spans="1:23" x14ac:dyDescent="0.3">
      <c r="A174" s="13">
        <v>170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3"/>
      <c r="O174" s="13"/>
      <c r="P174" s="14"/>
      <c r="Q174" s="13"/>
      <c r="R174" s="13"/>
      <c r="S174" s="14"/>
      <c r="T174" s="14"/>
      <c r="U174" s="13"/>
      <c r="V174" s="13"/>
      <c r="W174" s="14"/>
    </row>
    <row r="175" spans="1:23" x14ac:dyDescent="0.3">
      <c r="A175" s="13">
        <v>171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3"/>
      <c r="O175" s="13"/>
      <c r="P175" s="14"/>
      <c r="Q175" s="13"/>
      <c r="R175" s="13"/>
      <c r="S175" s="14"/>
      <c r="T175" s="14"/>
      <c r="U175" s="13"/>
      <c r="V175" s="13"/>
      <c r="W175" s="14"/>
    </row>
    <row r="176" spans="1:23" x14ac:dyDescent="0.3">
      <c r="A176" s="13">
        <v>172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3"/>
      <c r="O176" s="13"/>
      <c r="P176" s="14"/>
      <c r="Q176" s="13"/>
      <c r="R176" s="13"/>
      <c r="S176" s="14"/>
      <c r="T176" s="14"/>
      <c r="U176" s="13"/>
      <c r="V176" s="13"/>
      <c r="W176" s="14"/>
    </row>
    <row r="177" spans="1:23" x14ac:dyDescent="0.3">
      <c r="A177" s="13">
        <v>173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3"/>
      <c r="O177" s="13"/>
      <c r="P177" s="14"/>
      <c r="Q177" s="13"/>
      <c r="R177" s="13"/>
      <c r="S177" s="14"/>
      <c r="T177" s="14"/>
      <c r="U177" s="13"/>
      <c r="V177" s="13"/>
      <c r="W177" s="14"/>
    </row>
    <row r="178" spans="1:23" x14ac:dyDescent="0.3">
      <c r="A178" s="13">
        <v>174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3"/>
      <c r="O178" s="13"/>
      <c r="P178" s="14"/>
      <c r="Q178" s="13"/>
      <c r="R178" s="13"/>
      <c r="S178" s="14"/>
      <c r="T178" s="14"/>
      <c r="U178" s="13"/>
      <c r="V178" s="13"/>
      <c r="W178" s="14"/>
    </row>
    <row r="179" spans="1:23" x14ac:dyDescent="0.3">
      <c r="A179" s="13">
        <v>175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3"/>
      <c r="O179" s="13"/>
      <c r="P179" s="14"/>
      <c r="Q179" s="13"/>
      <c r="R179" s="13"/>
      <c r="S179" s="14"/>
      <c r="T179" s="14"/>
      <c r="U179" s="13"/>
      <c r="V179" s="13"/>
      <c r="W179" s="14"/>
    </row>
    <row r="180" spans="1:23" x14ac:dyDescent="0.3">
      <c r="A180" s="13">
        <v>176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3"/>
      <c r="O180" s="13"/>
      <c r="P180" s="14"/>
      <c r="Q180" s="13"/>
      <c r="R180" s="13"/>
      <c r="S180" s="14"/>
      <c r="T180" s="14"/>
      <c r="U180" s="13"/>
      <c r="V180" s="13"/>
      <c r="W180" s="14"/>
    </row>
    <row r="181" spans="1:23" x14ac:dyDescent="0.3">
      <c r="A181" s="13">
        <v>177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3"/>
      <c r="O181" s="13"/>
      <c r="P181" s="14"/>
      <c r="Q181" s="13"/>
      <c r="R181" s="13"/>
      <c r="S181" s="14"/>
      <c r="T181" s="14"/>
      <c r="U181" s="13"/>
      <c r="V181" s="13"/>
      <c r="W181" s="14"/>
    </row>
    <row r="182" spans="1:23" x14ac:dyDescent="0.3">
      <c r="A182" s="13">
        <v>178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3"/>
      <c r="O182" s="13"/>
      <c r="P182" s="14"/>
      <c r="Q182" s="13"/>
      <c r="R182" s="13"/>
      <c r="S182" s="14"/>
      <c r="T182" s="14"/>
      <c r="U182" s="13"/>
      <c r="V182" s="13"/>
      <c r="W182" s="14"/>
    </row>
    <row r="183" spans="1:23" x14ac:dyDescent="0.3">
      <c r="A183" s="13">
        <v>179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3"/>
      <c r="O183" s="13"/>
      <c r="P183" s="14"/>
      <c r="Q183" s="13"/>
      <c r="R183" s="13"/>
      <c r="S183" s="14"/>
      <c r="T183" s="14"/>
      <c r="U183" s="13"/>
      <c r="V183" s="13"/>
      <c r="W183" s="14"/>
    </row>
    <row r="184" spans="1:23" x14ac:dyDescent="0.3">
      <c r="A184" s="13">
        <v>180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3"/>
      <c r="O184" s="13"/>
      <c r="P184" s="14"/>
      <c r="Q184" s="13"/>
      <c r="R184" s="13"/>
      <c r="S184" s="14"/>
      <c r="T184" s="14"/>
      <c r="U184" s="13"/>
      <c r="V184" s="13"/>
      <c r="W184" s="14"/>
    </row>
    <row r="185" spans="1:23" x14ac:dyDescent="0.3">
      <c r="A185" s="13">
        <v>181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3"/>
      <c r="O185" s="13"/>
      <c r="P185" s="14"/>
      <c r="Q185" s="13"/>
      <c r="R185" s="13"/>
      <c r="S185" s="14"/>
      <c r="T185" s="14"/>
      <c r="U185" s="13"/>
      <c r="V185" s="13"/>
      <c r="W185" s="14"/>
    </row>
    <row r="186" spans="1:23" x14ac:dyDescent="0.3">
      <c r="A186" s="13">
        <v>182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3"/>
      <c r="O186" s="13"/>
      <c r="P186" s="14"/>
      <c r="Q186" s="13"/>
      <c r="R186" s="13"/>
      <c r="S186" s="14"/>
      <c r="T186" s="14"/>
      <c r="U186" s="13"/>
      <c r="V186" s="13"/>
      <c r="W186" s="14"/>
    </row>
    <row r="187" spans="1:23" x14ac:dyDescent="0.3">
      <c r="A187" s="13">
        <v>183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3"/>
      <c r="O187" s="13"/>
      <c r="P187" s="14"/>
      <c r="Q187" s="13"/>
      <c r="R187" s="13"/>
      <c r="S187" s="14"/>
      <c r="T187" s="14"/>
      <c r="U187" s="13"/>
      <c r="V187" s="13"/>
      <c r="W187" s="14"/>
    </row>
    <row r="188" spans="1:23" x14ac:dyDescent="0.3">
      <c r="A188" s="13">
        <v>184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3"/>
      <c r="O188" s="13"/>
      <c r="P188" s="14"/>
      <c r="Q188" s="13"/>
      <c r="R188" s="13"/>
      <c r="S188" s="14"/>
      <c r="T188" s="14"/>
      <c r="U188" s="13"/>
      <c r="V188" s="13"/>
      <c r="W188" s="14"/>
    </row>
    <row r="189" spans="1:23" x14ac:dyDescent="0.3">
      <c r="A189" s="13">
        <v>185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3"/>
      <c r="O189" s="13"/>
      <c r="P189" s="14"/>
      <c r="Q189" s="13"/>
      <c r="R189" s="13"/>
      <c r="S189" s="14"/>
      <c r="T189" s="14"/>
      <c r="U189" s="13"/>
      <c r="V189" s="13"/>
      <c r="W189" s="14"/>
    </row>
    <row r="190" spans="1:23" x14ac:dyDescent="0.3">
      <c r="A190" s="13">
        <v>186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3"/>
      <c r="O190" s="13"/>
      <c r="P190" s="14"/>
      <c r="Q190" s="13"/>
      <c r="R190" s="13"/>
      <c r="S190" s="14"/>
      <c r="T190" s="14"/>
      <c r="U190" s="13"/>
      <c r="V190" s="13"/>
      <c r="W190" s="14"/>
    </row>
    <row r="191" spans="1:23" x14ac:dyDescent="0.3">
      <c r="A191" s="13">
        <v>187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3"/>
      <c r="O191" s="13"/>
      <c r="P191" s="14"/>
      <c r="Q191" s="13"/>
      <c r="R191" s="13"/>
      <c r="S191" s="14"/>
      <c r="T191" s="14"/>
      <c r="U191" s="13"/>
      <c r="V191" s="13"/>
      <c r="W191" s="14"/>
    </row>
    <row r="192" spans="1:23" x14ac:dyDescent="0.3">
      <c r="A192" s="13">
        <v>188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3"/>
      <c r="O192" s="13"/>
      <c r="P192" s="14"/>
      <c r="Q192" s="13"/>
      <c r="R192" s="13"/>
      <c r="S192" s="14"/>
      <c r="T192" s="14"/>
      <c r="U192" s="13"/>
      <c r="V192" s="13"/>
      <c r="W192" s="14"/>
    </row>
    <row r="193" spans="1:23" x14ac:dyDescent="0.3">
      <c r="A193" s="13">
        <v>189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3"/>
      <c r="O193" s="13"/>
      <c r="P193" s="14"/>
      <c r="Q193" s="13"/>
      <c r="R193" s="13"/>
      <c r="S193" s="14"/>
      <c r="T193" s="14"/>
      <c r="U193" s="13"/>
      <c r="V193" s="13"/>
      <c r="W193" s="14"/>
    </row>
    <row r="194" spans="1:23" x14ac:dyDescent="0.3">
      <c r="A194" s="13">
        <v>190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3"/>
      <c r="O194" s="13"/>
      <c r="P194" s="14"/>
      <c r="Q194" s="13"/>
      <c r="R194" s="13"/>
      <c r="S194" s="14"/>
      <c r="T194" s="14"/>
      <c r="U194" s="13"/>
      <c r="V194" s="13"/>
      <c r="W194" s="14"/>
    </row>
    <row r="195" spans="1:23" x14ac:dyDescent="0.3">
      <c r="A195" s="13">
        <v>191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3"/>
      <c r="O195" s="13"/>
      <c r="P195" s="14"/>
      <c r="Q195" s="13"/>
      <c r="R195" s="13"/>
      <c r="S195" s="14"/>
      <c r="T195" s="14"/>
      <c r="U195" s="13"/>
      <c r="V195" s="13"/>
      <c r="W195" s="14"/>
    </row>
    <row r="196" spans="1:23" x14ac:dyDescent="0.3">
      <c r="A196" s="13">
        <v>192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3"/>
      <c r="O196" s="13"/>
      <c r="P196" s="14"/>
      <c r="Q196" s="13"/>
      <c r="R196" s="13"/>
      <c r="S196" s="14"/>
      <c r="T196" s="14"/>
      <c r="U196" s="13"/>
      <c r="V196" s="13"/>
      <c r="W196" s="14"/>
    </row>
    <row r="197" spans="1:23" x14ac:dyDescent="0.3">
      <c r="A197" s="13">
        <v>193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3"/>
      <c r="O197" s="13"/>
      <c r="P197" s="14"/>
      <c r="Q197" s="13"/>
      <c r="R197" s="13"/>
      <c r="S197" s="14"/>
      <c r="T197" s="14"/>
      <c r="U197" s="13"/>
      <c r="V197" s="13"/>
      <c r="W197" s="14"/>
    </row>
    <row r="198" spans="1:23" x14ac:dyDescent="0.3">
      <c r="A198" s="13">
        <v>194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3"/>
      <c r="O198" s="13"/>
      <c r="P198" s="14"/>
      <c r="Q198" s="13"/>
      <c r="R198" s="13"/>
      <c r="S198" s="14"/>
      <c r="T198" s="14"/>
      <c r="U198" s="13"/>
      <c r="V198" s="13"/>
      <c r="W198" s="14"/>
    </row>
    <row r="199" spans="1:23" x14ac:dyDescent="0.3">
      <c r="A199" s="13">
        <v>195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3"/>
      <c r="O199" s="13"/>
      <c r="P199" s="14"/>
      <c r="Q199" s="13"/>
      <c r="R199" s="13"/>
      <c r="S199" s="14"/>
      <c r="T199" s="14"/>
      <c r="U199" s="13"/>
      <c r="V199" s="13"/>
      <c r="W199" s="14"/>
    </row>
    <row r="200" spans="1:23" x14ac:dyDescent="0.3">
      <c r="A200" s="13">
        <v>196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3"/>
      <c r="O200" s="13"/>
      <c r="P200" s="14"/>
      <c r="Q200" s="13"/>
      <c r="R200" s="13"/>
      <c r="S200" s="14"/>
      <c r="T200" s="14"/>
      <c r="U200" s="13"/>
      <c r="V200" s="13"/>
      <c r="W200" s="14"/>
    </row>
    <row r="201" spans="1:23" x14ac:dyDescent="0.3">
      <c r="A201" s="13">
        <v>197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3"/>
      <c r="O201" s="13"/>
      <c r="P201" s="14"/>
      <c r="Q201" s="13"/>
      <c r="R201" s="13"/>
      <c r="S201" s="14"/>
      <c r="T201" s="14"/>
      <c r="U201" s="13"/>
      <c r="V201" s="13"/>
      <c r="W201" s="14"/>
    </row>
    <row r="202" spans="1:23" x14ac:dyDescent="0.3">
      <c r="A202" s="13">
        <v>198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3"/>
      <c r="O202" s="13"/>
      <c r="P202" s="14"/>
      <c r="Q202" s="13"/>
      <c r="R202" s="13"/>
      <c r="S202" s="14"/>
      <c r="T202" s="14"/>
      <c r="U202" s="13"/>
      <c r="V202" s="13"/>
      <c r="W202" s="14"/>
    </row>
    <row r="203" spans="1:23" x14ac:dyDescent="0.3">
      <c r="A203" s="13">
        <v>199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3"/>
      <c r="O203" s="13"/>
      <c r="P203" s="14"/>
      <c r="Q203" s="13"/>
      <c r="R203" s="13"/>
      <c r="S203" s="14"/>
      <c r="T203" s="14"/>
      <c r="U203" s="13"/>
      <c r="V203" s="13"/>
      <c r="W203" s="14"/>
    </row>
    <row r="204" spans="1:23" x14ac:dyDescent="0.3">
      <c r="A204" s="13">
        <v>200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3"/>
      <c r="O204" s="13"/>
      <c r="P204" s="14"/>
      <c r="Q204" s="13"/>
      <c r="R204" s="13"/>
      <c r="S204" s="14"/>
      <c r="T204" s="14"/>
      <c r="U204" s="13"/>
      <c r="V204" s="13"/>
      <c r="W204" s="14"/>
    </row>
    <row r="205" spans="1:23" x14ac:dyDescent="0.3">
      <c r="A205" s="13">
        <v>201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3"/>
      <c r="O205" s="13"/>
      <c r="P205" s="14"/>
      <c r="Q205" s="13"/>
      <c r="R205" s="13"/>
      <c r="S205" s="14"/>
      <c r="T205" s="14"/>
      <c r="U205" s="13"/>
      <c r="V205" s="13"/>
      <c r="W205" s="14"/>
    </row>
    <row r="206" spans="1:23" x14ac:dyDescent="0.3">
      <c r="A206" s="13">
        <v>202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3"/>
      <c r="O206" s="13"/>
      <c r="P206" s="14"/>
      <c r="Q206" s="13"/>
      <c r="R206" s="13"/>
      <c r="S206" s="14"/>
      <c r="T206" s="14"/>
      <c r="U206" s="13"/>
      <c r="V206" s="13"/>
      <c r="W206" s="14"/>
    </row>
    <row r="207" spans="1:23" x14ac:dyDescent="0.3">
      <c r="A207" s="13">
        <v>203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3"/>
      <c r="O207" s="13"/>
      <c r="P207" s="14"/>
      <c r="Q207" s="13"/>
      <c r="R207" s="13"/>
      <c r="S207" s="14"/>
      <c r="T207" s="14"/>
      <c r="U207" s="13"/>
      <c r="V207" s="13"/>
      <c r="W207" s="14"/>
    </row>
    <row r="208" spans="1:23" x14ac:dyDescent="0.3">
      <c r="A208" s="13">
        <v>204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3"/>
      <c r="O208" s="13"/>
      <c r="P208" s="14"/>
      <c r="Q208" s="13"/>
      <c r="R208" s="13"/>
      <c r="S208" s="14"/>
      <c r="T208" s="14"/>
      <c r="U208" s="13"/>
      <c r="V208" s="13"/>
      <c r="W208" s="14"/>
    </row>
    <row r="209" spans="1:23" x14ac:dyDescent="0.3">
      <c r="A209" s="13">
        <v>205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3"/>
      <c r="O209" s="13"/>
      <c r="P209" s="14"/>
      <c r="Q209" s="13"/>
      <c r="R209" s="13"/>
      <c r="S209" s="14"/>
      <c r="T209" s="14"/>
      <c r="U209" s="13"/>
      <c r="V209" s="13"/>
      <c r="W209" s="14"/>
    </row>
    <row r="210" spans="1:23" x14ac:dyDescent="0.3">
      <c r="A210" s="13">
        <v>206</v>
      </c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3"/>
      <c r="O210" s="13"/>
      <c r="P210" s="14"/>
      <c r="Q210" s="13"/>
      <c r="R210" s="13"/>
      <c r="S210" s="14"/>
      <c r="T210" s="14"/>
      <c r="U210" s="13"/>
      <c r="V210" s="13"/>
      <c r="W210" s="14"/>
    </row>
    <row r="211" spans="1:23" x14ac:dyDescent="0.3">
      <c r="A211" s="13">
        <v>207</v>
      </c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3"/>
      <c r="O211" s="13"/>
      <c r="P211" s="14"/>
      <c r="Q211" s="13"/>
      <c r="R211" s="13"/>
      <c r="S211" s="14"/>
      <c r="T211" s="14"/>
      <c r="U211" s="13"/>
      <c r="V211" s="13"/>
      <c r="W211" s="14"/>
    </row>
    <row r="212" spans="1:23" x14ac:dyDescent="0.3">
      <c r="A212" s="13">
        <v>208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3"/>
      <c r="O212" s="13"/>
      <c r="P212" s="14"/>
      <c r="Q212" s="13"/>
      <c r="R212" s="13"/>
      <c r="S212" s="14"/>
      <c r="T212" s="14"/>
      <c r="U212" s="13"/>
      <c r="V212" s="13"/>
      <c r="W212" s="14"/>
    </row>
    <row r="213" spans="1:23" x14ac:dyDescent="0.3">
      <c r="A213" s="13">
        <v>209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3"/>
      <c r="O213" s="13"/>
      <c r="P213" s="14"/>
      <c r="Q213" s="13"/>
      <c r="R213" s="13"/>
      <c r="S213" s="14"/>
      <c r="T213" s="14"/>
      <c r="U213" s="13"/>
      <c r="V213" s="13"/>
      <c r="W213" s="14"/>
    </row>
    <row r="214" spans="1:23" x14ac:dyDescent="0.3">
      <c r="A214" s="13">
        <v>210</v>
      </c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3"/>
      <c r="O214" s="13"/>
      <c r="P214" s="14"/>
      <c r="Q214" s="13"/>
      <c r="R214" s="13"/>
      <c r="S214" s="14"/>
      <c r="T214" s="14"/>
      <c r="U214" s="13"/>
      <c r="V214" s="13"/>
      <c r="W214" s="14"/>
    </row>
    <row r="215" spans="1:23" x14ac:dyDescent="0.3">
      <c r="A215" s="13">
        <v>211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3"/>
      <c r="O215" s="13"/>
      <c r="P215" s="14"/>
      <c r="Q215" s="13"/>
      <c r="R215" s="13"/>
      <c r="S215" s="14"/>
      <c r="T215" s="14"/>
      <c r="U215" s="13"/>
      <c r="V215" s="13"/>
      <c r="W215" s="14"/>
    </row>
    <row r="216" spans="1:23" x14ac:dyDescent="0.3">
      <c r="A216" s="13">
        <v>212</v>
      </c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3"/>
      <c r="O216" s="13"/>
      <c r="P216" s="14"/>
      <c r="Q216" s="13"/>
      <c r="R216" s="13"/>
      <c r="S216" s="14"/>
      <c r="T216" s="14"/>
      <c r="U216" s="13"/>
      <c r="V216" s="13"/>
      <c r="W216" s="14"/>
    </row>
    <row r="217" spans="1:23" x14ac:dyDescent="0.3">
      <c r="A217" s="13">
        <v>213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3"/>
      <c r="O217" s="13"/>
      <c r="P217" s="14"/>
      <c r="Q217" s="13"/>
      <c r="R217" s="13"/>
      <c r="S217" s="14"/>
      <c r="T217" s="14"/>
      <c r="U217" s="13"/>
      <c r="V217" s="13"/>
      <c r="W217" s="14"/>
    </row>
    <row r="218" spans="1:23" x14ac:dyDescent="0.3">
      <c r="A218" s="13">
        <v>214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3"/>
      <c r="O218" s="13"/>
      <c r="P218" s="14"/>
      <c r="Q218" s="13"/>
      <c r="R218" s="13"/>
      <c r="S218" s="14"/>
      <c r="T218" s="14"/>
      <c r="U218" s="13"/>
      <c r="V218" s="13"/>
      <c r="W218" s="14"/>
    </row>
    <row r="219" spans="1:23" x14ac:dyDescent="0.3">
      <c r="A219" s="13">
        <v>215</v>
      </c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3"/>
      <c r="O219" s="13"/>
      <c r="P219" s="14"/>
      <c r="Q219" s="13"/>
      <c r="R219" s="13"/>
      <c r="S219" s="14"/>
      <c r="T219" s="14"/>
      <c r="U219" s="13"/>
      <c r="V219" s="13"/>
      <c r="W219" s="14"/>
    </row>
    <row r="220" spans="1:23" x14ac:dyDescent="0.3">
      <c r="A220" s="13">
        <v>216</v>
      </c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3"/>
      <c r="O220" s="13"/>
      <c r="P220" s="14"/>
      <c r="Q220" s="13"/>
      <c r="R220" s="13"/>
      <c r="S220" s="14"/>
      <c r="T220" s="14"/>
      <c r="U220" s="13"/>
      <c r="V220" s="13"/>
      <c r="W220" s="14"/>
    </row>
    <row r="221" spans="1:23" x14ac:dyDescent="0.3">
      <c r="A221" s="13">
        <v>217</v>
      </c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3"/>
      <c r="O221" s="13"/>
      <c r="P221" s="14"/>
      <c r="Q221" s="13"/>
      <c r="R221" s="13"/>
      <c r="S221" s="14"/>
      <c r="T221" s="14"/>
      <c r="U221" s="13"/>
      <c r="V221" s="13"/>
      <c r="W221" s="14"/>
    </row>
    <row r="222" spans="1:23" x14ac:dyDescent="0.3">
      <c r="A222" s="13">
        <v>218</v>
      </c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3"/>
      <c r="O222" s="13"/>
      <c r="P222" s="14"/>
      <c r="Q222" s="13"/>
      <c r="R222" s="13"/>
      <c r="S222" s="14"/>
      <c r="T222" s="14"/>
      <c r="U222" s="13"/>
      <c r="V222" s="13"/>
      <c r="W222" s="14"/>
    </row>
    <row r="223" spans="1:23" x14ac:dyDescent="0.3">
      <c r="A223" s="13">
        <v>219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3"/>
      <c r="O223" s="13"/>
      <c r="P223" s="14"/>
      <c r="Q223" s="13"/>
      <c r="R223" s="13"/>
      <c r="S223" s="14"/>
      <c r="T223" s="14"/>
      <c r="U223" s="13"/>
      <c r="V223" s="13"/>
      <c r="W223" s="14"/>
    </row>
    <row r="224" spans="1:23" x14ac:dyDescent="0.3">
      <c r="A224" s="13">
        <v>220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3"/>
      <c r="O224" s="13"/>
      <c r="P224" s="14"/>
      <c r="Q224" s="13"/>
      <c r="R224" s="13"/>
      <c r="S224" s="14"/>
      <c r="T224" s="14"/>
      <c r="U224" s="13"/>
      <c r="V224" s="13"/>
      <c r="W224" s="14"/>
    </row>
    <row r="225" spans="1:23" x14ac:dyDescent="0.3">
      <c r="A225" s="13">
        <v>221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3"/>
      <c r="O225" s="13"/>
      <c r="P225" s="14"/>
      <c r="Q225" s="13"/>
      <c r="R225" s="13"/>
      <c r="S225" s="14"/>
      <c r="T225" s="14"/>
      <c r="U225" s="13"/>
      <c r="V225" s="13"/>
      <c r="W225" s="14"/>
    </row>
    <row r="226" spans="1:23" x14ac:dyDescent="0.3">
      <c r="A226" s="13">
        <v>222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3"/>
      <c r="O226" s="13"/>
      <c r="P226" s="14"/>
      <c r="Q226" s="13"/>
      <c r="R226" s="13"/>
      <c r="S226" s="14"/>
      <c r="T226" s="14"/>
      <c r="U226" s="13"/>
      <c r="V226" s="13"/>
      <c r="W226" s="14"/>
    </row>
    <row r="227" spans="1:23" x14ac:dyDescent="0.3">
      <c r="A227" s="13">
        <v>223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3"/>
      <c r="O227" s="13"/>
      <c r="P227" s="14"/>
      <c r="Q227" s="13"/>
      <c r="R227" s="13"/>
      <c r="S227" s="14"/>
      <c r="T227" s="14"/>
      <c r="U227" s="13"/>
      <c r="V227" s="13"/>
      <c r="W227" s="14"/>
    </row>
    <row r="228" spans="1:23" x14ac:dyDescent="0.3">
      <c r="A228" s="13">
        <v>224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3"/>
      <c r="O228" s="13"/>
      <c r="P228" s="14"/>
      <c r="Q228" s="13"/>
      <c r="R228" s="13"/>
      <c r="S228" s="14"/>
      <c r="T228" s="14"/>
      <c r="U228" s="13"/>
      <c r="V228" s="13"/>
      <c r="W228" s="14"/>
    </row>
    <row r="229" spans="1:23" x14ac:dyDescent="0.3">
      <c r="A229" s="13">
        <v>225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3"/>
      <c r="O229" s="13"/>
      <c r="P229" s="14"/>
      <c r="Q229" s="13"/>
      <c r="R229" s="13"/>
      <c r="S229" s="14"/>
      <c r="T229" s="14"/>
      <c r="U229" s="13"/>
      <c r="V229" s="13"/>
      <c r="W229" s="14"/>
    </row>
    <row r="230" spans="1:23" x14ac:dyDescent="0.3">
      <c r="A230" s="13">
        <v>226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3"/>
      <c r="O230" s="13"/>
      <c r="P230" s="14"/>
      <c r="Q230" s="13"/>
      <c r="R230" s="13"/>
      <c r="S230" s="14"/>
      <c r="T230" s="14"/>
      <c r="U230" s="13"/>
      <c r="V230" s="13"/>
      <c r="W230" s="14"/>
    </row>
    <row r="231" spans="1:23" x14ac:dyDescent="0.3">
      <c r="A231" s="13">
        <v>227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3"/>
      <c r="O231" s="13"/>
      <c r="P231" s="14"/>
      <c r="Q231" s="13"/>
      <c r="R231" s="13"/>
      <c r="S231" s="14"/>
      <c r="T231" s="14"/>
      <c r="U231" s="13"/>
      <c r="V231" s="13"/>
      <c r="W231" s="14"/>
    </row>
    <row r="232" spans="1:23" x14ac:dyDescent="0.3">
      <c r="A232" s="13">
        <v>228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3"/>
      <c r="O232" s="13"/>
      <c r="P232" s="14"/>
      <c r="Q232" s="13"/>
      <c r="R232" s="13"/>
      <c r="S232" s="14"/>
      <c r="T232" s="14"/>
      <c r="U232" s="13"/>
      <c r="V232" s="13"/>
      <c r="W232" s="14"/>
    </row>
    <row r="233" spans="1:23" x14ac:dyDescent="0.3">
      <c r="A233" s="13">
        <v>229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3"/>
      <c r="O233" s="13"/>
      <c r="P233" s="14"/>
      <c r="Q233" s="13"/>
      <c r="R233" s="13"/>
      <c r="S233" s="14"/>
      <c r="T233" s="14"/>
      <c r="U233" s="13"/>
      <c r="V233" s="13"/>
      <c r="W233" s="14"/>
    </row>
    <row r="234" spans="1:23" x14ac:dyDescent="0.3">
      <c r="A234" s="13">
        <v>230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3"/>
      <c r="O234" s="13"/>
      <c r="P234" s="14"/>
      <c r="Q234" s="13"/>
      <c r="R234" s="13"/>
      <c r="S234" s="14"/>
      <c r="T234" s="14"/>
      <c r="U234" s="13"/>
      <c r="V234" s="13"/>
      <c r="W234" s="14"/>
    </row>
    <row r="235" spans="1:23" x14ac:dyDescent="0.3">
      <c r="A235" s="13">
        <v>231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3"/>
      <c r="O235" s="13"/>
      <c r="P235" s="14"/>
      <c r="Q235" s="13"/>
      <c r="R235" s="13"/>
      <c r="S235" s="14"/>
      <c r="T235" s="14"/>
      <c r="U235" s="13"/>
      <c r="V235" s="13"/>
      <c r="W235" s="14"/>
    </row>
    <row r="236" spans="1:23" x14ac:dyDescent="0.3">
      <c r="A236" s="13">
        <v>232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3"/>
      <c r="O236" s="13"/>
      <c r="P236" s="14"/>
      <c r="Q236" s="13"/>
      <c r="R236" s="13"/>
      <c r="S236" s="14"/>
      <c r="T236" s="14"/>
      <c r="U236" s="13"/>
      <c r="V236" s="13"/>
      <c r="W236" s="14"/>
    </row>
    <row r="237" spans="1:23" x14ac:dyDescent="0.3">
      <c r="A237" s="13">
        <v>233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3"/>
      <c r="O237" s="13"/>
      <c r="P237" s="14"/>
      <c r="Q237" s="13"/>
      <c r="R237" s="13"/>
      <c r="S237" s="14"/>
      <c r="T237" s="14"/>
      <c r="U237" s="13"/>
      <c r="V237" s="13"/>
      <c r="W237" s="14"/>
    </row>
    <row r="238" spans="1:23" x14ac:dyDescent="0.3">
      <c r="A238" s="13">
        <v>234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3"/>
      <c r="O238" s="13"/>
      <c r="P238" s="14"/>
      <c r="Q238" s="13"/>
      <c r="R238" s="13"/>
      <c r="S238" s="14"/>
      <c r="T238" s="14"/>
      <c r="U238" s="13"/>
      <c r="V238" s="13"/>
      <c r="W238" s="14"/>
    </row>
    <row r="239" spans="1:23" x14ac:dyDescent="0.3">
      <c r="A239" s="13">
        <v>235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3"/>
      <c r="O239" s="13"/>
      <c r="P239" s="14"/>
      <c r="Q239" s="13"/>
      <c r="R239" s="13"/>
      <c r="S239" s="14"/>
      <c r="T239" s="14"/>
      <c r="U239" s="13"/>
      <c r="V239" s="13"/>
      <c r="W239" s="14"/>
    </row>
    <row r="240" spans="1:23" x14ac:dyDescent="0.3">
      <c r="A240" s="13">
        <v>236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3"/>
      <c r="O240" s="13"/>
      <c r="P240" s="14"/>
      <c r="Q240" s="13"/>
      <c r="R240" s="13"/>
      <c r="S240" s="14"/>
      <c r="T240" s="14"/>
      <c r="U240" s="13"/>
      <c r="V240" s="13"/>
      <c r="W240" s="14"/>
    </row>
    <row r="241" spans="1:23" x14ac:dyDescent="0.3">
      <c r="A241" s="13">
        <v>237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3"/>
      <c r="O241" s="13"/>
      <c r="P241" s="14"/>
      <c r="Q241" s="13"/>
      <c r="R241" s="13"/>
      <c r="S241" s="14"/>
      <c r="T241" s="14"/>
      <c r="U241" s="13"/>
      <c r="V241" s="13"/>
      <c r="W241" s="14"/>
    </row>
    <row r="242" spans="1:23" x14ac:dyDescent="0.3">
      <c r="A242" s="13">
        <v>238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3"/>
      <c r="O242" s="13"/>
      <c r="P242" s="14"/>
      <c r="Q242" s="13"/>
      <c r="R242" s="13"/>
      <c r="S242" s="14"/>
      <c r="T242" s="14"/>
      <c r="U242" s="13"/>
      <c r="V242" s="13"/>
      <c r="W242" s="14"/>
    </row>
    <row r="243" spans="1:23" x14ac:dyDescent="0.3">
      <c r="A243" s="13">
        <v>239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3"/>
      <c r="O243" s="13"/>
      <c r="P243" s="14"/>
      <c r="Q243" s="13"/>
      <c r="R243" s="13"/>
      <c r="S243" s="14"/>
      <c r="T243" s="14"/>
      <c r="U243" s="13"/>
      <c r="V243" s="13"/>
      <c r="W243" s="14"/>
    </row>
    <row r="244" spans="1:23" x14ac:dyDescent="0.3">
      <c r="A244" s="13">
        <v>240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3"/>
      <c r="O244" s="13"/>
      <c r="P244" s="14"/>
      <c r="Q244" s="13"/>
      <c r="R244" s="13"/>
      <c r="S244" s="14"/>
      <c r="T244" s="14"/>
      <c r="U244" s="13"/>
      <c r="V244" s="13"/>
      <c r="W244" s="14"/>
    </row>
    <row r="245" spans="1:23" x14ac:dyDescent="0.3">
      <c r="A245" s="13">
        <v>241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3"/>
      <c r="O245" s="13"/>
      <c r="P245" s="14"/>
      <c r="Q245" s="13"/>
      <c r="R245" s="13"/>
      <c r="S245" s="14"/>
      <c r="T245" s="14"/>
      <c r="U245" s="13"/>
      <c r="V245" s="13"/>
      <c r="W245" s="14"/>
    </row>
    <row r="246" spans="1:23" x14ac:dyDescent="0.3">
      <c r="A246" s="13">
        <v>242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3"/>
      <c r="O246" s="13"/>
      <c r="P246" s="14"/>
      <c r="Q246" s="13"/>
      <c r="R246" s="13"/>
      <c r="S246" s="14"/>
      <c r="T246" s="14"/>
      <c r="U246" s="13"/>
      <c r="V246" s="13"/>
      <c r="W246" s="14"/>
    </row>
    <row r="247" spans="1:23" x14ac:dyDescent="0.3">
      <c r="A247" s="13">
        <v>243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3"/>
      <c r="O247" s="13"/>
      <c r="P247" s="14"/>
      <c r="Q247" s="13"/>
      <c r="R247" s="13"/>
      <c r="S247" s="14"/>
      <c r="T247" s="14"/>
      <c r="U247" s="13"/>
      <c r="V247" s="13"/>
      <c r="W247" s="14"/>
    </row>
    <row r="248" spans="1:23" x14ac:dyDescent="0.3">
      <c r="A248" s="13">
        <v>244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3"/>
      <c r="O248" s="13"/>
      <c r="P248" s="14"/>
      <c r="Q248" s="13"/>
      <c r="R248" s="13"/>
      <c r="S248" s="14"/>
      <c r="T248" s="14"/>
      <c r="U248" s="13"/>
      <c r="V248" s="13"/>
      <c r="W248" s="14"/>
    </row>
    <row r="249" spans="1:23" x14ac:dyDescent="0.3">
      <c r="A249" s="13">
        <v>245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3"/>
      <c r="O249" s="13"/>
      <c r="P249" s="14"/>
      <c r="Q249" s="13"/>
      <c r="R249" s="13"/>
      <c r="S249" s="14"/>
      <c r="T249" s="14"/>
      <c r="U249" s="13"/>
      <c r="V249" s="13"/>
      <c r="W249" s="14"/>
    </row>
    <row r="250" spans="1:23" x14ac:dyDescent="0.3">
      <c r="A250" s="13">
        <v>246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3"/>
      <c r="O250" s="13"/>
      <c r="P250" s="14"/>
      <c r="Q250" s="13"/>
      <c r="R250" s="13"/>
      <c r="S250" s="14"/>
      <c r="T250" s="14"/>
      <c r="U250" s="13"/>
      <c r="V250" s="13"/>
      <c r="W250" s="14"/>
    </row>
    <row r="251" spans="1:23" x14ac:dyDescent="0.3">
      <c r="A251" s="13">
        <v>247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3"/>
      <c r="O251" s="13"/>
      <c r="P251" s="14"/>
      <c r="Q251" s="13"/>
      <c r="R251" s="13"/>
      <c r="S251" s="14"/>
      <c r="T251" s="14"/>
      <c r="U251" s="13"/>
      <c r="V251" s="13"/>
      <c r="W251" s="14"/>
    </row>
    <row r="252" spans="1:23" x14ac:dyDescent="0.3">
      <c r="A252" s="13">
        <v>248</v>
      </c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3"/>
      <c r="O252" s="13"/>
      <c r="P252" s="14"/>
      <c r="Q252" s="13"/>
      <c r="R252" s="13"/>
      <c r="S252" s="14"/>
      <c r="T252" s="14"/>
      <c r="U252" s="13"/>
      <c r="V252" s="13"/>
      <c r="W252" s="14"/>
    </row>
    <row r="253" spans="1:23" x14ac:dyDescent="0.3">
      <c r="A253" s="13">
        <v>249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3"/>
      <c r="O253" s="13"/>
      <c r="P253" s="14"/>
      <c r="Q253" s="13"/>
      <c r="R253" s="13"/>
      <c r="S253" s="14"/>
      <c r="T253" s="14"/>
      <c r="U253" s="13"/>
      <c r="V253" s="13"/>
      <c r="W253" s="14"/>
    </row>
    <row r="254" spans="1:23" x14ac:dyDescent="0.3">
      <c r="A254" s="13">
        <v>250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3"/>
      <c r="O254" s="13"/>
      <c r="P254" s="14"/>
      <c r="Q254" s="13"/>
      <c r="R254" s="13"/>
      <c r="S254" s="14"/>
      <c r="T254" s="14"/>
      <c r="U254" s="13"/>
      <c r="V254" s="13"/>
      <c r="W254" s="14"/>
    </row>
    <row r="255" spans="1:23" x14ac:dyDescent="0.3">
      <c r="A255" s="13">
        <v>251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3"/>
      <c r="O255" s="13"/>
      <c r="P255" s="14"/>
      <c r="Q255" s="13"/>
      <c r="R255" s="13"/>
      <c r="S255" s="14"/>
      <c r="T255" s="14"/>
      <c r="U255" s="13"/>
      <c r="V255" s="13"/>
      <c r="W255" s="14"/>
    </row>
    <row r="256" spans="1:23" x14ac:dyDescent="0.3">
      <c r="A256" s="13">
        <v>252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3"/>
      <c r="O256" s="13"/>
      <c r="P256" s="14"/>
      <c r="Q256" s="13"/>
      <c r="R256" s="13"/>
      <c r="S256" s="14"/>
      <c r="T256" s="14"/>
      <c r="U256" s="13"/>
      <c r="V256" s="13"/>
      <c r="W256" s="14"/>
    </row>
    <row r="257" spans="1:23" x14ac:dyDescent="0.3">
      <c r="A257" s="13">
        <v>253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3"/>
      <c r="O257" s="13"/>
      <c r="P257" s="14"/>
      <c r="Q257" s="13"/>
      <c r="R257" s="13"/>
      <c r="S257" s="14"/>
      <c r="T257" s="14"/>
      <c r="U257" s="13"/>
      <c r="V257" s="13"/>
      <c r="W257" s="14"/>
    </row>
    <row r="258" spans="1:23" x14ac:dyDescent="0.3">
      <c r="A258" s="13">
        <v>254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3"/>
      <c r="O258" s="13"/>
      <c r="P258" s="14"/>
      <c r="Q258" s="13"/>
      <c r="R258" s="13"/>
      <c r="S258" s="14"/>
      <c r="T258" s="14"/>
      <c r="U258" s="13"/>
      <c r="V258" s="13"/>
      <c r="W258" s="14"/>
    </row>
    <row r="259" spans="1:23" x14ac:dyDescent="0.3">
      <c r="A259" s="13">
        <v>255</v>
      </c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3"/>
      <c r="O259" s="13"/>
      <c r="P259" s="14"/>
      <c r="Q259" s="13"/>
      <c r="R259" s="13"/>
      <c r="S259" s="14"/>
      <c r="T259" s="14"/>
      <c r="U259" s="13"/>
      <c r="V259" s="13"/>
      <c r="W259" s="14"/>
    </row>
    <row r="260" spans="1:23" x14ac:dyDescent="0.3">
      <c r="A260" s="13">
        <v>256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3"/>
      <c r="O260" s="13"/>
      <c r="P260" s="14"/>
      <c r="Q260" s="13"/>
      <c r="R260" s="13"/>
      <c r="S260" s="14"/>
      <c r="T260" s="14"/>
      <c r="U260" s="13"/>
      <c r="V260" s="13"/>
      <c r="W260" s="14"/>
    </row>
    <row r="261" spans="1:23" x14ac:dyDescent="0.3">
      <c r="A261" s="13">
        <v>257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3"/>
      <c r="O261" s="13"/>
      <c r="P261" s="14"/>
      <c r="Q261" s="13"/>
      <c r="R261" s="13"/>
      <c r="S261" s="14"/>
      <c r="T261" s="14"/>
      <c r="U261" s="13"/>
      <c r="V261" s="13"/>
      <c r="W261" s="14"/>
    </row>
    <row r="262" spans="1:23" x14ac:dyDescent="0.3">
      <c r="A262" s="13">
        <v>258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3"/>
      <c r="O262" s="13"/>
      <c r="P262" s="14"/>
      <c r="Q262" s="13"/>
      <c r="R262" s="13"/>
      <c r="S262" s="14"/>
      <c r="T262" s="14"/>
      <c r="U262" s="13"/>
      <c r="V262" s="13"/>
      <c r="W262" s="14"/>
    </row>
    <row r="263" spans="1:23" x14ac:dyDescent="0.3">
      <c r="A263" s="13">
        <v>259</v>
      </c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3"/>
      <c r="O263" s="13"/>
      <c r="P263" s="14"/>
      <c r="Q263" s="13"/>
      <c r="R263" s="13"/>
      <c r="S263" s="14"/>
      <c r="T263" s="14"/>
      <c r="U263" s="13"/>
      <c r="V263" s="13"/>
      <c r="W263" s="14"/>
    </row>
    <row r="264" spans="1:23" x14ac:dyDescent="0.3">
      <c r="A264" s="13">
        <v>260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3"/>
      <c r="O264" s="13"/>
      <c r="P264" s="14"/>
      <c r="Q264" s="13"/>
      <c r="R264" s="13"/>
      <c r="S264" s="14"/>
      <c r="T264" s="14"/>
      <c r="U264" s="13"/>
      <c r="V264" s="13"/>
      <c r="W264" s="14"/>
    </row>
    <row r="265" spans="1:23" x14ac:dyDescent="0.3">
      <c r="A265" s="13">
        <v>261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3"/>
      <c r="O265" s="13"/>
      <c r="P265" s="14"/>
      <c r="Q265" s="13"/>
      <c r="R265" s="13"/>
      <c r="S265" s="14"/>
      <c r="T265" s="14"/>
      <c r="U265" s="13"/>
      <c r="V265" s="13"/>
      <c r="W265" s="14"/>
    </row>
    <row r="266" spans="1:23" x14ac:dyDescent="0.3">
      <c r="A266" s="13">
        <v>262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3"/>
      <c r="O266" s="13"/>
      <c r="P266" s="14"/>
      <c r="Q266" s="13"/>
      <c r="R266" s="13"/>
      <c r="S266" s="14"/>
      <c r="T266" s="14"/>
      <c r="U266" s="13"/>
      <c r="V266" s="13"/>
      <c r="W266" s="14"/>
    </row>
    <row r="267" spans="1:23" x14ac:dyDescent="0.3">
      <c r="A267" s="13">
        <v>263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3"/>
      <c r="O267" s="13"/>
      <c r="P267" s="14"/>
      <c r="Q267" s="13"/>
      <c r="R267" s="13"/>
      <c r="S267" s="14"/>
      <c r="T267" s="14"/>
      <c r="U267" s="13"/>
      <c r="V267" s="13"/>
      <c r="W267" s="14"/>
    </row>
    <row r="268" spans="1:23" x14ac:dyDescent="0.3">
      <c r="A268" s="13">
        <v>264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3"/>
      <c r="O268" s="13"/>
      <c r="P268" s="14"/>
      <c r="Q268" s="13"/>
      <c r="R268" s="13"/>
      <c r="S268" s="14"/>
      <c r="T268" s="14"/>
      <c r="U268" s="13"/>
      <c r="V268" s="13"/>
      <c r="W268" s="14"/>
    </row>
    <row r="269" spans="1:23" x14ac:dyDescent="0.3">
      <c r="A269" s="13">
        <v>265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3"/>
      <c r="O269" s="13"/>
      <c r="P269" s="14"/>
      <c r="Q269" s="13"/>
      <c r="R269" s="13"/>
      <c r="S269" s="14"/>
      <c r="T269" s="14"/>
      <c r="U269" s="13"/>
      <c r="V269" s="13"/>
      <c r="W269" s="14"/>
    </row>
    <row r="270" spans="1:23" x14ac:dyDescent="0.3">
      <c r="A270" s="13">
        <v>266</v>
      </c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3"/>
      <c r="O270" s="13"/>
      <c r="P270" s="14"/>
      <c r="Q270" s="13"/>
      <c r="R270" s="13"/>
      <c r="S270" s="14"/>
      <c r="T270" s="14"/>
      <c r="U270" s="13"/>
      <c r="V270" s="13"/>
      <c r="W270" s="14"/>
    </row>
    <row r="271" spans="1:23" x14ac:dyDescent="0.3">
      <c r="A271" s="13">
        <v>267</v>
      </c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3"/>
      <c r="O271" s="13"/>
      <c r="P271" s="14"/>
      <c r="Q271" s="13"/>
      <c r="R271" s="13"/>
      <c r="S271" s="14"/>
      <c r="T271" s="14"/>
      <c r="U271" s="13"/>
      <c r="V271" s="13"/>
      <c r="W271" s="14"/>
    </row>
    <row r="272" spans="1:23" x14ac:dyDescent="0.3">
      <c r="A272" s="13">
        <v>268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3"/>
      <c r="O272" s="13"/>
      <c r="P272" s="14"/>
      <c r="Q272" s="13"/>
      <c r="R272" s="13"/>
      <c r="S272" s="14"/>
      <c r="T272" s="14"/>
      <c r="U272" s="13"/>
      <c r="V272" s="13"/>
      <c r="W272" s="14"/>
    </row>
    <row r="273" spans="1:23" x14ac:dyDescent="0.3">
      <c r="A273" s="13">
        <v>269</v>
      </c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3"/>
      <c r="O273" s="13"/>
      <c r="P273" s="14"/>
      <c r="Q273" s="13"/>
      <c r="R273" s="13"/>
      <c r="S273" s="14"/>
      <c r="T273" s="14"/>
      <c r="U273" s="13"/>
      <c r="V273" s="13"/>
      <c r="W273" s="14"/>
    </row>
    <row r="274" spans="1:23" x14ac:dyDescent="0.3">
      <c r="A274" s="13">
        <v>270</v>
      </c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3"/>
      <c r="O274" s="13"/>
      <c r="P274" s="14"/>
      <c r="Q274" s="13"/>
      <c r="R274" s="13"/>
      <c r="S274" s="14"/>
      <c r="T274" s="14"/>
      <c r="U274" s="13"/>
      <c r="V274" s="13"/>
      <c r="W274" s="14"/>
    </row>
    <row r="275" spans="1:23" x14ac:dyDescent="0.3">
      <c r="A275" s="13">
        <v>271</v>
      </c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3"/>
      <c r="O275" s="13"/>
      <c r="P275" s="14"/>
      <c r="Q275" s="13"/>
      <c r="R275" s="13"/>
      <c r="S275" s="14"/>
      <c r="T275" s="14"/>
      <c r="U275" s="13"/>
      <c r="V275" s="13"/>
      <c r="W275" s="14"/>
    </row>
    <row r="276" spans="1:23" x14ac:dyDescent="0.3">
      <c r="A276" s="13">
        <v>272</v>
      </c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3"/>
      <c r="O276" s="13"/>
      <c r="P276" s="14"/>
      <c r="Q276" s="13"/>
      <c r="R276" s="13"/>
      <c r="S276" s="14"/>
      <c r="T276" s="14"/>
      <c r="U276" s="13"/>
      <c r="V276" s="13"/>
      <c r="W276" s="14"/>
    </row>
    <row r="277" spans="1:23" x14ac:dyDescent="0.3">
      <c r="A277" s="13">
        <v>273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3"/>
      <c r="O277" s="13"/>
      <c r="P277" s="14"/>
      <c r="Q277" s="13"/>
      <c r="R277" s="13"/>
      <c r="S277" s="14"/>
      <c r="T277" s="14"/>
      <c r="U277" s="13"/>
      <c r="V277" s="13"/>
      <c r="W277" s="14"/>
    </row>
    <row r="278" spans="1:23" x14ac:dyDescent="0.3">
      <c r="A278" s="13">
        <v>274</v>
      </c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3"/>
      <c r="O278" s="13"/>
      <c r="P278" s="14"/>
      <c r="Q278" s="13"/>
      <c r="R278" s="13"/>
      <c r="S278" s="14"/>
      <c r="T278" s="14"/>
      <c r="U278" s="13"/>
      <c r="V278" s="13"/>
      <c r="W278" s="14"/>
    </row>
    <row r="279" spans="1:23" x14ac:dyDescent="0.3">
      <c r="A279" s="13">
        <v>275</v>
      </c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3"/>
      <c r="O279" s="13"/>
      <c r="P279" s="14"/>
      <c r="Q279" s="13"/>
      <c r="R279" s="13"/>
      <c r="S279" s="14"/>
      <c r="T279" s="14"/>
      <c r="U279" s="13"/>
      <c r="V279" s="13"/>
      <c r="W279" s="14"/>
    </row>
    <row r="280" spans="1:23" x14ac:dyDescent="0.3">
      <c r="A280" s="13">
        <v>276</v>
      </c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3"/>
      <c r="O280" s="13"/>
      <c r="P280" s="14"/>
      <c r="Q280" s="13"/>
      <c r="R280" s="13"/>
      <c r="S280" s="14"/>
      <c r="T280" s="14"/>
      <c r="U280" s="13"/>
      <c r="V280" s="13"/>
      <c r="W280" s="14"/>
    </row>
    <row r="281" spans="1:23" x14ac:dyDescent="0.3">
      <c r="A281" s="13">
        <v>277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3"/>
      <c r="O281" s="13"/>
      <c r="P281" s="14"/>
      <c r="Q281" s="13"/>
      <c r="R281" s="13"/>
      <c r="S281" s="14"/>
      <c r="T281" s="14"/>
      <c r="U281" s="13"/>
      <c r="V281" s="13"/>
      <c r="W281" s="14"/>
    </row>
    <row r="282" spans="1:23" x14ac:dyDescent="0.3">
      <c r="A282" s="13">
        <v>278</v>
      </c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3"/>
      <c r="O282" s="13"/>
      <c r="P282" s="14"/>
      <c r="Q282" s="13"/>
      <c r="R282" s="13"/>
      <c r="S282" s="14"/>
      <c r="T282" s="14"/>
      <c r="U282" s="13"/>
      <c r="V282" s="13"/>
      <c r="W282" s="14"/>
    </row>
    <row r="283" spans="1:23" x14ac:dyDescent="0.3">
      <c r="A283" s="13">
        <v>279</v>
      </c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3"/>
      <c r="O283" s="13"/>
      <c r="P283" s="14"/>
      <c r="Q283" s="13"/>
      <c r="R283" s="13"/>
      <c r="S283" s="14"/>
      <c r="T283" s="14"/>
      <c r="U283" s="13"/>
      <c r="V283" s="13"/>
      <c r="W283" s="14"/>
    </row>
    <row r="284" spans="1:23" x14ac:dyDescent="0.3">
      <c r="A284" s="13">
        <v>280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3"/>
      <c r="O284" s="13"/>
      <c r="P284" s="14"/>
      <c r="Q284" s="13"/>
      <c r="R284" s="13"/>
      <c r="S284" s="14"/>
      <c r="T284" s="14"/>
      <c r="U284" s="13"/>
      <c r="V284" s="13"/>
      <c r="W284" s="14"/>
    </row>
    <row r="285" spans="1:23" x14ac:dyDescent="0.3">
      <c r="A285" s="13">
        <v>281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3"/>
      <c r="O285" s="13"/>
      <c r="P285" s="14"/>
      <c r="Q285" s="13"/>
      <c r="R285" s="13"/>
      <c r="S285" s="14"/>
      <c r="T285" s="14"/>
      <c r="U285" s="13"/>
      <c r="V285" s="13"/>
      <c r="W285" s="14"/>
    </row>
    <row r="286" spans="1:23" x14ac:dyDescent="0.3">
      <c r="A286" s="13">
        <v>282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3"/>
      <c r="O286" s="13"/>
      <c r="P286" s="14"/>
      <c r="Q286" s="13"/>
      <c r="R286" s="13"/>
      <c r="S286" s="14"/>
      <c r="T286" s="14"/>
      <c r="U286" s="13"/>
      <c r="V286" s="13"/>
      <c r="W286" s="14"/>
    </row>
    <row r="287" spans="1:23" x14ac:dyDescent="0.3">
      <c r="A287" s="13">
        <v>283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3"/>
      <c r="O287" s="13"/>
      <c r="P287" s="14"/>
      <c r="Q287" s="13"/>
      <c r="R287" s="13"/>
      <c r="S287" s="14"/>
      <c r="T287" s="14"/>
      <c r="U287" s="13"/>
      <c r="V287" s="13"/>
      <c r="W287" s="14"/>
    </row>
    <row r="288" spans="1:23" x14ac:dyDescent="0.3">
      <c r="A288" s="13">
        <v>284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3"/>
      <c r="O288" s="13"/>
      <c r="P288" s="14"/>
      <c r="Q288" s="13"/>
      <c r="R288" s="13"/>
      <c r="S288" s="14"/>
      <c r="T288" s="14"/>
      <c r="U288" s="13"/>
      <c r="V288" s="13"/>
      <c r="W288" s="14"/>
    </row>
    <row r="289" spans="1:23" x14ac:dyDescent="0.3">
      <c r="A289" s="13">
        <v>285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3"/>
      <c r="O289" s="13"/>
      <c r="P289" s="14"/>
      <c r="Q289" s="13"/>
      <c r="R289" s="13"/>
      <c r="S289" s="14"/>
      <c r="T289" s="14"/>
      <c r="U289" s="13"/>
      <c r="V289" s="13"/>
      <c r="W289" s="14"/>
    </row>
    <row r="290" spans="1:23" x14ac:dyDescent="0.3">
      <c r="A290" s="13">
        <v>286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3"/>
      <c r="O290" s="13"/>
      <c r="P290" s="14"/>
      <c r="Q290" s="13"/>
      <c r="R290" s="13"/>
      <c r="S290" s="14"/>
      <c r="T290" s="14"/>
      <c r="U290" s="13"/>
      <c r="V290" s="13"/>
      <c r="W290" s="14"/>
    </row>
    <row r="291" spans="1:23" x14ac:dyDescent="0.3">
      <c r="A291" s="13">
        <v>287</v>
      </c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3"/>
      <c r="O291" s="13"/>
      <c r="P291" s="14"/>
      <c r="Q291" s="13"/>
      <c r="R291" s="13"/>
      <c r="S291" s="14"/>
      <c r="T291" s="14"/>
      <c r="U291" s="13"/>
      <c r="V291" s="13"/>
      <c r="W291" s="14"/>
    </row>
    <row r="292" spans="1:23" x14ac:dyDescent="0.3">
      <c r="A292" s="13">
        <v>288</v>
      </c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3"/>
      <c r="O292" s="13"/>
      <c r="P292" s="14"/>
      <c r="Q292" s="13"/>
      <c r="R292" s="13"/>
      <c r="S292" s="14"/>
      <c r="T292" s="14"/>
      <c r="U292" s="13"/>
      <c r="V292" s="13"/>
      <c r="W292" s="14"/>
    </row>
    <row r="293" spans="1:23" x14ac:dyDescent="0.3">
      <c r="A293" s="13">
        <v>289</v>
      </c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3"/>
      <c r="O293" s="13"/>
      <c r="P293" s="14"/>
      <c r="Q293" s="13"/>
      <c r="R293" s="13"/>
      <c r="S293" s="14"/>
      <c r="T293" s="14"/>
      <c r="U293" s="13"/>
      <c r="V293" s="13"/>
      <c r="W293" s="14"/>
    </row>
    <row r="294" spans="1:23" x14ac:dyDescent="0.3">
      <c r="A294" s="13">
        <v>290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3"/>
      <c r="O294" s="13"/>
      <c r="P294" s="14"/>
      <c r="Q294" s="13"/>
      <c r="R294" s="13"/>
      <c r="S294" s="14"/>
      <c r="T294" s="14"/>
      <c r="U294" s="13"/>
      <c r="V294" s="13"/>
      <c r="W294" s="14"/>
    </row>
    <row r="295" spans="1:23" x14ac:dyDescent="0.3">
      <c r="A295" s="13">
        <v>291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3"/>
      <c r="O295" s="13"/>
      <c r="P295" s="14"/>
      <c r="Q295" s="13"/>
      <c r="R295" s="13"/>
      <c r="S295" s="14"/>
      <c r="T295" s="14"/>
      <c r="U295" s="13"/>
      <c r="V295" s="13"/>
      <c r="W295" s="14"/>
    </row>
    <row r="296" spans="1:23" x14ac:dyDescent="0.3">
      <c r="A296" s="13">
        <v>292</v>
      </c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3"/>
      <c r="O296" s="13"/>
      <c r="P296" s="14"/>
      <c r="Q296" s="13"/>
      <c r="R296" s="13"/>
      <c r="S296" s="14"/>
      <c r="T296" s="14"/>
      <c r="U296" s="13"/>
      <c r="V296" s="13"/>
      <c r="W296" s="14"/>
    </row>
    <row r="297" spans="1:23" x14ac:dyDescent="0.3">
      <c r="A297" s="13">
        <v>293</v>
      </c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3"/>
      <c r="O297" s="13"/>
      <c r="P297" s="14"/>
      <c r="Q297" s="13"/>
      <c r="R297" s="13"/>
      <c r="S297" s="14"/>
      <c r="T297" s="14"/>
      <c r="U297" s="13"/>
      <c r="V297" s="13"/>
      <c r="W297" s="14"/>
    </row>
    <row r="298" spans="1:23" x14ac:dyDescent="0.3">
      <c r="A298" s="13">
        <v>294</v>
      </c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3"/>
      <c r="O298" s="13"/>
      <c r="P298" s="14"/>
      <c r="Q298" s="13"/>
      <c r="R298" s="13"/>
      <c r="S298" s="14"/>
      <c r="T298" s="14"/>
      <c r="U298" s="13"/>
      <c r="V298" s="13"/>
      <c r="W298" s="14"/>
    </row>
    <row r="299" spans="1:23" x14ac:dyDescent="0.3">
      <c r="A299" s="13">
        <v>295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3"/>
      <c r="O299" s="13"/>
      <c r="P299" s="14"/>
      <c r="Q299" s="13"/>
      <c r="R299" s="13"/>
      <c r="S299" s="14"/>
      <c r="T299" s="14"/>
      <c r="U299" s="13"/>
      <c r="V299" s="13"/>
      <c r="W299" s="14"/>
    </row>
    <row r="300" spans="1:23" x14ac:dyDescent="0.3">
      <c r="A300" s="13">
        <v>296</v>
      </c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3"/>
      <c r="O300" s="13"/>
      <c r="P300" s="14"/>
      <c r="Q300" s="13"/>
      <c r="R300" s="13"/>
      <c r="S300" s="14"/>
      <c r="T300" s="14"/>
      <c r="U300" s="13"/>
      <c r="V300" s="13"/>
      <c r="W300" s="14"/>
    </row>
    <row r="301" spans="1:23" x14ac:dyDescent="0.3">
      <c r="A301" s="13">
        <v>297</v>
      </c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3"/>
      <c r="O301" s="13"/>
      <c r="P301" s="14"/>
      <c r="Q301" s="13"/>
      <c r="R301" s="13"/>
      <c r="S301" s="14"/>
      <c r="T301" s="14"/>
      <c r="U301" s="13"/>
      <c r="V301" s="13"/>
      <c r="W301" s="14"/>
    </row>
    <row r="302" spans="1:23" x14ac:dyDescent="0.3">
      <c r="A302" s="13">
        <v>298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3"/>
      <c r="O302" s="13"/>
      <c r="P302" s="14"/>
      <c r="Q302" s="13"/>
      <c r="R302" s="13"/>
      <c r="S302" s="14"/>
      <c r="T302" s="14"/>
      <c r="U302" s="13"/>
      <c r="V302" s="13"/>
      <c r="W302" s="14"/>
    </row>
    <row r="303" spans="1:23" x14ac:dyDescent="0.3">
      <c r="A303" s="13">
        <v>299</v>
      </c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3"/>
      <c r="O303" s="13"/>
      <c r="P303" s="14"/>
      <c r="Q303" s="13"/>
      <c r="R303" s="13"/>
      <c r="S303" s="14"/>
      <c r="T303" s="14"/>
      <c r="U303" s="13"/>
      <c r="V303" s="13"/>
      <c r="W303" s="14"/>
    </row>
    <row r="304" spans="1:23" x14ac:dyDescent="0.3">
      <c r="A304" s="13">
        <v>300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3"/>
      <c r="O304" s="13"/>
      <c r="P304" s="14"/>
      <c r="Q304" s="13"/>
      <c r="R304" s="13"/>
      <c r="S304" s="14"/>
      <c r="T304" s="14"/>
      <c r="U304" s="13"/>
      <c r="V304" s="13"/>
      <c r="W304" s="14"/>
    </row>
    <row r="305" spans="1:23" x14ac:dyDescent="0.3">
      <c r="A305" s="13">
        <v>301</v>
      </c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3"/>
      <c r="O305" s="13"/>
      <c r="P305" s="14"/>
      <c r="Q305" s="13"/>
      <c r="R305" s="13"/>
      <c r="S305" s="14"/>
      <c r="T305" s="14"/>
      <c r="U305" s="13"/>
      <c r="V305" s="13"/>
      <c r="W305" s="14"/>
    </row>
    <row r="306" spans="1:23" x14ac:dyDescent="0.3">
      <c r="A306" s="13">
        <v>302</v>
      </c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3"/>
      <c r="O306" s="13"/>
      <c r="P306" s="14"/>
      <c r="Q306" s="13"/>
      <c r="R306" s="13"/>
      <c r="S306" s="14"/>
      <c r="T306" s="14"/>
      <c r="U306" s="13"/>
      <c r="V306" s="13"/>
      <c r="W306" s="14"/>
    </row>
    <row r="307" spans="1:23" x14ac:dyDescent="0.3">
      <c r="A307" s="13">
        <v>303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3"/>
      <c r="O307" s="13"/>
      <c r="P307" s="14"/>
      <c r="Q307" s="13"/>
      <c r="R307" s="13"/>
      <c r="S307" s="14"/>
      <c r="T307" s="14"/>
      <c r="U307" s="13"/>
      <c r="V307" s="13"/>
      <c r="W307" s="14"/>
    </row>
    <row r="308" spans="1:23" x14ac:dyDescent="0.3">
      <c r="A308" s="13">
        <v>304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3"/>
      <c r="O308" s="13"/>
      <c r="P308" s="14"/>
      <c r="Q308" s="13"/>
      <c r="R308" s="13"/>
      <c r="S308" s="14"/>
      <c r="T308" s="14"/>
      <c r="U308" s="13"/>
      <c r="V308" s="13"/>
      <c r="W308" s="14"/>
    </row>
    <row r="309" spans="1:23" x14ac:dyDescent="0.3">
      <c r="A309" s="13">
        <v>305</v>
      </c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3"/>
      <c r="O309" s="13"/>
      <c r="P309" s="14"/>
      <c r="Q309" s="13"/>
      <c r="R309" s="13"/>
      <c r="S309" s="14"/>
      <c r="T309" s="14"/>
      <c r="U309" s="13"/>
      <c r="V309" s="13"/>
      <c r="W309" s="14"/>
    </row>
    <row r="310" spans="1:23" x14ac:dyDescent="0.3">
      <c r="A310" s="13">
        <v>306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3"/>
      <c r="O310" s="13"/>
      <c r="P310" s="14"/>
      <c r="Q310" s="13"/>
      <c r="R310" s="13"/>
      <c r="S310" s="14"/>
      <c r="T310" s="14"/>
      <c r="U310" s="13"/>
      <c r="V310" s="13"/>
      <c r="W310" s="14"/>
    </row>
    <row r="311" spans="1:23" x14ac:dyDescent="0.3">
      <c r="A311" s="13">
        <v>307</v>
      </c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3"/>
      <c r="O311" s="13"/>
      <c r="P311" s="14"/>
      <c r="Q311" s="13"/>
      <c r="R311" s="13"/>
      <c r="S311" s="14"/>
      <c r="T311" s="14"/>
      <c r="U311" s="13"/>
      <c r="V311" s="13"/>
      <c r="W311" s="14"/>
    </row>
    <row r="312" spans="1:23" x14ac:dyDescent="0.3">
      <c r="A312" s="13">
        <v>308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3"/>
      <c r="O312" s="13"/>
      <c r="P312" s="14"/>
      <c r="Q312" s="13"/>
      <c r="R312" s="13"/>
      <c r="S312" s="14"/>
      <c r="T312" s="14"/>
      <c r="U312" s="13"/>
      <c r="V312" s="13"/>
      <c r="W312" s="14"/>
    </row>
    <row r="313" spans="1:23" x14ac:dyDescent="0.3">
      <c r="A313" s="13">
        <v>309</v>
      </c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3"/>
      <c r="O313" s="13"/>
      <c r="P313" s="14"/>
      <c r="Q313" s="13"/>
      <c r="R313" s="13"/>
      <c r="S313" s="14"/>
      <c r="T313" s="14"/>
      <c r="U313" s="13"/>
      <c r="V313" s="13"/>
      <c r="W313" s="14"/>
    </row>
    <row r="314" spans="1:23" x14ac:dyDescent="0.3">
      <c r="A314" s="13">
        <v>310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3"/>
      <c r="O314" s="13"/>
      <c r="P314" s="14"/>
      <c r="Q314" s="13"/>
      <c r="R314" s="13"/>
      <c r="S314" s="14"/>
      <c r="T314" s="14"/>
      <c r="U314" s="13"/>
      <c r="V314" s="13"/>
      <c r="W314" s="14"/>
    </row>
    <row r="315" spans="1:23" x14ac:dyDescent="0.3">
      <c r="A315" s="13">
        <v>311</v>
      </c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3"/>
      <c r="O315" s="13"/>
      <c r="P315" s="14"/>
      <c r="Q315" s="13"/>
      <c r="R315" s="13"/>
      <c r="S315" s="14"/>
      <c r="T315" s="14"/>
      <c r="U315" s="13"/>
      <c r="V315" s="13"/>
      <c r="W315" s="14"/>
    </row>
    <row r="316" spans="1:23" x14ac:dyDescent="0.3">
      <c r="A316" s="13">
        <v>312</v>
      </c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3"/>
      <c r="O316" s="13"/>
      <c r="P316" s="14"/>
      <c r="Q316" s="13"/>
      <c r="R316" s="13"/>
      <c r="S316" s="14"/>
      <c r="T316" s="14"/>
      <c r="U316" s="13"/>
      <c r="V316" s="13"/>
      <c r="W316" s="14"/>
    </row>
    <row r="317" spans="1:23" x14ac:dyDescent="0.3">
      <c r="A317" s="13">
        <v>313</v>
      </c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3"/>
      <c r="O317" s="13"/>
      <c r="P317" s="14"/>
      <c r="Q317" s="13"/>
      <c r="R317" s="13"/>
      <c r="S317" s="14"/>
      <c r="T317" s="14"/>
      <c r="U317" s="13"/>
      <c r="V317" s="13"/>
      <c r="W317" s="14"/>
    </row>
    <row r="318" spans="1:23" x14ac:dyDescent="0.3">
      <c r="A318" s="13">
        <v>314</v>
      </c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3"/>
      <c r="O318" s="13"/>
      <c r="P318" s="14"/>
      <c r="Q318" s="13"/>
      <c r="R318" s="13"/>
      <c r="S318" s="14"/>
      <c r="T318" s="14"/>
      <c r="U318" s="13"/>
      <c r="V318" s="13"/>
      <c r="W318" s="14"/>
    </row>
    <row r="319" spans="1:23" x14ac:dyDescent="0.3">
      <c r="A319" s="13">
        <v>315</v>
      </c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3"/>
      <c r="O319" s="13"/>
      <c r="P319" s="14"/>
      <c r="Q319" s="13"/>
      <c r="R319" s="13"/>
      <c r="S319" s="14"/>
      <c r="T319" s="14"/>
      <c r="U319" s="13"/>
      <c r="V319" s="13"/>
      <c r="W319" s="14"/>
    </row>
    <row r="320" spans="1:23" x14ac:dyDescent="0.3">
      <c r="A320" s="13">
        <v>316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3"/>
      <c r="O320" s="13"/>
      <c r="P320" s="14"/>
      <c r="Q320" s="13"/>
      <c r="R320" s="13"/>
      <c r="S320" s="14"/>
      <c r="T320" s="14"/>
      <c r="U320" s="13"/>
      <c r="V320" s="13"/>
      <c r="W320" s="14"/>
    </row>
    <row r="321" spans="1:23" x14ac:dyDescent="0.3">
      <c r="A321" s="13">
        <v>317</v>
      </c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3"/>
      <c r="O321" s="13"/>
      <c r="P321" s="14"/>
      <c r="Q321" s="13"/>
      <c r="R321" s="13"/>
      <c r="S321" s="14"/>
      <c r="T321" s="14"/>
      <c r="U321" s="13"/>
      <c r="V321" s="13"/>
      <c r="W321" s="14"/>
    </row>
    <row r="322" spans="1:23" x14ac:dyDescent="0.3">
      <c r="A322" s="13">
        <v>318</v>
      </c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3"/>
      <c r="O322" s="13"/>
      <c r="P322" s="14"/>
      <c r="Q322" s="13"/>
      <c r="R322" s="13"/>
      <c r="S322" s="14"/>
      <c r="T322" s="14"/>
      <c r="U322" s="13"/>
      <c r="V322" s="13"/>
      <c r="W322" s="14"/>
    </row>
    <row r="323" spans="1:23" x14ac:dyDescent="0.3">
      <c r="A323" s="13">
        <v>319</v>
      </c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3"/>
      <c r="O323" s="13"/>
      <c r="P323" s="14"/>
      <c r="Q323" s="13"/>
      <c r="R323" s="13"/>
      <c r="S323" s="14"/>
      <c r="T323" s="14"/>
      <c r="U323" s="13"/>
      <c r="V323" s="13"/>
      <c r="W323" s="14"/>
    </row>
    <row r="324" spans="1:23" x14ac:dyDescent="0.3">
      <c r="A324" s="13">
        <v>320</v>
      </c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3"/>
      <c r="O324" s="13"/>
      <c r="P324" s="14"/>
      <c r="Q324" s="13"/>
      <c r="R324" s="13"/>
      <c r="S324" s="14"/>
      <c r="T324" s="14"/>
      <c r="U324" s="13"/>
      <c r="V324" s="13"/>
      <c r="W324" s="14"/>
    </row>
    <row r="325" spans="1:23" x14ac:dyDescent="0.3">
      <c r="A325" s="13">
        <v>321</v>
      </c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3"/>
      <c r="O325" s="13"/>
      <c r="P325" s="14"/>
      <c r="Q325" s="13"/>
      <c r="R325" s="13"/>
      <c r="S325" s="14"/>
      <c r="T325" s="14"/>
      <c r="U325" s="13"/>
      <c r="V325" s="13"/>
      <c r="W325" s="14"/>
    </row>
    <row r="326" spans="1:23" x14ac:dyDescent="0.3">
      <c r="A326" s="13">
        <v>322</v>
      </c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3"/>
      <c r="O326" s="13"/>
      <c r="P326" s="14"/>
      <c r="Q326" s="13"/>
      <c r="R326" s="13"/>
      <c r="S326" s="14"/>
      <c r="T326" s="14"/>
      <c r="U326" s="13"/>
      <c r="V326" s="13"/>
      <c r="W326" s="14"/>
    </row>
    <row r="327" spans="1:23" x14ac:dyDescent="0.3">
      <c r="A327" s="13">
        <v>323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3"/>
      <c r="O327" s="13"/>
      <c r="P327" s="14"/>
      <c r="Q327" s="13"/>
      <c r="R327" s="13"/>
      <c r="S327" s="14"/>
      <c r="T327" s="14"/>
      <c r="U327" s="13"/>
      <c r="V327" s="13"/>
      <c r="W327" s="14"/>
    </row>
    <row r="328" spans="1:23" x14ac:dyDescent="0.3">
      <c r="A328" s="13">
        <v>324</v>
      </c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3"/>
      <c r="O328" s="13"/>
      <c r="P328" s="14"/>
      <c r="Q328" s="13"/>
      <c r="R328" s="13"/>
      <c r="S328" s="14"/>
      <c r="T328" s="14"/>
      <c r="U328" s="13"/>
      <c r="V328" s="13"/>
      <c r="W328" s="14"/>
    </row>
    <row r="329" spans="1:23" x14ac:dyDescent="0.3">
      <c r="A329" s="13">
        <v>325</v>
      </c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3"/>
      <c r="O329" s="13"/>
      <c r="P329" s="14"/>
      <c r="Q329" s="13"/>
      <c r="R329" s="13"/>
      <c r="S329" s="14"/>
      <c r="T329" s="14"/>
      <c r="U329" s="13"/>
      <c r="V329" s="13"/>
      <c r="W329" s="14"/>
    </row>
    <row r="330" spans="1:23" x14ac:dyDescent="0.3">
      <c r="A330" s="13">
        <v>326</v>
      </c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3"/>
      <c r="O330" s="13"/>
      <c r="P330" s="14"/>
      <c r="Q330" s="13"/>
      <c r="R330" s="13"/>
      <c r="S330" s="14"/>
      <c r="T330" s="14"/>
      <c r="U330" s="13"/>
      <c r="V330" s="13"/>
      <c r="W330" s="14"/>
    </row>
    <row r="331" spans="1:23" x14ac:dyDescent="0.3">
      <c r="A331" s="13">
        <v>327</v>
      </c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3"/>
      <c r="O331" s="13"/>
      <c r="P331" s="14"/>
      <c r="Q331" s="13"/>
      <c r="R331" s="13"/>
      <c r="S331" s="14"/>
      <c r="T331" s="14"/>
      <c r="U331" s="13"/>
      <c r="V331" s="13"/>
      <c r="W331" s="14"/>
    </row>
    <row r="332" spans="1:23" x14ac:dyDescent="0.3">
      <c r="A332" s="13">
        <v>328</v>
      </c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3"/>
      <c r="O332" s="13"/>
      <c r="P332" s="14"/>
      <c r="Q332" s="13"/>
      <c r="R332" s="13"/>
      <c r="S332" s="14"/>
      <c r="T332" s="14"/>
      <c r="U332" s="13"/>
      <c r="V332" s="13"/>
      <c r="W332" s="14"/>
    </row>
    <row r="333" spans="1:23" x14ac:dyDescent="0.3">
      <c r="A333" s="13">
        <v>329</v>
      </c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3"/>
      <c r="O333" s="13"/>
      <c r="P333" s="14"/>
      <c r="Q333" s="13"/>
      <c r="R333" s="13"/>
      <c r="S333" s="14"/>
      <c r="T333" s="14"/>
      <c r="U333" s="13"/>
      <c r="V333" s="13"/>
      <c r="W333" s="14"/>
    </row>
    <row r="334" spans="1:23" x14ac:dyDescent="0.3">
      <c r="A334" s="13">
        <v>330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3"/>
      <c r="O334" s="13"/>
      <c r="P334" s="14"/>
      <c r="Q334" s="13"/>
      <c r="R334" s="13"/>
      <c r="S334" s="14"/>
      <c r="T334" s="14"/>
      <c r="U334" s="13"/>
      <c r="V334" s="13"/>
      <c r="W334" s="14"/>
    </row>
    <row r="335" spans="1:23" x14ac:dyDescent="0.3">
      <c r="A335" s="13">
        <v>331</v>
      </c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3"/>
      <c r="O335" s="13"/>
      <c r="P335" s="14"/>
      <c r="Q335" s="13"/>
      <c r="R335" s="13"/>
      <c r="S335" s="14"/>
      <c r="T335" s="14"/>
      <c r="U335" s="13"/>
      <c r="V335" s="13"/>
      <c r="W335" s="14"/>
    </row>
    <row r="336" spans="1:23" x14ac:dyDescent="0.3">
      <c r="A336" s="13">
        <v>332</v>
      </c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3"/>
      <c r="O336" s="13"/>
      <c r="P336" s="14"/>
      <c r="Q336" s="13"/>
      <c r="R336" s="13"/>
      <c r="S336" s="14"/>
      <c r="T336" s="14"/>
      <c r="U336" s="13"/>
      <c r="V336" s="13"/>
      <c r="W336" s="14"/>
    </row>
    <row r="337" spans="1:23" x14ac:dyDescent="0.3">
      <c r="A337" s="13">
        <v>333</v>
      </c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3"/>
      <c r="O337" s="13"/>
      <c r="P337" s="14"/>
      <c r="Q337" s="13"/>
      <c r="R337" s="13"/>
      <c r="S337" s="14"/>
      <c r="T337" s="14"/>
      <c r="U337" s="13"/>
      <c r="V337" s="13"/>
      <c r="W337" s="14"/>
    </row>
    <row r="338" spans="1:23" x14ac:dyDescent="0.3">
      <c r="A338" s="13">
        <v>334</v>
      </c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3"/>
      <c r="O338" s="13"/>
      <c r="P338" s="14"/>
      <c r="Q338" s="13"/>
      <c r="R338" s="13"/>
      <c r="S338" s="14"/>
      <c r="T338" s="14"/>
      <c r="U338" s="13"/>
      <c r="V338" s="13"/>
      <c r="W338" s="14"/>
    </row>
    <row r="339" spans="1:23" x14ac:dyDescent="0.3">
      <c r="A339" s="13">
        <v>335</v>
      </c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3"/>
      <c r="O339" s="13"/>
      <c r="P339" s="14"/>
      <c r="Q339" s="13"/>
      <c r="R339" s="13"/>
      <c r="S339" s="14"/>
      <c r="T339" s="14"/>
      <c r="U339" s="13"/>
      <c r="V339" s="13"/>
      <c r="W339" s="14"/>
    </row>
    <row r="340" spans="1:23" x14ac:dyDescent="0.3">
      <c r="A340" s="13">
        <v>336</v>
      </c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3"/>
      <c r="O340" s="13"/>
      <c r="P340" s="14"/>
      <c r="Q340" s="13"/>
      <c r="R340" s="13"/>
      <c r="S340" s="14"/>
      <c r="T340" s="14"/>
      <c r="U340" s="13"/>
      <c r="V340" s="13"/>
      <c r="W340" s="14"/>
    </row>
    <row r="341" spans="1:23" x14ac:dyDescent="0.3">
      <c r="A341" s="13">
        <v>337</v>
      </c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3"/>
      <c r="O341" s="13"/>
      <c r="P341" s="14"/>
      <c r="Q341" s="13"/>
      <c r="R341" s="13"/>
      <c r="S341" s="14"/>
      <c r="T341" s="14"/>
      <c r="U341" s="13"/>
      <c r="V341" s="13"/>
      <c r="W341" s="14"/>
    </row>
    <row r="342" spans="1:23" x14ac:dyDescent="0.3">
      <c r="A342" s="13">
        <v>338</v>
      </c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3"/>
      <c r="O342" s="13"/>
      <c r="P342" s="14"/>
      <c r="Q342" s="13"/>
      <c r="R342" s="13"/>
      <c r="S342" s="14"/>
      <c r="T342" s="14"/>
      <c r="U342" s="13"/>
      <c r="V342" s="13"/>
      <c r="W342" s="14"/>
    </row>
    <row r="343" spans="1:23" x14ac:dyDescent="0.3">
      <c r="A343" s="13">
        <v>339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3"/>
      <c r="O343" s="13"/>
      <c r="P343" s="14"/>
      <c r="Q343" s="13"/>
      <c r="R343" s="13"/>
      <c r="S343" s="14"/>
      <c r="T343" s="14"/>
      <c r="U343" s="13"/>
      <c r="V343" s="13"/>
      <c r="W343" s="14"/>
    </row>
    <row r="344" spans="1:23" x14ac:dyDescent="0.3">
      <c r="A344" s="13">
        <v>340</v>
      </c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3"/>
      <c r="O344" s="13"/>
      <c r="P344" s="14"/>
      <c r="Q344" s="13"/>
      <c r="R344" s="13"/>
      <c r="S344" s="14"/>
      <c r="T344" s="14"/>
      <c r="U344" s="13"/>
      <c r="V344" s="13"/>
      <c r="W344" s="14"/>
    </row>
    <row r="345" spans="1:23" x14ac:dyDescent="0.3">
      <c r="A345" s="13">
        <v>341</v>
      </c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3"/>
      <c r="O345" s="13"/>
      <c r="P345" s="14"/>
      <c r="Q345" s="13"/>
      <c r="R345" s="13"/>
      <c r="S345" s="14"/>
      <c r="T345" s="14"/>
      <c r="U345" s="13"/>
      <c r="V345" s="13"/>
      <c r="W345" s="14"/>
    </row>
    <row r="346" spans="1:23" x14ac:dyDescent="0.3">
      <c r="A346" s="13">
        <v>342</v>
      </c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3"/>
      <c r="O346" s="13"/>
      <c r="P346" s="14"/>
      <c r="Q346" s="13"/>
      <c r="R346" s="13"/>
      <c r="S346" s="14"/>
      <c r="T346" s="14"/>
      <c r="U346" s="13"/>
      <c r="V346" s="13"/>
      <c r="W346" s="14"/>
    </row>
    <row r="347" spans="1:23" x14ac:dyDescent="0.3">
      <c r="A347" s="13">
        <v>343</v>
      </c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3"/>
      <c r="O347" s="13"/>
      <c r="P347" s="14"/>
      <c r="Q347" s="13"/>
      <c r="R347" s="13"/>
      <c r="S347" s="14"/>
      <c r="T347" s="14"/>
      <c r="U347" s="13"/>
      <c r="V347" s="13"/>
      <c r="W347" s="14"/>
    </row>
    <row r="348" spans="1:23" x14ac:dyDescent="0.3">
      <c r="A348" s="13">
        <v>344</v>
      </c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3"/>
      <c r="O348" s="13"/>
      <c r="P348" s="14"/>
      <c r="Q348" s="13"/>
      <c r="R348" s="13"/>
      <c r="S348" s="14"/>
      <c r="T348" s="14"/>
      <c r="U348" s="13"/>
      <c r="V348" s="13"/>
      <c r="W348" s="14"/>
    </row>
    <row r="349" spans="1:23" x14ac:dyDescent="0.3">
      <c r="A349" s="13">
        <v>345</v>
      </c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3"/>
      <c r="O349" s="13"/>
      <c r="P349" s="14"/>
      <c r="Q349" s="13"/>
      <c r="R349" s="13"/>
      <c r="S349" s="14"/>
      <c r="T349" s="14"/>
      <c r="U349" s="13"/>
      <c r="V349" s="13"/>
      <c r="W349" s="14"/>
    </row>
    <row r="350" spans="1:23" x14ac:dyDescent="0.3">
      <c r="A350" s="13">
        <v>346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3"/>
      <c r="O350" s="13"/>
      <c r="P350" s="14"/>
      <c r="Q350" s="13"/>
      <c r="R350" s="13"/>
      <c r="S350" s="14"/>
      <c r="T350" s="14"/>
      <c r="U350" s="13"/>
      <c r="V350" s="13"/>
      <c r="W350" s="14"/>
    </row>
    <row r="351" spans="1:23" x14ac:dyDescent="0.3">
      <c r="A351" s="13">
        <v>347</v>
      </c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3"/>
      <c r="O351" s="13"/>
      <c r="P351" s="14"/>
      <c r="Q351" s="13"/>
      <c r="R351" s="13"/>
      <c r="S351" s="14"/>
      <c r="T351" s="14"/>
      <c r="U351" s="13"/>
      <c r="V351" s="13"/>
      <c r="W351" s="14"/>
    </row>
    <row r="352" spans="1:23" x14ac:dyDescent="0.3">
      <c r="A352" s="13">
        <v>348</v>
      </c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3"/>
      <c r="O352" s="13"/>
      <c r="P352" s="14"/>
      <c r="Q352" s="13"/>
      <c r="R352" s="13"/>
      <c r="S352" s="14"/>
      <c r="T352" s="14"/>
      <c r="U352" s="13"/>
      <c r="V352" s="13"/>
      <c r="W352" s="14"/>
    </row>
    <row r="353" spans="1:23" x14ac:dyDescent="0.3">
      <c r="A353" s="13">
        <v>349</v>
      </c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3"/>
      <c r="O353" s="13"/>
      <c r="P353" s="14"/>
      <c r="Q353" s="13"/>
      <c r="R353" s="13"/>
      <c r="S353" s="14"/>
      <c r="T353" s="14"/>
      <c r="U353" s="13"/>
      <c r="V353" s="13"/>
      <c r="W353" s="14"/>
    </row>
    <row r="354" spans="1:23" x14ac:dyDescent="0.3">
      <c r="A354" s="13">
        <v>350</v>
      </c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3"/>
      <c r="O354" s="13"/>
      <c r="P354" s="14"/>
      <c r="Q354" s="13"/>
      <c r="R354" s="13"/>
      <c r="S354" s="14"/>
      <c r="T354" s="14"/>
      <c r="U354" s="13"/>
      <c r="V354" s="13"/>
      <c r="W354" s="14"/>
    </row>
    <row r="355" spans="1:23" x14ac:dyDescent="0.3">
      <c r="A355" s="13">
        <v>351</v>
      </c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3"/>
      <c r="O355" s="13"/>
      <c r="P355" s="14"/>
      <c r="Q355" s="13"/>
      <c r="R355" s="13"/>
      <c r="S355" s="14"/>
      <c r="T355" s="14"/>
      <c r="U355" s="13"/>
      <c r="V355" s="13"/>
      <c r="W355" s="14"/>
    </row>
    <row r="356" spans="1:23" x14ac:dyDescent="0.3">
      <c r="A356" s="13">
        <v>352</v>
      </c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3"/>
      <c r="O356" s="13"/>
      <c r="P356" s="14"/>
      <c r="Q356" s="13"/>
      <c r="R356" s="13"/>
      <c r="S356" s="14"/>
      <c r="T356" s="14"/>
      <c r="U356" s="13"/>
      <c r="V356" s="13"/>
      <c r="W356" s="14"/>
    </row>
    <row r="357" spans="1:23" x14ac:dyDescent="0.3">
      <c r="A357" s="13">
        <v>353</v>
      </c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3"/>
      <c r="O357" s="13"/>
      <c r="P357" s="14"/>
      <c r="Q357" s="13"/>
      <c r="R357" s="13"/>
      <c r="S357" s="14"/>
      <c r="T357" s="14"/>
      <c r="U357" s="13"/>
      <c r="V357" s="13"/>
      <c r="W357" s="14"/>
    </row>
    <row r="358" spans="1:23" x14ac:dyDescent="0.3">
      <c r="A358" s="13">
        <v>354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3"/>
      <c r="O358" s="13"/>
      <c r="P358" s="14"/>
      <c r="Q358" s="13"/>
      <c r="R358" s="13"/>
      <c r="S358" s="14"/>
      <c r="T358" s="14"/>
      <c r="U358" s="13"/>
      <c r="V358" s="13"/>
      <c r="W358" s="14"/>
    </row>
    <row r="359" spans="1:23" x14ac:dyDescent="0.3">
      <c r="A359" s="13">
        <v>355</v>
      </c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3"/>
      <c r="O359" s="13"/>
      <c r="P359" s="14"/>
      <c r="Q359" s="13"/>
      <c r="R359" s="13"/>
      <c r="S359" s="14"/>
      <c r="T359" s="14"/>
      <c r="U359" s="13"/>
      <c r="V359" s="13"/>
      <c r="W359" s="14"/>
    </row>
    <row r="360" spans="1:23" x14ac:dyDescent="0.3">
      <c r="A360" s="13">
        <v>356</v>
      </c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3"/>
      <c r="O360" s="13"/>
      <c r="P360" s="14"/>
      <c r="Q360" s="13"/>
      <c r="R360" s="13"/>
      <c r="S360" s="14"/>
      <c r="T360" s="14"/>
      <c r="U360" s="13"/>
      <c r="V360" s="13"/>
      <c r="W360" s="14"/>
    </row>
    <row r="361" spans="1:23" x14ac:dyDescent="0.3">
      <c r="A361" s="13">
        <v>357</v>
      </c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3"/>
      <c r="O361" s="13"/>
      <c r="P361" s="14"/>
      <c r="Q361" s="13"/>
      <c r="R361" s="13"/>
      <c r="S361" s="14"/>
      <c r="T361" s="14"/>
      <c r="U361" s="13"/>
      <c r="V361" s="13"/>
      <c r="W361" s="14"/>
    </row>
    <row r="362" spans="1:23" x14ac:dyDescent="0.3">
      <c r="A362" s="13">
        <v>358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3"/>
      <c r="O362" s="13"/>
      <c r="P362" s="14"/>
      <c r="Q362" s="13"/>
      <c r="R362" s="13"/>
      <c r="S362" s="14"/>
      <c r="T362" s="14"/>
      <c r="U362" s="13"/>
      <c r="V362" s="13"/>
      <c r="W362" s="14"/>
    </row>
    <row r="363" spans="1:23" x14ac:dyDescent="0.3">
      <c r="A363" s="13">
        <v>359</v>
      </c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3"/>
      <c r="O363" s="13"/>
      <c r="P363" s="14"/>
      <c r="Q363" s="13"/>
      <c r="R363" s="13"/>
      <c r="S363" s="14"/>
      <c r="T363" s="14"/>
      <c r="U363" s="13"/>
      <c r="V363" s="13"/>
      <c r="W363" s="14"/>
    </row>
    <row r="364" spans="1:23" x14ac:dyDescent="0.3">
      <c r="A364" s="13">
        <v>360</v>
      </c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3"/>
      <c r="O364" s="13"/>
      <c r="P364" s="14"/>
      <c r="Q364" s="13"/>
      <c r="R364" s="13"/>
      <c r="S364" s="14"/>
      <c r="T364" s="14"/>
      <c r="U364" s="13"/>
      <c r="V364" s="13"/>
      <c r="W364" s="14"/>
    </row>
    <row r="365" spans="1:23" x14ac:dyDescent="0.3">
      <c r="A365" s="13">
        <v>361</v>
      </c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3"/>
      <c r="O365" s="13"/>
      <c r="P365" s="14"/>
      <c r="Q365" s="13"/>
      <c r="R365" s="13"/>
      <c r="S365" s="14"/>
      <c r="T365" s="14"/>
      <c r="U365" s="13"/>
      <c r="V365" s="13"/>
      <c r="W365" s="14"/>
    </row>
    <row r="366" spans="1:23" x14ac:dyDescent="0.3">
      <c r="A366" s="13">
        <v>362</v>
      </c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3"/>
      <c r="O366" s="13"/>
      <c r="P366" s="14"/>
      <c r="Q366" s="13"/>
      <c r="R366" s="13"/>
      <c r="S366" s="14"/>
      <c r="T366" s="14"/>
      <c r="U366" s="13"/>
      <c r="V366" s="13"/>
      <c r="W366" s="14"/>
    </row>
    <row r="367" spans="1:23" x14ac:dyDescent="0.3">
      <c r="A367" s="13">
        <v>363</v>
      </c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3"/>
      <c r="O367" s="13"/>
      <c r="P367" s="14"/>
      <c r="Q367" s="13"/>
      <c r="R367" s="13"/>
      <c r="S367" s="14"/>
      <c r="T367" s="14"/>
      <c r="U367" s="13"/>
      <c r="V367" s="13"/>
      <c r="W367" s="14"/>
    </row>
    <row r="368" spans="1:23" x14ac:dyDescent="0.3">
      <c r="A368" s="13">
        <v>364</v>
      </c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3"/>
      <c r="O368" s="13"/>
      <c r="P368" s="14"/>
      <c r="Q368" s="13"/>
      <c r="R368" s="13"/>
      <c r="S368" s="14"/>
      <c r="T368" s="14"/>
      <c r="U368" s="13"/>
      <c r="V368" s="13"/>
      <c r="W368" s="14"/>
    </row>
    <row r="369" spans="1:23" x14ac:dyDescent="0.3">
      <c r="A369" s="13">
        <v>365</v>
      </c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3"/>
      <c r="O369" s="13"/>
      <c r="P369" s="14"/>
      <c r="Q369" s="13"/>
      <c r="R369" s="13"/>
      <c r="S369" s="14"/>
      <c r="T369" s="14"/>
      <c r="U369" s="13"/>
      <c r="V369" s="13"/>
      <c r="W369" s="14"/>
    </row>
    <row r="370" spans="1:23" x14ac:dyDescent="0.3">
      <c r="A370" s="13">
        <v>366</v>
      </c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3"/>
      <c r="O370" s="13"/>
      <c r="P370" s="14"/>
      <c r="Q370" s="13"/>
      <c r="R370" s="13"/>
      <c r="S370" s="14"/>
      <c r="T370" s="14"/>
      <c r="U370" s="13"/>
      <c r="V370" s="13"/>
      <c r="W370" s="14"/>
    </row>
    <row r="371" spans="1:23" x14ac:dyDescent="0.3">
      <c r="A371" s="13">
        <v>367</v>
      </c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3"/>
      <c r="O371" s="13"/>
      <c r="P371" s="14"/>
      <c r="Q371" s="13"/>
      <c r="R371" s="13"/>
      <c r="S371" s="14"/>
      <c r="T371" s="14"/>
      <c r="U371" s="13"/>
      <c r="V371" s="13"/>
      <c r="W371" s="14"/>
    </row>
    <row r="372" spans="1:23" x14ac:dyDescent="0.3">
      <c r="A372" s="13">
        <v>368</v>
      </c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3"/>
      <c r="O372" s="13"/>
      <c r="P372" s="14"/>
      <c r="Q372" s="13"/>
      <c r="R372" s="13"/>
      <c r="S372" s="14"/>
      <c r="T372" s="14"/>
      <c r="U372" s="13"/>
      <c r="V372" s="13"/>
      <c r="W372" s="14"/>
    </row>
    <row r="373" spans="1:23" x14ac:dyDescent="0.3">
      <c r="A373" s="13">
        <v>369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3"/>
      <c r="O373" s="13"/>
      <c r="P373" s="14"/>
      <c r="Q373" s="13"/>
      <c r="R373" s="13"/>
      <c r="S373" s="14"/>
      <c r="T373" s="14"/>
      <c r="U373" s="13"/>
      <c r="V373" s="13"/>
      <c r="W373" s="14"/>
    </row>
    <row r="374" spans="1:23" x14ac:dyDescent="0.3">
      <c r="A374" s="13">
        <v>370</v>
      </c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3"/>
      <c r="O374" s="13"/>
      <c r="P374" s="14"/>
      <c r="Q374" s="13"/>
      <c r="R374" s="13"/>
      <c r="S374" s="14"/>
      <c r="T374" s="14"/>
      <c r="U374" s="13"/>
      <c r="V374" s="13"/>
      <c r="W374" s="14"/>
    </row>
    <row r="375" spans="1:23" x14ac:dyDescent="0.3">
      <c r="A375" s="13">
        <v>371</v>
      </c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3"/>
      <c r="O375" s="13"/>
      <c r="P375" s="14"/>
      <c r="Q375" s="13"/>
      <c r="R375" s="13"/>
      <c r="S375" s="14"/>
      <c r="T375" s="14"/>
      <c r="U375" s="13"/>
      <c r="V375" s="13"/>
      <c r="W375" s="14"/>
    </row>
    <row r="376" spans="1:23" x14ac:dyDescent="0.3">
      <c r="A376" s="13">
        <v>372</v>
      </c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3"/>
      <c r="O376" s="13"/>
      <c r="P376" s="14"/>
      <c r="Q376" s="13"/>
      <c r="R376" s="13"/>
      <c r="S376" s="14"/>
      <c r="T376" s="14"/>
      <c r="U376" s="13"/>
      <c r="V376" s="13"/>
      <c r="W376" s="14"/>
    </row>
    <row r="377" spans="1:23" x14ac:dyDescent="0.3">
      <c r="A377" s="13">
        <v>373</v>
      </c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3"/>
      <c r="O377" s="13"/>
      <c r="P377" s="14"/>
      <c r="Q377" s="13"/>
      <c r="R377" s="13"/>
      <c r="S377" s="14"/>
      <c r="T377" s="14"/>
      <c r="U377" s="13"/>
      <c r="V377" s="13"/>
      <c r="W377" s="14"/>
    </row>
    <row r="378" spans="1:23" x14ac:dyDescent="0.3">
      <c r="A378" s="13">
        <v>374</v>
      </c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3"/>
      <c r="O378" s="13"/>
      <c r="P378" s="14"/>
      <c r="Q378" s="13"/>
      <c r="R378" s="13"/>
      <c r="S378" s="14"/>
      <c r="T378" s="14"/>
      <c r="U378" s="13"/>
      <c r="V378" s="13"/>
      <c r="W378" s="14"/>
    </row>
    <row r="379" spans="1:23" x14ac:dyDescent="0.3">
      <c r="A379" s="13">
        <v>375</v>
      </c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3"/>
      <c r="O379" s="13"/>
      <c r="P379" s="14"/>
      <c r="Q379" s="13"/>
      <c r="R379" s="13"/>
      <c r="S379" s="14"/>
      <c r="T379" s="14"/>
      <c r="U379" s="13"/>
      <c r="V379" s="13"/>
      <c r="W379" s="14"/>
    </row>
    <row r="380" spans="1:23" x14ac:dyDescent="0.3">
      <c r="A380" s="13">
        <v>376</v>
      </c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3"/>
      <c r="O380" s="13"/>
      <c r="P380" s="14"/>
      <c r="Q380" s="13"/>
      <c r="R380" s="13"/>
      <c r="S380" s="14"/>
      <c r="T380" s="14"/>
      <c r="U380" s="13"/>
      <c r="V380" s="13"/>
      <c r="W380" s="14"/>
    </row>
    <row r="381" spans="1:23" x14ac:dyDescent="0.3">
      <c r="A381" s="13">
        <v>377</v>
      </c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3"/>
      <c r="O381" s="13"/>
      <c r="P381" s="14"/>
      <c r="Q381" s="13"/>
      <c r="R381" s="13"/>
      <c r="S381" s="14"/>
      <c r="T381" s="14"/>
      <c r="U381" s="13"/>
      <c r="V381" s="13"/>
      <c r="W381" s="14"/>
    </row>
    <row r="382" spans="1:23" x14ac:dyDescent="0.3">
      <c r="A382" s="13">
        <v>378</v>
      </c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3"/>
      <c r="O382" s="13"/>
      <c r="P382" s="14"/>
      <c r="Q382" s="13"/>
      <c r="R382" s="13"/>
      <c r="S382" s="14"/>
      <c r="T382" s="14"/>
      <c r="U382" s="13"/>
      <c r="V382" s="13"/>
      <c r="W382" s="14"/>
    </row>
    <row r="383" spans="1:23" x14ac:dyDescent="0.3">
      <c r="A383" s="13">
        <v>379</v>
      </c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3"/>
      <c r="O383" s="13"/>
      <c r="P383" s="14"/>
      <c r="Q383" s="13"/>
      <c r="R383" s="13"/>
      <c r="S383" s="14"/>
      <c r="T383" s="14"/>
      <c r="U383" s="13"/>
      <c r="V383" s="13"/>
      <c r="W383" s="14"/>
    </row>
    <row r="384" spans="1:23" x14ac:dyDescent="0.3">
      <c r="A384" s="13">
        <v>380</v>
      </c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3"/>
      <c r="O384" s="13"/>
      <c r="P384" s="14"/>
      <c r="Q384" s="13"/>
      <c r="R384" s="13"/>
      <c r="S384" s="14"/>
      <c r="T384" s="14"/>
      <c r="U384" s="13"/>
      <c r="V384" s="13"/>
      <c r="W384" s="14"/>
    </row>
    <row r="385" spans="1:23" x14ac:dyDescent="0.3">
      <c r="A385" s="13">
        <v>381</v>
      </c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3"/>
      <c r="O385" s="13"/>
      <c r="P385" s="14"/>
      <c r="Q385" s="13"/>
      <c r="R385" s="13"/>
      <c r="S385" s="14"/>
      <c r="T385" s="14"/>
      <c r="U385" s="13"/>
      <c r="V385" s="13"/>
      <c r="W385" s="14"/>
    </row>
    <row r="386" spans="1:23" x14ac:dyDescent="0.3">
      <c r="A386" s="13">
        <v>382</v>
      </c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3"/>
      <c r="O386" s="13"/>
      <c r="P386" s="14"/>
      <c r="Q386" s="13"/>
      <c r="R386" s="13"/>
      <c r="S386" s="14"/>
      <c r="T386" s="14"/>
      <c r="U386" s="13"/>
      <c r="V386" s="13"/>
      <c r="W386" s="14"/>
    </row>
    <row r="387" spans="1:23" x14ac:dyDescent="0.3">
      <c r="A387" s="13">
        <v>383</v>
      </c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3"/>
      <c r="O387" s="13"/>
      <c r="P387" s="14"/>
      <c r="Q387" s="13"/>
      <c r="R387" s="13"/>
      <c r="S387" s="14"/>
      <c r="T387" s="14"/>
      <c r="U387" s="13"/>
      <c r="V387" s="13"/>
      <c r="W387" s="14"/>
    </row>
    <row r="388" spans="1:23" x14ac:dyDescent="0.3">
      <c r="A388" s="13">
        <v>384</v>
      </c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3"/>
      <c r="O388" s="13"/>
      <c r="P388" s="14"/>
      <c r="Q388" s="13"/>
      <c r="R388" s="13"/>
      <c r="S388" s="14"/>
      <c r="T388" s="14"/>
      <c r="U388" s="13"/>
      <c r="V388" s="13"/>
      <c r="W388" s="14"/>
    </row>
    <row r="389" spans="1:23" x14ac:dyDescent="0.3">
      <c r="A389" s="13">
        <v>385</v>
      </c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3"/>
      <c r="O389" s="13"/>
      <c r="P389" s="14"/>
      <c r="Q389" s="13"/>
      <c r="R389" s="13"/>
      <c r="S389" s="14"/>
      <c r="T389" s="14"/>
      <c r="U389" s="13"/>
      <c r="V389" s="13"/>
      <c r="W389" s="14"/>
    </row>
    <row r="390" spans="1:23" x14ac:dyDescent="0.3">
      <c r="A390" s="13">
        <v>386</v>
      </c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3"/>
      <c r="O390" s="13"/>
      <c r="P390" s="14"/>
      <c r="Q390" s="13"/>
      <c r="R390" s="13"/>
      <c r="S390" s="14"/>
      <c r="T390" s="14"/>
      <c r="U390" s="13"/>
      <c r="V390" s="13"/>
      <c r="W390" s="14"/>
    </row>
    <row r="391" spans="1:23" x14ac:dyDescent="0.3">
      <c r="A391" s="13">
        <v>387</v>
      </c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3"/>
      <c r="O391" s="13"/>
      <c r="P391" s="14"/>
      <c r="Q391" s="13"/>
      <c r="R391" s="13"/>
      <c r="S391" s="14"/>
      <c r="T391" s="14"/>
      <c r="U391" s="13"/>
      <c r="V391" s="13"/>
      <c r="W391" s="14"/>
    </row>
    <row r="392" spans="1:23" x14ac:dyDescent="0.3">
      <c r="A392" s="13">
        <v>388</v>
      </c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3"/>
      <c r="O392" s="13"/>
      <c r="P392" s="14"/>
      <c r="Q392" s="13"/>
      <c r="R392" s="13"/>
      <c r="S392" s="14"/>
      <c r="T392" s="14"/>
      <c r="U392" s="13"/>
      <c r="V392" s="13"/>
      <c r="W392" s="14"/>
    </row>
    <row r="393" spans="1:23" x14ac:dyDescent="0.3">
      <c r="A393" s="13">
        <v>389</v>
      </c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3"/>
      <c r="O393" s="13"/>
      <c r="P393" s="14"/>
      <c r="Q393" s="13"/>
      <c r="R393" s="13"/>
      <c r="S393" s="14"/>
      <c r="T393" s="14"/>
      <c r="U393" s="13"/>
      <c r="V393" s="13"/>
      <c r="W393" s="14"/>
    </row>
    <row r="394" spans="1:23" x14ac:dyDescent="0.3">
      <c r="A394" s="13">
        <v>390</v>
      </c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3"/>
      <c r="O394" s="13"/>
      <c r="P394" s="14"/>
      <c r="Q394" s="13"/>
      <c r="R394" s="13"/>
      <c r="S394" s="14"/>
      <c r="T394" s="14"/>
      <c r="U394" s="13"/>
      <c r="V394" s="13"/>
      <c r="W394" s="14"/>
    </row>
    <row r="395" spans="1:23" x14ac:dyDescent="0.3">
      <c r="A395" s="13">
        <v>391</v>
      </c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3"/>
      <c r="O395" s="13"/>
      <c r="P395" s="14"/>
      <c r="Q395" s="13"/>
      <c r="R395" s="13"/>
      <c r="S395" s="14"/>
      <c r="T395" s="14"/>
      <c r="U395" s="13"/>
      <c r="V395" s="13"/>
      <c r="W395" s="14"/>
    </row>
    <row r="396" spans="1:23" x14ac:dyDescent="0.3">
      <c r="A396" s="13">
        <v>392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3"/>
      <c r="O396" s="13"/>
      <c r="P396" s="14"/>
      <c r="Q396" s="13"/>
      <c r="R396" s="13"/>
      <c r="S396" s="14"/>
      <c r="T396" s="14"/>
      <c r="U396" s="13"/>
      <c r="V396" s="13"/>
      <c r="W396" s="14"/>
    </row>
    <row r="397" spans="1:23" x14ac:dyDescent="0.3">
      <c r="A397" s="13">
        <v>393</v>
      </c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3"/>
      <c r="O397" s="13"/>
      <c r="P397" s="14"/>
      <c r="Q397" s="13"/>
      <c r="R397" s="13"/>
      <c r="S397" s="14"/>
      <c r="T397" s="14"/>
      <c r="U397" s="13"/>
      <c r="V397" s="13"/>
      <c r="W397" s="14"/>
    </row>
    <row r="398" spans="1:23" x14ac:dyDescent="0.3">
      <c r="A398" s="13">
        <v>394</v>
      </c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3"/>
      <c r="O398" s="13"/>
      <c r="P398" s="14"/>
      <c r="Q398" s="13"/>
      <c r="R398" s="13"/>
      <c r="S398" s="14"/>
      <c r="T398" s="14"/>
      <c r="U398" s="13"/>
      <c r="V398" s="13"/>
      <c r="W398" s="14"/>
    </row>
    <row r="399" spans="1:23" x14ac:dyDescent="0.3">
      <c r="A399" s="13">
        <v>395</v>
      </c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3"/>
      <c r="O399" s="13"/>
      <c r="P399" s="14"/>
      <c r="Q399" s="13"/>
      <c r="R399" s="13"/>
      <c r="S399" s="14"/>
      <c r="T399" s="14"/>
      <c r="U399" s="13"/>
      <c r="V399" s="13"/>
      <c r="W399" s="14"/>
    </row>
    <row r="400" spans="1:23" x14ac:dyDescent="0.3">
      <c r="A400" s="13">
        <v>396</v>
      </c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3"/>
      <c r="O400" s="13"/>
      <c r="P400" s="14"/>
      <c r="Q400" s="13"/>
      <c r="R400" s="13"/>
      <c r="S400" s="14"/>
      <c r="T400" s="14"/>
      <c r="U400" s="13"/>
      <c r="V400" s="13"/>
      <c r="W400" s="14"/>
    </row>
    <row r="401" spans="1:23" x14ac:dyDescent="0.3">
      <c r="A401" s="13">
        <v>397</v>
      </c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3"/>
      <c r="O401" s="13"/>
      <c r="P401" s="14"/>
      <c r="Q401" s="13"/>
      <c r="R401" s="13"/>
      <c r="S401" s="14"/>
      <c r="T401" s="14"/>
      <c r="U401" s="13"/>
      <c r="V401" s="13"/>
      <c r="W401" s="14"/>
    </row>
    <row r="402" spans="1:23" x14ac:dyDescent="0.3">
      <c r="A402" s="13">
        <v>398</v>
      </c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3"/>
      <c r="O402" s="13"/>
      <c r="P402" s="14"/>
      <c r="Q402" s="13"/>
      <c r="R402" s="13"/>
      <c r="S402" s="14"/>
      <c r="T402" s="14"/>
      <c r="U402" s="13"/>
      <c r="V402" s="13"/>
      <c r="W402" s="14"/>
    </row>
    <row r="403" spans="1:23" x14ac:dyDescent="0.3">
      <c r="A403" s="13">
        <v>399</v>
      </c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3"/>
      <c r="O403" s="13"/>
      <c r="P403" s="14"/>
      <c r="Q403" s="13"/>
      <c r="R403" s="13"/>
      <c r="S403" s="14"/>
      <c r="T403" s="14"/>
      <c r="U403" s="13"/>
      <c r="V403" s="13"/>
      <c r="W403" s="14"/>
    </row>
    <row r="404" spans="1:23" x14ac:dyDescent="0.3">
      <c r="A404" s="13">
        <v>400</v>
      </c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3"/>
      <c r="O404" s="13"/>
      <c r="P404" s="14"/>
      <c r="Q404" s="13"/>
      <c r="R404" s="13"/>
      <c r="S404" s="14"/>
      <c r="T404" s="14"/>
      <c r="U404" s="13"/>
      <c r="V404" s="13"/>
      <c r="W404" s="14"/>
    </row>
    <row r="405" spans="1:23" x14ac:dyDescent="0.3">
      <c r="A405" s="13">
        <v>401</v>
      </c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3"/>
      <c r="O405" s="13"/>
      <c r="P405" s="14"/>
      <c r="Q405" s="13"/>
      <c r="R405" s="13"/>
      <c r="S405" s="14"/>
      <c r="T405" s="14"/>
      <c r="U405" s="13"/>
      <c r="V405" s="13"/>
      <c r="W405" s="14"/>
    </row>
    <row r="406" spans="1:23" x14ac:dyDescent="0.3">
      <c r="A406" s="13">
        <v>402</v>
      </c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3"/>
      <c r="O406" s="13"/>
      <c r="P406" s="14"/>
      <c r="Q406" s="13"/>
      <c r="R406" s="13"/>
      <c r="S406" s="14"/>
      <c r="T406" s="14"/>
      <c r="U406" s="13"/>
      <c r="V406" s="13"/>
      <c r="W406" s="14"/>
    </row>
    <row r="407" spans="1:23" x14ac:dyDescent="0.3">
      <c r="A407" s="13">
        <v>403</v>
      </c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3"/>
      <c r="O407" s="13"/>
      <c r="P407" s="14"/>
      <c r="Q407" s="13"/>
      <c r="R407" s="13"/>
      <c r="S407" s="14"/>
      <c r="T407" s="14"/>
      <c r="U407" s="13"/>
      <c r="V407" s="13"/>
      <c r="W407" s="14"/>
    </row>
    <row r="408" spans="1:23" x14ac:dyDescent="0.3">
      <c r="A408" s="13">
        <v>404</v>
      </c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3"/>
      <c r="O408" s="13"/>
      <c r="P408" s="14"/>
      <c r="Q408" s="13"/>
      <c r="R408" s="13"/>
      <c r="S408" s="14"/>
      <c r="T408" s="14"/>
      <c r="U408" s="13"/>
      <c r="V408" s="13"/>
      <c r="W408" s="14"/>
    </row>
    <row r="409" spans="1:23" x14ac:dyDescent="0.3">
      <c r="A409" s="13">
        <v>405</v>
      </c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3"/>
      <c r="O409" s="13"/>
      <c r="P409" s="14"/>
      <c r="Q409" s="13"/>
      <c r="R409" s="13"/>
      <c r="S409" s="14"/>
      <c r="T409" s="14"/>
      <c r="U409" s="13"/>
      <c r="V409" s="13"/>
      <c r="W409" s="14"/>
    </row>
    <row r="410" spans="1:23" x14ac:dyDescent="0.3">
      <c r="A410" s="13">
        <v>406</v>
      </c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3"/>
      <c r="O410" s="13"/>
      <c r="P410" s="14"/>
      <c r="Q410" s="13"/>
      <c r="R410" s="13"/>
      <c r="S410" s="14"/>
      <c r="T410" s="14"/>
      <c r="U410" s="13"/>
      <c r="V410" s="13"/>
      <c r="W410" s="14"/>
    </row>
    <row r="411" spans="1:23" x14ac:dyDescent="0.3">
      <c r="A411" s="13">
        <v>407</v>
      </c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3"/>
      <c r="O411" s="13"/>
      <c r="P411" s="14"/>
      <c r="Q411" s="13"/>
      <c r="R411" s="13"/>
      <c r="S411" s="14"/>
      <c r="T411" s="14"/>
      <c r="U411" s="13"/>
      <c r="V411" s="13"/>
      <c r="W411" s="14"/>
    </row>
    <row r="412" spans="1:23" x14ac:dyDescent="0.3">
      <c r="A412" s="13">
        <v>408</v>
      </c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3"/>
      <c r="O412" s="13"/>
      <c r="P412" s="14"/>
      <c r="Q412" s="13"/>
      <c r="R412" s="13"/>
      <c r="S412" s="14"/>
      <c r="T412" s="14"/>
      <c r="U412" s="13"/>
      <c r="V412" s="13"/>
      <c r="W412" s="14"/>
    </row>
    <row r="413" spans="1:23" x14ac:dyDescent="0.3">
      <c r="A413" s="13">
        <v>409</v>
      </c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3"/>
      <c r="O413" s="13"/>
      <c r="P413" s="14"/>
      <c r="Q413" s="13"/>
      <c r="R413" s="13"/>
      <c r="S413" s="14"/>
      <c r="T413" s="14"/>
      <c r="U413" s="13"/>
      <c r="V413" s="13"/>
      <c r="W413" s="14"/>
    </row>
    <row r="414" spans="1:23" x14ac:dyDescent="0.3">
      <c r="A414" s="13">
        <v>410</v>
      </c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3"/>
      <c r="O414" s="13"/>
      <c r="P414" s="14"/>
      <c r="Q414" s="13"/>
      <c r="R414" s="13"/>
      <c r="S414" s="14"/>
      <c r="T414" s="14"/>
      <c r="U414" s="13"/>
      <c r="V414" s="13"/>
      <c r="W414" s="14"/>
    </row>
    <row r="415" spans="1:23" x14ac:dyDescent="0.3">
      <c r="A415" s="13">
        <v>411</v>
      </c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3"/>
      <c r="O415" s="13"/>
      <c r="P415" s="14"/>
      <c r="Q415" s="13"/>
      <c r="R415" s="13"/>
      <c r="S415" s="14"/>
      <c r="T415" s="14"/>
      <c r="U415" s="13"/>
      <c r="V415" s="13"/>
      <c r="W415" s="14"/>
    </row>
    <row r="416" spans="1:23" x14ac:dyDescent="0.3">
      <c r="A416" s="13">
        <v>412</v>
      </c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3"/>
      <c r="O416" s="13"/>
      <c r="P416" s="14"/>
      <c r="Q416" s="13"/>
      <c r="R416" s="13"/>
      <c r="S416" s="14"/>
      <c r="T416" s="14"/>
      <c r="U416" s="13"/>
      <c r="V416" s="13"/>
      <c r="W416" s="14"/>
    </row>
    <row r="417" spans="1:23" x14ac:dyDescent="0.3">
      <c r="A417" s="13">
        <v>413</v>
      </c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3"/>
      <c r="O417" s="13"/>
      <c r="P417" s="14"/>
      <c r="Q417" s="13"/>
      <c r="R417" s="13"/>
      <c r="S417" s="14"/>
      <c r="T417" s="14"/>
      <c r="U417" s="13"/>
      <c r="V417" s="13"/>
      <c r="W417" s="14"/>
    </row>
    <row r="418" spans="1:23" x14ac:dyDescent="0.3">
      <c r="A418" s="13">
        <v>414</v>
      </c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3"/>
      <c r="O418" s="13"/>
      <c r="P418" s="14"/>
      <c r="Q418" s="13"/>
      <c r="R418" s="13"/>
      <c r="S418" s="14"/>
      <c r="T418" s="14"/>
      <c r="U418" s="13"/>
      <c r="V418" s="13"/>
      <c r="W418" s="14"/>
    </row>
    <row r="419" spans="1:23" x14ac:dyDescent="0.3">
      <c r="A419" s="13">
        <v>415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3"/>
      <c r="O419" s="13"/>
      <c r="P419" s="14"/>
      <c r="Q419" s="13"/>
      <c r="R419" s="13"/>
      <c r="S419" s="14"/>
      <c r="T419" s="14"/>
      <c r="U419" s="13"/>
      <c r="V419" s="13"/>
      <c r="W419" s="14"/>
    </row>
    <row r="420" spans="1:23" x14ac:dyDescent="0.3">
      <c r="A420" s="13">
        <v>416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3"/>
      <c r="O420" s="13"/>
      <c r="P420" s="14"/>
      <c r="Q420" s="13"/>
      <c r="R420" s="13"/>
      <c r="S420" s="14"/>
      <c r="T420" s="14"/>
      <c r="U420" s="13"/>
      <c r="V420" s="13"/>
      <c r="W420" s="14"/>
    </row>
    <row r="421" spans="1:23" x14ac:dyDescent="0.3">
      <c r="A421" s="13">
        <v>417</v>
      </c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3"/>
      <c r="O421" s="13"/>
      <c r="P421" s="14"/>
      <c r="Q421" s="13"/>
      <c r="R421" s="13"/>
      <c r="S421" s="14"/>
      <c r="T421" s="14"/>
      <c r="U421" s="13"/>
      <c r="V421" s="13"/>
      <c r="W421" s="14"/>
    </row>
    <row r="422" spans="1:23" x14ac:dyDescent="0.3">
      <c r="A422" s="13">
        <v>418</v>
      </c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3"/>
      <c r="O422" s="13"/>
      <c r="P422" s="14"/>
      <c r="Q422" s="13"/>
      <c r="R422" s="13"/>
      <c r="S422" s="14"/>
      <c r="T422" s="14"/>
      <c r="U422" s="13"/>
      <c r="V422" s="13"/>
      <c r="W422" s="14"/>
    </row>
    <row r="423" spans="1:23" x14ac:dyDescent="0.3">
      <c r="A423" s="13">
        <v>419</v>
      </c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3"/>
      <c r="O423" s="13"/>
      <c r="P423" s="14"/>
      <c r="Q423" s="13"/>
      <c r="R423" s="13"/>
      <c r="S423" s="14"/>
      <c r="T423" s="14"/>
      <c r="U423" s="13"/>
      <c r="V423" s="13"/>
      <c r="W423" s="14"/>
    </row>
    <row r="424" spans="1:23" x14ac:dyDescent="0.3">
      <c r="A424" s="13">
        <v>420</v>
      </c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3"/>
      <c r="O424" s="13"/>
      <c r="P424" s="14"/>
      <c r="Q424" s="13"/>
      <c r="R424" s="13"/>
      <c r="S424" s="14"/>
      <c r="T424" s="14"/>
      <c r="U424" s="13"/>
      <c r="V424" s="13"/>
      <c r="W424" s="14"/>
    </row>
    <row r="425" spans="1:23" x14ac:dyDescent="0.3">
      <c r="A425" s="13">
        <v>421</v>
      </c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3"/>
      <c r="O425" s="13"/>
      <c r="P425" s="14"/>
      <c r="Q425" s="13"/>
      <c r="R425" s="13"/>
      <c r="S425" s="14"/>
      <c r="T425" s="14"/>
      <c r="U425" s="13"/>
      <c r="V425" s="13"/>
      <c r="W425" s="14"/>
    </row>
    <row r="426" spans="1:23" x14ac:dyDescent="0.3">
      <c r="A426" s="13">
        <v>422</v>
      </c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3"/>
      <c r="O426" s="13"/>
      <c r="P426" s="14"/>
      <c r="Q426" s="13"/>
      <c r="R426" s="13"/>
      <c r="S426" s="14"/>
      <c r="T426" s="14"/>
      <c r="U426" s="13"/>
      <c r="V426" s="13"/>
      <c r="W426" s="14"/>
    </row>
    <row r="427" spans="1:23" x14ac:dyDescent="0.3">
      <c r="A427" s="13">
        <v>423</v>
      </c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3"/>
      <c r="O427" s="13"/>
      <c r="P427" s="14"/>
      <c r="Q427" s="13"/>
      <c r="R427" s="13"/>
      <c r="S427" s="14"/>
      <c r="T427" s="14"/>
      <c r="U427" s="13"/>
      <c r="V427" s="13"/>
      <c r="W427" s="14"/>
    </row>
    <row r="428" spans="1:23" x14ac:dyDescent="0.3">
      <c r="A428" s="13">
        <v>424</v>
      </c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3"/>
      <c r="O428" s="13"/>
      <c r="P428" s="14"/>
      <c r="Q428" s="13"/>
      <c r="R428" s="13"/>
      <c r="S428" s="14"/>
      <c r="T428" s="14"/>
      <c r="U428" s="13"/>
      <c r="V428" s="13"/>
      <c r="W428" s="14"/>
    </row>
    <row r="429" spans="1:23" x14ac:dyDescent="0.3">
      <c r="A429" s="13">
        <v>425</v>
      </c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3"/>
      <c r="O429" s="13"/>
      <c r="P429" s="14"/>
      <c r="Q429" s="13"/>
      <c r="R429" s="13"/>
      <c r="S429" s="14"/>
      <c r="T429" s="14"/>
      <c r="U429" s="13"/>
      <c r="V429" s="13"/>
      <c r="W429" s="14"/>
    </row>
    <row r="430" spans="1:23" x14ac:dyDescent="0.3">
      <c r="A430" s="13">
        <v>426</v>
      </c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3"/>
      <c r="O430" s="13"/>
      <c r="P430" s="14"/>
      <c r="Q430" s="13"/>
      <c r="R430" s="13"/>
      <c r="S430" s="14"/>
      <c r="T430" s="14"/>
      <c r="U430" s="13"/>
      <c r="V430" s="13"/>
      <c r="W430" s="14"/>
    </row>
    <row r="431" spans="1:23" x14ac:dyDescent="0.3">
      <c r="A431" s="13">
        <v>427</v>
      </c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3"/>
      <c r="O431" s="13"/>
      <c r="P431" s="14"/>
      <c r="Q431" s="13"/>
      <c r="R431" s="13"/>
      <c r="S431" s="14"/>
      <c r="T431" s="14"/>
      <c r="U431" s="13"/>
      <c r="V431" s="13"/>
      <c r="W431" s="14"/>
    </row>
    <row r="432" spans="1:23" x14ac:dyDescent="0.3">
      <c r="A432" s="13">
        <v>428</v>
      </c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3"/>
      <c r="O432" s="13"/>
      <c r="P432" s="14"/>
      <c r="Q432" s="13"/>
      <c r="R432" s="13"/>
      <c r="S432" s="14"/>
      <c r="T432" s="14"/>
      <c r="U432" s="13"/>
      <c r="V432" s="13"/>
      <c r="W432" s="14"/>
    </row>
    <row r="433" spans="1:23" x14ac:dyDescent="0.3">
      <c r="A433" s="13">
        <v>429</v>
      </c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3"/>
      <c r="O433" s="13"/>
      <c r="P433" s="14"/>
      <c r="Q433" s="13"/>
      <c r="R433" s="13"/>
      <c r="S433" s="14"/>
      <c r="T433" s="14"/>
      <c r="U433" s="13"/>
      <c r="V433" s="13"/>
      <c r="W433" s="14"/>
    </row>
    <row r="434" spans="1:23" x14ac:dyDescent="0.3">
      <c r="A434" s="13">
        <v>430</v>
      </c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3"/>
      <c r="O434" s="13"/>
      <c r="P434" s="14"/>
      <c r="Q434" s="13"/>
      <c r="R434" s="13"/>
      <c r="S434" s="14"/>
      <c r="T434" s="14"/>
      <c r="U434" s="13"/>
      <c r="V434" s="13"/>
      <c r="W434" s="14"/>
    </row>
    <row r="435" spans="1:23" x14ac:dyDescent="0.3">
      <c r="A435" s="13">
        <v>431</v>
      </c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3"/>
      <c r="O435" s="13"/>
      <c r="P435" s="14"/>
      <c r="Q435" s="13"/>
      <c r="R435" s="13"/>
      <c r="S435" s="14"/>
      <c r="T435" s="14"/>
      <c r="U435" s="13"/>
      <c r="V435" s="13"/>
      <c r="W435" s="14"/>
    </row>
    <row r="436" spans="1:23" x14ac:dyDescent="0.3">
      <c r="A436" s="13">
        <v>432</v>
      </c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3"/>
      <c r="O436" s="13"/>
      <c r="P436" s="14"/>
      <c r="Q436" s="13"/>
      <c r="R436" s="13"/>
      <c r="S436" s="14"/>
      <c r="T436" s="14"/>
      <c r="U436" s="13"/>
      <c r="V436" s="13"/>
      <c r="W436" s="14"/>
    </row>
    <row r="437" spans="1:23" x14ac:dyDescent="0.3">
      <c r="A437" s="13">
        <v>433</v>
      </c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3"/>
      <c r="O437" s="13"/>
      <c r="P437" s="14"/>
      <c r="Q437" s="13"/>
      <c r="R437" s="13"/>
      <c r="S437" s="14"/>
      <c r="T437" s="14"/>
      <c r="U437" s="13"/>
      <c r="V437" s="13"/>
      <c r="W437" s="14"/>
    </row>
    <row r="438" spans="1:23" x14ac:dyDescent="0.3">
      <c r="A438" s="13">
        <v>434</v>
      </c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3"/>
      <c r="O438" s="13"/>
      <c r="P438" s="14"/>
      <c r="Q438" s="13"/>
      <c r="R438" s="13"/>
      <c r="S438" s="14"/>
      <c r="T438" s="14"/>
      <c r="U438" s="13"/>
      <c r="V438" s="13"/>
      <c r="W438" s="14"/>
    </row>
    <row r="439" spans="1:23" x14ac:dyDescent="0.3">
      <c r="A439" s="13">
        <v>435</v>
      </c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3"/>
      <c r="O439" s="13"/>
      <c r="P439" s="14"/>
      <c r="Q439" s="13"/>
      <c r="R439" s="13"/>
      <c r="S439" s="14"/>
      <c r="T439" s="14"/>
      <c r="U439" s="13"/>
      <c r="V439" s="13"/>
      <c r="W439" s="14"/>
    </row>
    <row r="440" spans="1:23" x14ac:dyDescent="0.3">
      <c r="A440" s="13">
        <v>436</v>
      </c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3"/>
      <c r="O440" s="13"/>
      <c r="P440" s="14"/>
      <c r="Q440" s="13"/>
      <c r="R440" s="13"/>
      <c r="S440" s="14"/>
      <c r="T440" s="14"/>
      <c r="U440" s="13"/>
      <c r="V440" s="13"/>
      <c r="W440" s="14"/>
    </row>
    <row r="441" spans="1:23" x14ac:dyDescent="0.3">
      <c r="A441" s="13">
        <v>437</v>
      </c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3"/>
      <c r="O441" s="13"/>
      <c r="P441" s="14"/>
      <c r="Q441" s="13"/>
      <c r="R441" s="13"/>
      <c r="S441" s="14"/>
      <c r="T441" s="14"/>
      <c r="U441" s="13"/>
      <c r="V441" s="13"/>
      <c r="W441" s="14"/>
    </row>
    <row r="442" spans="1:23" x14ac:dyDescent="0.3">
      <c r="A442" s="13">
        <v>438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3"/>
      <c r="O442" s="13"/>
      <c r="P442" s="14"/>
      <c r="Q442" s="13"/>
      <c r="R442" s="13"/>
      <c r="S442" s="14"/>
      <c r="T442" s="14"/>
      <c r="U442" s="13"/>
      <c r="V442" s="13"/>
      <c r="W442" s="14"/>
    </row>
    <row r="443" spans="1:23" x14ac:dyDescent="0.3">
      <c r="A443" s="13">
        <v>439</v>
      </c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3"/>
      <c r="O443" s="13"/>
      <c r="P443" s="14"/>
      <c r="Q443" s="13"/>
      <c r="R443" s="13"/>
      <c r="S443" s="14"/>
      <c r="T443" s="14"/>
      <c r="U443" s="13"/>
      <c r="V443" s="13"/>
      <c r="W443" s="14"/>
    </row>
    <row r="444" spans="1:23" x14ac:dyDescent="0.3">
      <c r="A444" s="13">
        <v>440</v>
      </c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3"/>
      <c r="O444" s="13"/>
      <c r="P444" s="14"/>
      <c r="Q444" s="13"/>
      <c r="R444" s="13"/>
      <c r="S444" s="14"/>
      <c r="T444" s="14"/>
      <c r="U444" s="13"/>
      <c r="V444" s="13"/>
      <c r="W444" s="14"/>
    </row>
    <row r="445" spans="1:23" x14ac:dyDescent="0.3">
      <c r="A445" s="13">
        <v>441</v>
      </c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3"/>
      <c r="O445" s="13"/>
      <c r="P445" s="14"/>
      <c r="Q445" s="13"/>
      <c r="R445" s="13"/>
      <c r="S445" s="14"/>
      <c r="T445" s="14"/>
      <c r="U445" s="13"/>
      <c r="V445" s="13"/>
      <c r="W445" s="14"/>
    </row>
    <row r="446" spans="1:23" x14ac:dyDescent="0.3">
      <c r="A446" s="13">
        <v>442</v>
      </c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3"/>
      <c r="O446" s="13"/>
      <c r="P446" s="14"/>
      <c r="Q446" s="13"/>
      <c r="R446" s="13"/>
      <c r="S446" s="14"/>
      <c r="T446" s="14"/>
      <c r="U446" s="13"/>
      <c r="V446" s="13"/>
      <c r="W446" s="14"/>
    </row>
    <row r="447" spans="1:23" x14ac:dyDescent="0.3">
      <c r="A447" s="13">
        <v>443</v>
      </c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3"/>
      <c r="O447" s="13"/>
      <c r="P447" s="14"/>
      <c r="Q447" s="13"/>
      <c r="R447" s="13"/>
      <c r="S447" s="14"/>
      <c r="T447" s="14"/>
      <c r="U447" s="13"/>
      <c r="V447" s="13"/>
      <c r="W447" s="14"/>
    </row>
    <row r="448" spans="1:23" x14ac:dyDescent="0.3">
      <c r="A448" s="13">
        <v>444</v>
      </c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3"/>
      <c r="O448" s="13"/>
      <c r="P448" s="14"/>
      <c r="Q448" s="13"/>
      <c r="R448" s="13"/>
      <c r="S448" s="14"/>
      <c r="T448" s="14"/>
      <c r="U448" s="13"/>
      <c r="V448" s="13"/>
      <c r="W448" s="14"/>
    </row>
    <row r="449" spans="1:23" x14ac:dyDescent="0.3">
      <c r="A449" s="13">
        <v>445</v>
      </c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3"/>
      <c r="O449" s="13"/>
      <c r="P449" s="14"/>
      <c r="Q449" s="13"/>
      <c r="R449" s="13"/>
      <c r="S449" s="14"/>
      <c r="T449" s="14"/>
      <c r="U449" s="13"/>
      <c r="V449" s="13"/>
      <c r="W449" s="14"/>
    </row>
    <row r="450" spans="1:23" x14ac:dyDescent="0.3">
      <c r="A450" s="13">
        <v>446</v>
      </c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3"/>
      <c r="O450" s="13"/>
      <c r="P450" s="14"/>
      <c r="Q450" s="13"/>
      <c r="R450" s="13"/>
      <c r="S450" s="14"/>
      <c r="T450" s="14"/>
      <c r="U450" s="13"/>
      <c r="V450" s="13"/>
      <c r="W450" s="14"/>
    </row>
    <row r="451" spans="1:23" x14ac:dyDescent="0.3">
      <c r="A451" s="13">
        <v>447</v>
      </c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3"/>
      <c r="O451" s="13"/>
      <c r="P451" s="14"/>
      <c r="Q451" s="13"/>
      <c r="R451" s="13"/>
      <c r="S451" s="14"/>
      <c r="T451" s="14"/>
      <c r="U451" s="13"/>
      <c r="V451" s="13"/>
      <c r="W451" s="14"/>
    </row>
    <row r="452" spans="1:23" x14ac:dyDescent="0.3">
      <c r="A452" s="13">
        <v>448</v>
      </c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3"/>
      <c r="O452" s="13"/>
      <c r="P452" s="14"/>
      <c r="Q452" s="13"/>
      <c r="R452" s="13"/>
      <c r="S452" s="14"/>
      <c r="T452" s="14"/>
      <c r="U452" s="13"/>
      <c r="V452" s="13"/>
      <c r="W452" s="14"/>
    </row>
    <row r="453" spans="1:23" x14ac:dyDescent="0.3">
      <c r="A453" s="13">
        <v>449</v>
      </c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3"/>
      <c r="O453" s="13"/>
      <c r="P453" s="14"/>
      <c r="Q453" s="13"/>
      <c r="R453" s="13"/>
      <c r="S453" s="14"/>
      <c r="T453" s="14"/>
      <c r="U453" s="13"/>
      <c r="V453" s="13"/>
      <c r="W453" s="14"/>
    </row>
    <row r="454" spans="1:23" x14ac:dyDescent="0.3">
      <c r="A454" s="13">
        <v>450</v>
      </c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3"/>
      <c r="O454" s="13"/>
      <c r="P454" s="14"/>
      <c r="Q454" s="13"/>
      <c r="R454" s="13"/>
      <c r="S454" s="14"/>
      <c r="T454" s="14"/>
      <c r="U454" s="13"/>
      <c r="V454" s="13"/>
      <c r="W454" s="14"/>
    </row>
    <row r="455" spans="1:23" x14ac:dyDescent="0.3">
      <c r="A455" s="13">
        <v>451</v>
      </c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3"/>
      <c r="O455" s="13"/>
      <c r="P455" s="14"/>
      <c r="Q455" s="13"/>
      <c r="R455" s="13"/>
      <c r="S455" s="14"/>
      <c r="T455" s="14"/>
      <c r="U455" s="13"/>
      <c r="V455" s="13"/>
      <c r="W455" s="14"/>
    </row>
    <row r="456" spans="1:23" x14ac:dyDescent="0.3">
      <c r="A456" s="13">
        <v>452</v>
      </c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3"/>
      <c r="O456" s="13"/>
      <c r="P456" s="14"/>
      <c r="Q456" s="13"/>
      <c r="R456" s="13"/>
      <c r="S456" s="14"/>
      <c r="T456" s="14"/>
      <c r="U456" s="13"/>
      <c r="V456" s="13"/>
      <c r="W456" s="14"/>
    </row>
    <row r="457" spans="1:23" x14ac:dyDescent="0.3">
      <c r="A457" s="13">
        <v>453</v>
      </c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3"/>
      <c r="O457" s="13"/>
      <c r="P457" s="14"/>
      <c r="Q457" s="13"/>
      <c r="R457" s="13"/>
      <c r="S457" s="14"/>
      <c r="T457" s="14"/>
      <c r="U457" s="13"/>
      <c r="V457" s="13"/>
      <c r="W457" s="14"/>
    </row>
    <row r="458" spans="1:23" x14ac:dyDescent="0.3">
      <c r="A458" s="13">
        <v>454</v>
      </c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3"/>
      <c r="O458" s="13"/>
      <c r="P458" s="14"/>
      <c r="Q458" s="13"/>
      <c r="R458" s="13"/>
      <c r="S458" s="14"/>
      <c r="T458" s="14"/>
      <c r="U458" s="13"/>
      <c r="V458" s="13"/>
      <c r="W458" s="14"/>
    </row>
    <row r="459" spans="1:23" x14ac:dyDescent="0.3">
      <c r="A459" s="13">
        <v>455</v>
      </c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3"/>
      <c r="O459" s="13"/>
      <c r="P459" s="14"/>
      <c r="Q459" s="13"/>
      <c r="R459" s="13"/>
      <c r="S459" s="14"/>
      <c r="T459" s="14"/>
      <c r="U459" s="13"/>
      <c r="V459" s="13"/>
      <c r="W459" s="14"/>
    </row>
    <row r="460" spans="1:23" x14ac:dyDescent="0.3">
      <c r="A460" s="13">
        <v>456</v>
      </c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3"/>
      <c r="O460" s="13"/>
      <c r="P460" s="14"/>
      <c r="Q460" s="13"/>
      <c r="R460" s="13"/>
      <c r="S460" s="14"/>
      <c r="T460" s="14"/>
      <c r="U460" s="13"/>
      <c r="V460" s="13"/>
      <c r="W460" s="14"/>
    </row>
    <row r="461" spans="1:23" x14ac:dyDescent="0.3">
      <c r="A461" s="13">
        <v>457</v>
      </c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3"/>
      <c r="O461" s="13"/>
      <c r="P461" s="14"/>
      <c r="Q461" s="13"/>
      <c r="R461" s="13"/>
      <c r="S461" s="14"/>
      <c r="T461" s="14"/>
      <c r="U461" s="13"/>
      <c r="V461" s="13"/>
      <c r="W461" s="14"/>
    </row>
    <row r="462" spans="1:23" x14ac:dyDescent="0.3">
      <c r="A462" s="13">
        <v>458</v>
      </c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3"/>
      <c r="O462" s="13"/>
      <c r="P462" s="14"/>
      <c r="Q462" s="13"/>
      <c r="R462" s="13"/>
      <c r="S462" s="14"/>
      <c r="T462" s="14"/>
      <c r="U462" s="13"/>
      <c r="V462" s="13"/>
      <c r="W462" s="14"/>
    </row>
    <row r="463" spans="1:23" x14ac:dyDescent="0.3">
      <c r="A463" s="13">
        <v>459</v>
      </c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3"/>
      <c r="O463" s="13"/>
      <c r="P463" s="14"/>
      <c r="Q463" s="13"/>
      <c r="R463" s="13"/>
      <c r="S463" s="14"/>
      <c r="T463" s="14"/>
      <c r="U463" s="13"/>
      <c r="V463" s="13"/>
      <c r="W463" s="14"/>
    </row>
    <row r="464" spans="1:23" x14ac:dyDescent="0.3">
      <c r="A464" s="13">
        <v>460</v>
      </c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3"/>
      <c r="O464" s="13"/>
      <c r="P464" s="14"/>
      <c r="Q464" s="13"/>
      <c r="R464" s="13"/>
      <c r="S464" s="14"/>
      <c r="T464" s="14"/>
      <c r="U464" s="13"/>
      <c r="V464" s="13"/>
      <c r="W464" s="14"/>
    </row>
    <row r="465" spans="1:23" x14ac:dyDescent="0.3">
      <c r="A465" s="13">
        <v>461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3"/>
      <c r="O465" s="13"/>
      <c r="P465" s="14"/>
      <c r="Q465" s="13"/>
      <c r="R465" s="13"/>
      <c r="S465" s="14"/>
      <c r="T465" s="14"/>
      <c r="U465" s="13"/>
      <c r="V465" s="13"/>
      <c r="W465" s="14"/>
    </row>
    <row r="466" spans="1:23" x14ac:dyDescent="0.3">
      <c r="A466" s="13">
        <v>462</v>
      </c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3"/>
      <c r="O466" s="13"/>
      <c r="P466" s="14"/>
      <c r="Q466" s="13"/>
      <c r="R466" s="13"/>
      <c r="S466" s="14"/>
      <c r="T466" s="14"/>
      <c r="U466" s="13"/>
      <c r="V466" s="13"/>
      <c r="W466" s="14"/>
    </row>
    <row r="467" spans="1:23" x14ac:dyDescent="0.3">
      <c r="A467" s="13">
        <v>463</v>
      </c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3"/>
      <c r="O467" s="13"/>
      <c r="P467" s="14"/>
      <c r="Q467" s="13"/>
      <c r="R467" s="13"/>
      <c r="S467" s="14"/>
      <c r="T467" s="14"/>
      <c r="U467" s="13"/>
      <c r="V467" s="13"/>
      <c r="W467" s="14"/>
    </row>
    <row r="468" spans="1:23" x14ac:dyDescent="0.3">
      <c r="A468" s="13">
        <v>464</v>
      </c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3"/>
      <c r="O468" s="13"/>
      <c r="P468" s="14"/>
      <c r="Q468" s="13"/>
      <c r="R468" s="13"/>
      <c r="S468" s="14"/>
      <c r="T468" s="14"/>
      <c r="U468" s="13"/>
      <c r="V468" s="13"/>
      <c r="W468" s="14"/>
    </row>
    <row r="469" spans="1:23" x14ac:dyDescent="0.3">
      <c r="A469" s="13">
        <v>465</v>
      </c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3"/>
      <c r="O469" s="13"/>
      <c r="P469" s="14"/>
      <c r="Q469" s="13"/>
      <c r="R469" s="13"/>
      <c r="S469" s="14"/>
      <c r="T469" s="14"/>
      <c r="U469" s="13"/>
      <c r="V469" s="13"/>
      <c r="W469" s="14"/>
    </row>
    <row r="470" spans="1:23" x14ac:dyDescent="0.3">
      <c r="A470" s="13">
        <v>466</v>
      </c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3"/>
      <c r="O470" s="13"/>
      <c r="P470" s="14"/>
      <c r="Q470" s="13"/>
      <c r="R470" s="13"/>
      <c r="S470" s="14"/>
      <c r="T470" s="14"/>
      <c r="U470" s="13"/>
      <c r="V470" s="13"/>
      <c r="W470" s="14"/>
    </row>
    <row r="471" spans="1:23" x14ac:dyDescent="0.3">
      <c r="A471" s="13">
        <v>467</v>
      </c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3"/>
      <c r="O471" s="13"/>
      <c r="P471" s="14"/>
      <c r="Q471" s="13"/>
      <c r="R471" s="13"/>
      <c r="S471" s="14"/>
      <c r="T471" s="14"/>
      <c r="U471" s="13"/>
      <c r="V471" s="13"/>
      <c r="W471" s="14"/>
    </row>
    <row r="472" spans="1:23" x14ac:dyDescent="0.3">
      <c r="A472" s="13">
        <v>468</v>
      </c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3"/>
      <c r="O472" s="13"/>
      <c r="P472" s="14"/>
      <c r="Q472" s="13"/>
      <c r="R472" s="13"/>
      <c r="S472" s="14"/>
      <c r="T472" s="14"/>
      <c r="U472" s="13"/>
      <c r="V472" s="13"/>
      <c r="W472" s="14"/>
    </row>
    <row r="473" spans="1:23" x14ac:dyDescent="0.3">
      <c r="A473" s="13">
        <v>469</v>
      </c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3"/>
      <c r="O473" s="13"/>
      <c r="P473" s="14"/>
      <c r="Q473" s="13"/>
      <c r="R473" s="13"/>
      <c r="S473" s="14"/>
      <c r="T473" s="14"/>
      <c r="U473" s="13"/>
      <c r="V473" s="13"/>
      <c r="W473" s="14"/>
    </row>
    <row r="474" spans="1:23" x14ac:dyDescent="0.3">
      <c r="A474" s="13">
        <v>470</v>
      </c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3"/>
      <c r="O474" s="13"/>
      <c r="P474" s="14"/>
      <c r="Q474" s="13"/>
      <c r="R474" s="13"/>
      <c r="S474" s="14"/>
      <c r="T474" s="14"/>
      <c r="U474" s="13"/>
      <c r="V474" s="13"/>
      <c r="W474" s="14"/>
    </row>
    <row r="475" spans="1:23" x14ac:dyDescent="0.3">
      <c r="A475" s="13">
        <v>471</v>
      </c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3"/>
      <c r="O475" s="13"/>
      <c r="P475" s="14"/>
      <c r="Q475" s="13"/>
      <c r="R475" s="13"/>
      <c r="S475" s="14"/>
      <c r="T475" s="14"/>
      <c r="U475" s="13"/>
      <c r="V475" s="13"/>
      <c r="W475" s="14"/>
    </row>
    <row r="476" spans="1:23" x14ac:dyDescent="0.3">
      <c r="A476" s="13">
        <v>472</v>
      </c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3"/>
      <c r="O476" s="13"/>
      <c r="P476" s="14"/>
      <c r="Q476" s="13"/>
      <c r="R476" s="13"/>
      <c r="S476" s="14"/>
      <c r="T476" s="14"/>
      <c r="U476" s="13"/>
      <c r="V476" s="13"/>
      <c r="W476" s="14"/>
    </row>
    <row r="477" spans="1:23" x14ac:dyDescent="0.3">
      <c r="A477" s="13">
        <v>473</v>
      </c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3"/>
      <c r="O477" s="13"/>
      <c r="P477" s="14"/>
      <c r="Q477" s="13"/>
      <c r="R477" s="13"/>
      <c r="S477" s="14"/>
      <c r="T477" s="14"/>
      <c r="U477" s="13"/>
      <c r="V477" s="13"/>
      <c r="W477" s="14"/>
    </row>
    <row r="478" spans="1:23" x14ac:dyDescent="0.3">
      <c r="A478" s="13">
        <v>474</v>
      </c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3"/>
      <c r="O478" s="13"/>
      <c r="P478" s="14"/>
      <c r="Q478" s="13"/>
      <c r="R478" s="13"/>
      <c r="S478" s="14"/>
      <c r="T478" s="14"/>
      <c r="U478" s="13"/>
      <c r="V478" s="13"/>
      <c r="W478" s="14"/>
    </row>
    <row r="479" spans="1:23" x14ac:dyDescent="0.3">
      <c r="A479" s="13">
        <v>475</v>
      </c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3"/>
      <c r="O479" s="13"/>
      <c r="P479" s="14"/>
      <c r="Q479" s="13"/>
      <c r="R479" s="13"/>
      <c r="S479" s="14"/>
      <c r="T479" s="14"/>
      <c r="U479" s="13"/>
      <c r="V479" s="13"/>
      <c r="W479" s="14"/>
    </row>
    <row r="480" spans="1:23" x14ac:dyDescent="0.3">
      <c r="A480" s="13">
        <v>476</v>
      </c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3"/>
      <c r="O480" s="13"/>
      <c r="P480" s="14"/>
      <c r="Q480" s="13"/>
      <c r="R480" s="13"/>
      <c r="S480" s="14"/>
      <c r="T480" s="14"/>
      <c r="U480" s="13"/>
      <c r="V480" s="13"/>
      <c r="W480" s="14"/>
    </row>
    <row r="481" spans="1:23" x14ac:dyDescent="0.3">
      <c r="A481" s="13">
        <v>477</v>
      </c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3"/>
      <c r="O481" s="13"/>
      <c r="P481" s="14"/>
      <c r="Q481" s="13"/>
      <c r="R481" s="13"/>
      <c r="S481" s="14"/>
      <c r="T481" s="14"/>
      <c r="U481" s="13"/>
      <c r="V481" s="13"/>
      <c r="W481" s="14"/>
    </row>
    <row r="482" spans="1:23" x14ac:dyDescent="0.3">
      <c r="A482" s="13">
        <v>478</v>
      </c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3"/>
      <c r="O482" s="13"/>
      <c r="P482" s="14"/>
      <c r="Q482" s="13"/>
      <c r="R482" s="13"/>
      <c r="S482" s="14"/>
      <c r="T482" s="14"/>
      <c r="U482" s="13"/>
      <c r="V482" s="13"/>
      <c r="W482" s="14"/>
    </row>
    <row r="483" spans="1:23" x14ac:dyDescent="0.3">
      <c r="A483" s="13">
        <v>479</v>
      </c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3"/>
      <c r="O483" s="13"/>
      <c r="P483" s="14"/>
      <c r="Q483" s="13"/>
      <c r="R483" s="13"/>
      <c r="S483" s="14"/>
      <c r="T483" s="14"/>
      <c r="U483" s="13"/>
      <c r="V483" s="13"/>
      <c r="W483" s="14"/>
    </row>
    <row r="484" spans="1:23" x14ac:dyDescent="0.3">
      <c r="A484" s="13">
        <v>480</v>
      </c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3"/>
      <c r="O484" s="13"/>
      <c r="P484" s="14"/>
      <c r="Q484" s="13"/>
      <c r="R484" s="13"/>
      <c r="S484" s="14"/>
      <c r="T484" s="14"/>
      <c r="U484" s="13"/>
      <c r="V484" s="13"/>
      <c r="W484" s="14"/>
    </row>
    <row r="485" spans="1:23" x14ac:dyDescent="0.3">
      <c r="A485" s="13">
        <v>481</v>
      </c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3"/>
      <c r="O485" s="13"/>
      <c r="P485" s="14"/>
      <c r="Q485" s="13"/>
      <c r="R485" s="13"/>
      <c r="S485" s="14"/>
      <c r="T485" s="14"/>
      <c r="U485" s="13"/>
      <c r="V485" s="13"/>
      <c r="W485" s="14"/>
    </row>
    <row r="486" spans="1:23" x14ac:dyDescent="0.3">
      <c r="A486" s="13">
        <v>482</v>
      </c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3"/>
      <c r="O486" s="13"/>
      <c r="P486" s="14"/>
      <c r="Q486" s="13"/>
      <c r="R486" s="13"/>
      <c r="S486" s="14"/>
      <c r="T486" s="14"/>
      <c r="U486" s="13"/>
      <c r="V486" s="13"/>
      <c r="W486" s="14"/>
    </row>
    <row r="487" spans="1:23" x14ac:dyDescent="0.3">
      <c r="A487" s="13">
        <v>483</v>
      </c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3"/>
      <c r="O487" s="13"/>
      <c r="P487" s="14"/>
      <c r="Q487" s="13"/>
      <c r="R487" s="13"/>
      <c r="S487" s="14"/>
      <c r="T487" s="14"/>
      <c r="U487" s="13"/>
      <c r="V487" s="13"/>
      <c r="W487" s="14"/>
    </row>
    <row r="488" spans="1:23" x14ac:dyDescent="0.3">
      <c r="A488" s="13">
        <v>484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3"/>
      <c r="O488" s="13"/>
      <c r="P488" s="14"/>
      <c r="Q488" s="13"/>
      <c r="R488" s="13"/>
      <c r="S488" s="14"/>
      <c r="T488" s="14"/>
      <c r="U488" s="13"/>
      <c r="V488" s="13"/>
      <c r="W488" s="14"/>
    </row>
    <row r="489" spans="1:23" x14ac:dyDescent="0.3">
      <c r="A489" s="13">
        <v>485</v>
      </c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3"/>
      <c r="O489" s="13"/>
      <c r="P489" s="14"/>
      <c r="Q489" s="13"/>
      <c r="R489" s="13"/>
      <c r="S489" s="14"/>
      <c r="T489" s="14"/>
      <c r="U489" s="13"/>
      <c r="V489" s="13"/>
      <c r="W489" s="14"/>
    </row>
    <row r="490" spans="1:23" x14ac:dyDescent="0.3">
      <c r="A490" s="13">
        <v>486</v>
      </c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3"/>
      <c r="O490" s="13"/>
      <c r="P490" s="14"/>
      <c r="Q490" s="13"/>
      <c r="R490" s="13"/>
      <c r="S490" s="14"/>
      <c r="T490" s="14"/>
      <c r="U490" s="13"/>
      <c r="V490" s="13"/>
      <c r="W490" s="14"/>
    </row>
    <row r="491" spans="1:23" x14ac:dyDescent="0.3">
      <c r="A491" s="13">
        <v>487</v>
      </c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3"/>
      <c r="O491" s="13"/>
      <c r="P491" s="14"/>
      <c r="Q491" s="13"/>
      <c r="R491" s="13"/>
      <c r="S491" s="14"/>
      <c r="T491" s="14"/>
      <c r="U491" s="13"/>
      <c r="V491" s="13"/>
      <c r="W491" s="14"/>
    </row>
    <row r="492" spans="1:23" x14ac:dyDescent="0.3">
      <c r="A492" s="13">
        <v>488</v>
      </c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3"/>
      <c r="O492" s="13"/>
      <c r="P492" s="14"/>
      <c r="Q492" s="13"/>
      <c r="R492" s="13"/>
      <c r="S492" s="14"/>
      <c r="T492" s="14"/>
      <c r="U492" s="13"/>
      <c r="V492" s="13"/>
      <c r="W492" s="14"/>
    </row>
    <row r="493" spans="1:23" x14ac:dyDescent="0.3">
      <c r="A493" s="13">
        <v>489</v>
      </c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3"/>
      <c r="O493" s="13"/>
      <c r="P493" s="14"/>
      <c r="Q493" s="13"/>
      <c r="R493" s="13"/>
      <c r="S493" s="14"/>
      <c r="T493" s="14"/>
      <c r="U493" s="13"/>
      <c r="V493" s="13"/>
      <c r="W493" s="14"/>
    </row>
    <row r="494" spans="1:23" x14ac:dyDescent="0.3">
      <c r="A494" s="13">
        <v>490</v>
      </c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3"/>
      <c r="O494" s="13"/>
      <c r="P494" s="14"/>
      <c r="Q494" s="13"/>
      <c r="R494" s="13"/>
      <c r="S494" s="14"/>
      <c r="T494" s="14"/>
      <c r="U494" s="13"/>
      <c r="V494" s="13"/>
      <c r="W494" s="14"/>
    </row>
    <row r="495" spans="1:23" x14ac:dyDescent="0.3">
      <c r="A495" s="13">
        <v>491</v>
      </c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3"/>
      <c r="O495" s="13"/>
      <c r="P495" s="14"/>
      <c r="Q495" s="13"/>
      <c r="R495" s="13"/>
      <c r="S495" s="14"/>
      <c r="T495" s="14"/>
      <c r="U495" s="13"/>
      <c r="V495" s="13"/>
      <c r="W495" s="14"/>
    </row>
    <row r="496" spans="1:23" x14ac:dyDescent="0.3">
      <c r="A496" s="13">
        <v>492</v>
      </c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3"/>
      <c r="O496" s="13"/>
      <c r="P496" s="14"/>
      <c r="Q496" s="13"/>
      <c r="R496" s="13"/>
      <c r="S496" s="14"/>
      <c r="T496" s="14"/>
      <c r="U496" s="13"/>
      <c r="V496" s="13"/>
      <c r="W496" s="14"/>
    </row>
    <row r="497" spans="1:23" x14ac:dyDescent="0.3">
      <c r="A497" s="13">
        <v>493</v>
      </c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3"/>
      <c r="O497" s="13"/>
      <c r="P497" s="14"/>
      <c r="Q497" s="13"/>
      <c r="R497" s="13"/>
      <c r="S497" s="14"/>
      <c r="T497" s="14"/>
      <c r="U497" s="13"/>
      <c r="V497" s="13"/>
      <c r="W497" s="14"/>
    </row>
    <row r="498" spans="1:23" x14ac:dyDescent="0.3">
      <c r="A498" s="13">
        <v>494</v>
      </c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3"/>
      <c r="O498" s="13"/>
      <c r="P498" s="14"/>
      <c r="Q498" s="13"/>
      <c r="R498" s="13"/>
      <c r="S498" s="14"/>
      <c r="T498" s="14"/>
      <c r="U498" s="13"/>
      <c r="V498" s="13"/>
      <c r="W498" s="14"/>
    </row>
    <row r="499" spans="1:23" x14ac:dyDescent="0.3">
      <c r="A499" s="13">
        <v>495</v>
      </c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3"/>
      <c r="O499" s="13"/>
      <c r="P499" s="14"/>
      <c r="Q499" s="13"/>
      <c r="R499" s="13"/>
      <c r="S499" s="14"/>
      <c r="T499" s="14"/>
      <c r="U499" s="13"/>
      <c r="V499" s="13"/>
      <c r="W499" s="14"/>
    </row>
    <row r="500" spans="1:23" x14ac:dyDescent="0.3">
      <c r="A500" s="13">
        <v>496</v>
      </c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3"/>
      <c r="O500" s="13"/>
      <c r="P500" s="14"/>
      <c r="Q500" s="13"/>
      <c r="R500" s="13"/>
      <c r="S500" s="14"/>
      <c r="T500" s="14"/>
      <c r="U500" s="13"/>
      <c r="V500" s="13"/>
      <c r="W500" s="14"/>
    </row>
    <row r="501" spans="1:23" x14ac:dyDescent="0.3">
      <c r="A501" s="13">
        <v>497</v>
      </c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3"/>
      <c r="O501" s="13"/>
      <c r="P501" s="14"/>
      <c r="Q501" s="13"/>
      <c r="R501" s="13"/>
      <c r="S501" s="14"/>
      <c r="T501" s="14"/>
      <c r="U501" s="13"/>
      <c r="V501" s="13"/>
      <c r="W501" s="14"/>
    </row>
    <row r="502" spans="1:23" x14ac:dyDescent="0.3">
      <c r="A502" s="13">
        <v>498</v>
      </c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3"/>
      <c r="O502" s="13"/>
      <c r="P502" s="14"/>
      <c r="Q502" s="13"/>
      <c r="R502" s="13"/>
      <c r="S502" s="14"/>
      <c r="T502" s="14"/>
      <c r="U502" s="13"/>
      <c r="V502" s="13"/>
      <c r="W502" s="14"/>
    </row>
    <row r="503" spans="1:23" x14ac:dyDescent="0.3">
      <c r="A503" s="13">
        <v>499</v>
      </c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3"/>
      <c r="O503" s="13"/>
      <c r="P503" s="14"/>
      <c r="Q503" s="13"/>
      <c r="R503" s="13"/>
      <c r="S503" s="14"/>
      <c r="T503" s="14"/>
      <c r="U503" s="13"/>
      <c r="V503" s="13"/>
      <c r="W503" s="14"/>
    </row>
    <row r="504" spans="1:23" x14ac:dyDescent="0.3">
      <c r="A504" s="13">
        <v>500</v>
      </c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3"/>
      <c r="O504" s="13"/>
      <c r="P504" s="14"/>
      <c r="Q504" s="13"/>
      <c r="R504" s="13"/>
      <c r="S504" s="14"/>
      <c r="T504" s="14"/>
      <c r="U504" s="13"/>
      <c r="V504" s="13"/>
      <c r="W504" s="14"/>
    </row>
  </sheetData>
  <mergeCells count="2">
    <mergeCell ref="A1:T1"/>
    <mergeCell ref="A2:T2"/>
  </mergeCells>
  <conditionalFormatting sqref="B5:W504">
    <cfRule type="expression" dxfId="6" priority="2">
      <formula>$Q5="A"</formula>
    </cfRule>
    <cfRule type="expression" dxfId="5" priority="3">
      <formula>$Q5="B"</formula>
    </cfRule>
    <cfRule type="expression" dxfId="4" priority="4">
      <formula>$Q5="C"</formula>
    </cfRule>
    <cfRule type="expression" dxfId="3" priority="5">
      <formula>$Q5="D"</formula>
    </cfRule>
  </conditionalFormatting>
  <dataValidations count="2">
    <dataValidation type="decimal" allowBlank="1" errorTitle="Latitud fuera de RD" error="La latitud debe estar entre 17.5 y 20.0 (territorio RD)." sqref="N5:N504" xr:uid="{00000000-0002-0000-0100-000007000000}">
      <formula1>17.5</formula1>
      <formula2>20</formula2>
    </dataValidation>
    <dataValidation type="decimal" allowBlank="1" errorTitle="Longitud fuera de RD" error="La longitud debe estar entre -72.1 y -68.3 (territorio RD)." sqref="O5:O504" xr:uid="{00000000-0002-0000-0100-000008000000}">
      <formula1>-72.1</formula1>
      <formula2>-68.3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Provincia inválida" error="Selecciona una provincia de la lista." xr:uid="{00000000-0002-0000-0100-000000000000}">
          <x14:formula1>
            <xm:f>Catalogos!$N$2:$N$15</xm:f>
          </x14:formula1>
          <x14:formula2>
            <xm:f>0</xm:f>
          </x14:formula2>
          <xm:sqref>I5:I504</xm:sqref>
        </x14:dataValidation>
        <x14:dataValidation type="list" allowBlank="1" xr:uid="{00000000-0002-0000-0100-000001000000}">
          <x14:formula1>
            <xm:f>Catalogos!$D$2:$D$8</xm:f>
          </x14:formula1>
          <x14:formula2>
            <xm:f>0</xm:f>
          </x14:formula2>
          <xm:sqref>D5:D504</xm:sqref>
        </x14:dataValidation>
        <x14:dataValidation type="list" allowBlank="1" xr:uid="{00000000-0002-0000-0100-000002000000}">
          <x14:formula1>
            <xm:f>Catalogos!$F$2:$F$6</xm:f>
          </x14:formula1>
          <x14:formula2>
            <xm:f>0</xm:f>
          </x14:formula2>
          <xm:sqref>Q5:Q504</xm:sqref>
        </x14:dataValidation>
        <x14:dataValidation type="list" allowBlank="1" xr:uid="{00000000-0002-0000-0100-000003000000}">
          <x14:formula1>
            <xm:f>Catalogos!$H$2:$H$8</xm:f>
          </x14:formula1>
          <x14:formula2>
            <xm:f>0</xm:f>
          </x14:formula2>
          <xm:sqref>U5:U504</xm:sqref>
        </x14:dataValidation>
        <x14:dataValidation type="list" allowBlank="1" xr:uid="{00000000-0002-0000-0100-000004000000}">
          <x14:formula1>
            <xm:f>Catalogos!$J$2:$J$6</xm:f>
          </x14:formula1>
          <x14:formula2>
            <xm:f>0</xm:f>
          </x14:formula2>
          <xm:sqref>J5:J504</xm:sqref>
        </x14:dataValidation>
        <x14:dataValidation type="list" allowBlank="1" xr:uid="{00000000-0002-0000-0100-000005000000}">
          <x14:formula1>
            <xm:f>Catalogos!$L$2:$L$4</xm:f>
          </x14:formula1>
          <x14:formula2>
            <xm:f>0</xm:f>
          </x14:formula2>
          <xm:sqref>R5:R504</xm:sqref>
        </x14:dataValidation>
        <x14:dataValidation type="list" allowBlank="1" xr:uid="{00000000-0002-0000-0100-000006000000}">
          <x14:formula1>
            <xm:f>Catalogos!$P$2:$P$50</xm:f>
          </x14:formula1>
          <x14:formula2>
            <xm:f>0</xm:f>
          </x14:formula2>
          <xm:sqref>T5:T504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1" width="35" customWidth="1"/>
    <col min="2" max="5" width="18" customWidth="1"/>
  </cols>
  <sheetData>
    <row r="1" spans="1:5" ht="21" x14ac:dyDescent="0.4">
      <c r="A1" s="6" t="s">
        <v>38</v>
      </c>
      <c r="B1" s="6"/>
      <c r="C1" s="6"/>
      <c r="D1" s="6"/>
      <c r="E1" s="6"/>
    </row>
    <row r="3" spans="1:5" x14ac:dyDescent="0.3">
      <c r="A3" s="4" t="s">
        <v>39</v>
      </c>
      <c r="B3" s="4"/>
      <c r="C3" s="4"/>
      <c r="D3" s="4"/>
      <c r="E3" s="4"/>
    </row>
    <row r="4" spans="1:5" x14ac:dyDescent="0.3">
      <c r="A4" s="14" t="s">
        <v>40</v>
      </c>
      <c r="B4" s="15">
        <f>COUNTA(Censo!B5:B504)</f>
        <v>0</v>
      </c>
    </row>
    <row r="5" spans="1:5" x14ac:dyDescent="0.3">
      <c r="A5" s="14" t="s">
        <v>41</v>
      </c>
      <c r="B5" s="15">
        <f>COUNTA(Censo!C5:C504)</f>
        <v>0</v>
      </c>
    </row>
    <row r="6" spans="1:5" x14ac:dyDescent="0.3">
      <c r="A6" s="14" t="s">
        <v>42</v>
      </c>
      <c r="B6" s="15">
        <f>COUNTA(Censo!N5:N504)</f>
        <v>0</v>
      </c>
    </row>
    <row r="7" spans="1:5" x14ac:dyDescent="0.3">
      <c r="A7" s="14" t="s">
        <v>43</v>
      </c>
      <c r="B7" s="15">
        <f>COUNTA(Censo!P5:P504)</f>
        <v>0</v>
      </c>
    </row>
    <row r="8" spans="1:5" x14ac:dyDescent="0.3">
      <c r="A8" s="14" t="s">
        <v>44</v>
      </c>
      <c r="B8" s="16">
        <f>IFERROR(COUNTA(Censo!N5:N504)/COUNTA(Censo!B5:B504),0)</f>
        <v>0</v>
      </c>
    </row>
    <row r="9" spans="1:5" x14ac:dyDescent="0.3">
      <c r="A9" s="14" t="s">
        <v>45</v>
      </c>
      <c r="B9" s="16">
        <f>IFERROR(COUNTA(Censo!P5:P504)/COUNTA(Censo!B5:B504),0)</f>
        <v>0</v>
      </c>
    </row>
    <row r="12" spans="1:5" x14ac:dyDescent="0.3">
      <c r="A12" s="4" t="s">
        <v>46</v>
      </c>
      <c r="B12" s="4"/>
      <c r="C12" s="4"/>
      <c r="D12" s="4"/>
      <c r="E12" s="4"/>
    </row>
    <row r="13" spans="1:5" x14ac:dyDescent="0.3">
      <c r="A13" s="17" t="s">
        <v>47</v>
      </c>
      <c r="B13" s="15">
        <f>COUNTIF(Censo!Q5:Q504,"A")</f>
        <v>0</v>
      </c>
    </row>
    <row r="14" spans="1:5" x14ac:dyDescent="0.3">
      <c r="A14" s="18" t="s">
        <v>48</v>
      </c>
      <c r="B14" s="15">
        <f>COUNTIF(Censo!Q5:Q504,"B")</f>
        <v>0</v>
      </c>
    </row>
    <row r="15" spans="1:5" x14ac:dyDescent="0.3">
      <c r="A15" s="19" t="s">
        <v>49</v>
      </c>
      <c r="B15" s="15">
        <f>COUNTIF(Censo!Q5:Q504,"C")</f>
        <v>0</v>
      </c>
    </row>
    <row r="16" spans="1:5" x14ac:dyDescent="0.3">
      <c r="A16" s="20" t="s">
        <v>50</v>
      </c>
      <c r="B16" s="15">
        <f>COUNTIF(Censo!Q5:Q504,"D")</f>
        <v>0</v>
      </c>
    </row>
    <row r="17" spans="1:5" x14ac:dyDescent="0.3">
      <c r="A17" s="21" t="s">
        <v>51</v>
      </c>
      <c r="B17" s="15">
        <f>COUNTIF(Censo!Q5:Q504,"Sin clasificar")</f>
        <v>0</v>
      </c>
    </row>
    <row r="20" spans="1:5" x14ac:dyDescent="0.3">
      <c r="A20" s="4" t="s">
        <v>52</v>
      </c>
      <c r="B20" s="4"/>
      <c r="C20" s="4"/>
      <c r="D20" s="4"/>
      <c r="E20" s="4"/>
    </row>
    <row r="21" spans="1:5" x14ac:dyDescent="0.3">
      <c r="A21" s="14" t="s">
        <v>53</v>
      </c>
      <c r="B21" s="15">
        <f>COUNTIF(Censo!I5:I504,"Distrito Nacional")</f>
        <v>0</v>
      </c>
    </row>
    <row r="22" spans="1:5" x14ac:dyDescent="0.3">
      <c r="A22" s="14" t="s">
        <v>54</v>
      </c>
      <c r="B22" s="15">
        <f>COUNTIF(Censo!I5:I504,"Santo Domingo")</f>
        <v>0</v>
      </c>
    </row>
    <row r="23" spans="1:5" x14ac:dyDescent="0.3">
      <c r="A23" s="14" t="s">
        <v>55</v>
      </c>
      <c r="B23" s="15">
        <f>COUNTIF(Censo!I5:I504,"San Cristóbal")</f>
        <v>0</v>
      </c>
    </row>
    <row r="24" spans="1:5" x14ac:dyDescent="0.3">
      <c r="A24" s="14" t="s">
        <v>56</v>
      </c>
      <c r="B24" s="15">
        <f>COUNTIF(Censo!I5:I504,"Monte Plata")</f>
        <v>0</v>
      </c>
    </row>
    <row r="25" spans="1:5" x14ac:dyDescent="0.3">
      <c r="A25" s="14" t="s">
        <v>57</v>
      </c>
      <c r="B25" s="15">
        <f>COUNTIF(Censo!I5:I504,"Peravia")</f>
        <v>0</v>
      </c>
    </row>
    <row r="26" spans="1:5" x14ac:dyDescent="0.3">
      <c r="A26" s="14" t="s">
        <v>58</v>
      </c>
      <c r="B26" s="15">
        <f>COUNTIF(Censo!I5:I504,"San José de Ocoa")</f>
        <v>0</v>
      </c>
    </row>
    <row r="27" spans="1:5" x14ac:dyDescent="0.3">
      <c r="A27" s="14" t="s">
        <v>59</v>
      </c>
      <c r="B27" s="15">
        <f>COUNTIF(Censo!I5:I504,"Azua")</f>
        <v>0</v>
      </c>
    </row>
    <row r="28" spans="1:5" x14ac:dyDescent="0.3">
      <c r="A28" s="14" t="s">
        <v>60</v>
      </c>
      <c r="B28" s="15">
        <f>COUNTIF(Censo!I5:I504,"Barahona")</f>
        <v>0</v>
      </c>
    </row>
    <row r="29" spans="1:5" x14ac:dyDescent="0.3">
      <c r="A29" s="14" t="s">
        <v>61</v>
      </c>
      <c r="B29" s="15">
        <f>COUNTIF(Censo!I5:I504,"Pedernales")</f>
        <v>0</v>
      </c>
    </row>
    <row r="30" spans="1:5" x14ac:dyDescent="0.3">
      <c r="A30" s="14" t="s">
        <v>62</v>
      </c>
      <c r="B30" s="15">
        <f>COUNTIF(Censo!I5:I504,"Independencia")</f>
        <v>0</v>
      </c>
    </row>
    <row r="31" spans="1:5" x14ac:dyDescent="0.3">
      <c r="A31" s="14" t="s">
        <v>63</v>
      </c>
      <c r="B31" s="15">
        <f>COUNTIF(Censo!I5:I504,"Bahoruco")</f>
        <v>0</v>
      </c>
    </row>
    <row r="32" spans="1:5" x14ac:dyDescent="0.3">
      <c r="A32" s="14" t="s">
        <v>64</v>
      </c>
      <c r="B32" s="15">
        <f>COUNTIF(Censo!I5:I504,"San Juan")</f>
        <v>0</v>
      </c>
    </row>
    <row r="33" spans="1:5" x14ac:dyDescent="0.3">
      <c r="A33" s="14" t="s">
        <v>65</v>
      </c>
      <c r="B33" s="15">
        <f>COUNTIF(Censo!I5:I504,"Elías Piña")</f>
        <v>0</v>
      </c>
    </row>
    <row r="34" spans="1:5" x14ac:dyDescent="0.3">
      <c r="A34" s="22" t="s">
        <v>66</v>
      </c>
      <c r="B34" s="23">
        <f>SUM(B21:B33)</f>
        <v>0</v>
      </c>
    </row>
    <row r="37" spans="1:5" x14ac:dyDescent="0.3">
      <c r="A37" s="4" t="s">
        <v>67</v>
      </c>
      <c r="B37" s="4"/>
      <c r="C37" s="4"/>
      <c r="D37" s="4"/>
      <c r="E37" s="4"/>
    </row>
    <row r="38" spans="1:5" x14ac:dyDescent="0.3">
      <c r="A38" s="14" t="s">
        <v>68</v>
      </c>
      <c r="B38" s="15">
        <f>COUNTIF(Censo!U5:U504,"Pendiente")</f>
        <v>0</v>
      </c>
    </row>
    <row r="39" spans="1:5" x14ac:dyDescent="0.3">
      <c r="A39" s="14" t="s">
        <v>69</v>
      </c>
      <c r="B39" s="15">
        <f>COUNTIF(Censo!U5:U504,"Visitado")</f>
        <v>0</v>
      </c>
    </row>
    <row r="40" spans="1:5" x14ac:dyDescent="0.3">
      <c r="A40" s="14" t="s">
        <v>70</v>
      </c>
      <c r="B40" s="15">
        <f>COUNTIF(Censo!U5:U504,"Activo")</f>
        <v>0</v>
      </c>
    </row>
    <row r="41" spans="1:5" x14ac:dyDescent="0.3">
      <c r="A41" s="14" t="s">
        <v>71</v>
      </c>
      <c r="B41" s="15">
        <f>COUNTIF(Censo!U5:U504,"Inactivo")</f>
        <v>0</v>
      </c>
    </row>
    <row r="42" spans="1:5" x14ac:dyDescent="0.3">
      <c r="A42" s="14" t="s">
        <v>72</v>
      </c>
      <c r="B42" s="15">
        <f>COUNTIF(Censo!U5:U504,"No interesa")</f>
        <v>0</v>
      </c>
    </row>
    <row r="43" spans="1:5" x14ac:dyDescent="0.3">
      <c r="A43" s="14" t="s">
        <v>73</v>
      </c>
      <c r="B43" s="15">
        <f>COUNTIF(Censo!U5:U504,"Cerrado")</f>
        <v>0</v>
      </c>
    </row>
    <row r="44" spans="1:5" x14ac:dyDescent="0.3">
      <c r="A44" s="14" t="s">
        <v>74</v>
      </c>
      <c r="B44" s="15">
        <f>COUNTIF(Censo!U5:U504,"Re-visitar")</f>
        <v>0</v>
      </c>
    </row>
  </sheetData>
  <mergeCells count="5">
    <mergeCell ref="A1:E1"/>
    <mergeCell ref="A3:E3"/>
    <mergeCell ref="A12:E12"/>
    <mergeCell ref="A20:E20"/>
    <mergeCell ref="A37:E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tabSelected="1" zoomScaleNormal="100" workbookViewId="0">
      <selection activeCell="A5" sqref="A5"/>
    </sheetView>
  </sheetViews>
  <sheetFormatPr baseColWidth="10" defaultColWidth="8.6640625" defaultRowHeight="14.4" x14ac:dyDescent="0.3"/>
  <cols>
    <col min="1" max="1" width="45" customWidth="1"/>
    <col min="2" max="2" width="28" customWidth="1"/>
    <col min="3" max="3" width="22" customWidth="1"/>
    <col min="4" max="4" width="38" customWidth="1"/>
    <col min="5" max="5" width="45" customWidth="1"/>
    <col min="6" max="6" width="35" customWidth="1"/>
    <col min="7" max="7" width="12" customWidth="1"/>
    <col min="8" max="8" width="18" customWidth="1"/>
  </cols>
  <sheetData>
    <row r="1" spans="1:8" ht="21" x14ac:dyDescent="0.4">
      <c r="A1" s="6" t="s">
        <v>75</v>
      </c>
      <c r="B1" s="6"/>
      <c r="C1" s="6"/>
      <c r="D1" s="6"/>
      <c r="E1" s="6"/>
      <c r="F1" s="6"/>
      <c r="G1" s="6"/>
      <c r="H1" s="6"/>
    </row>
    <row r="2" spans="1:8" ht="45" customHeight="1" x14ac:dyDescent="0.3">
      <c r="A2" s="3" t="s">
        <v>76</v>
      </c>
      <c r="B2" s="3"/>
      <c r="C2" s="3"/>
      <c r="D2" s="3"/>
      <c r="E2" s="3"/>
      <c r="F2" s="3"/>
      <c r="G2" s="3"/>
      <c r="H2" s="3"/>
    </row>
    <row r="4" spans="1:8" ht="27.6" x14ac:dyDescent="0.3">
      <c r="A4" s="12" t="s">
        <v>77</v>
      </c>
      <c r="B4" s="12" t="s">
        <v>78</v>
      </c>
      <c r="C4" s="12" t="s">
        <v>23</v>
      </c>
      <c r="D4" s="12" t="s">
        <v>79</v>
      </c>
      <c r="E4" s="12" t="s">
        <v>80</v>
      </c>
      <c r="F4" s="12" t="s">
        <v>81</v>
      </c>
      <c r="G4" s="12" t="s">
        <v>82</v>
      </c>
      <c r="H4" s="12" t="s">
        <v>83</v>
      </c>
    </row>
    <row r="5" spans="1:8" ht="31.5" customHeight="1" x14ac:dyDescent="0.3">
      <c r="A5" s="14" t="s">
        <v>87</v>
      </c>
      <c r="B5" s="13" t="s">
        <v>88</v>
      </c>
      <c r="C5" s="13" t="s">
        <v>53</v>
      </c>
      <c r="D5" s="14" t="s">
        <v>89</v>
      </c>
      <c r="E5" s="14" t="s">
        <v>90</v>
      </c>
      <c r="F5" s="14" t="s">
        <v>91</v>
      </c>
      <c r="G5" s="13" t="s">
        <v>85</v>
      </c>
      <c r="H5" s="13"/>
    </row>
    <row r="6" spans="1:8" ht="31.5" customHeight="1" x14ac:dyDescent="0.3">
      <c r="A6" s="14" t="s">
        <v>92</v>
      </c>
      <c r="B6" s="13" t="s">
        <v>88</v>
      </c>
      <c r="C6" s="13" t="s">
        <v>53</v>
      </c>
      <c r="D6" s="14" t="s">
        <v>93</v>
      </c>
      <c r="E6" s="14" t="s">
        <v>94</v>
      </c>
      <c r="F6" s="14" t="s">
        <v>91</v>
      </c>
      <c r="G6" s="13" t="s">
        <v>85</v>
      </c>
      <c r="H6" s="13"/>
    </row>
    <row r="7" spans="1:8" ht="31.5" customHeight="1" x14ac:dyDescent="0.3">
      <c r="A7" s="14" t="s">
        <v>95</v>
      </c>
      <c r="B7" s="13" t="s">
        <v>88</v>
      </c>
      <c r="C7" s="13" t="s">
        <v>53</v>
      </c>
      <c r="D7" s="14" t="s">
        <v>96</v>
      </c>
      <c r="E7" s="14" t="s">
        <v>97</v>
      </c>
      <c r="F7" s="14" t="s">
        <v>98</v>
      </c>
      <c r="G7" s="13" t="s">
        <v>85</v>
      </c>
      <c r="H7" s="13"/>
    </row>
    <row r="8" spans="1:8" ht="31.5" customHeight="1" x14ac:dyDescent="0.3">
      <c r="A8" s="14" t="s">
        <v>99</v>
      </c>
      <c r="B8" s="13" t="s">
        <v>100</v>
      </c>
      <c r="C8" s="13" t="s">
        <v>54</v>
      </c>
      <c r="D8" s="14" t="s">
        <v>101</v>
      </c>
      <c r="E8" s="14" t="s">
        <v>102</v>
      </c>
      <c r="F8" s="14" t="s">
        <v>103</v>
      </c>
      <c r="G8" s="13" t="s">
        <v>85</v>
      </c>
      <c r="H8" s="13"/>
    </row>
    <row r="9" spans="1:8" ht="31.5" customHeight="1" x14ac:dyDescent="0.3">
      <c r="A9" s="14" t="s">
        <v>104</v>
      </c>
      <c r="B9" s="13" t="s">
        <v>105</v>
      </c>
      <c r="C9" s="13" t="s">
        <v>54</v>
      </c>
      <c r="D9" s="14" t="s">
        <v>106</v>
      </c>
      <c r="E9" s="14" t="s">
        <v>107</v>
      </c>
      <c r="F9" s="14" t="s">
        <v>108</v>
      </c>
      <c r="G9" s="13" t="s">
        <v>85</v>
      </c>
      <c r="H9" s="13"/>
    </row>
    <row r="10" spans="1:8" ht="31.5" customHeight="1" x14ac:dyDescent="0.3">
      <c r="A10" s="14" t="s">
        <v>109</v>
      </c>
      <c r="B10" s="13" t="s">
        <v>105</v>
      </c>
      <c r="C10" s="13" t="s">
        <v>53</v>
      </c>
      <c r="D10" s="14" t="s">
        <v>110</v>
      </c>
      <c r="E10" s="14" t="s">
        <v>111</v>
      </c>
      <c r="F10" s="14" t="s">
        <v>112</v>
      </c>
      <c r="G10" s="13" t="s">
        <v>85</v>
      </c>
      <c r="H10" s="13"/>
    </row>
    <row r="11" spans="1:8" ht="31.5" customHeight="1" x14ac:dyDescent="0.3">
      <c r="A11" s="14" t="s">
        <v>113</v>
      </c>
      <c r="B11" s="13" t="s">
        <v>105</v>
      </c>
      <c r="C11" s="13" t="s">
        <v>53</v>
      </c>
      <c r="D11" s="14" t="s">
        <v>114</v>
      </c>
      <c r="E11" s="14" t="s">
        <v>115</v>
      </c>
      <c r="F11" s="14" t="s">
        <v>112</v>
      </c>
      <c r="G11" s="13" t="s">
        <v>116</v>
      </c>
      <c r="H11" s="13"/>
    </row>
    <row r="12" spans="1:8" ht="31.5" customHeight="1" x14ac:dyDescent="0.3">
      <c r="A12" s="14" t="s">
        <v>117</v>
      </c>
      <c r="B12" s="13" t="s">
        <v>105</v>
      </c>
      <c r="C12" s="13" t="s">
        <v>55</v>
      </c>
      <c r="D12" s="14" t="s">
        <v>118</v>
      </c>
      <c r="E12" s="14" t="s">
        <v>119</v>
      </c>
      <c r="F12" s="14" t="s">
        <v>120</v>
      </c>
      <c r="G12" s="13" t="s">
        <v>85</v>
      </c>
      <c r="H12" s="13"/>
    </row>
    <row r="13" spans="1:8" ht="31.5" customHeight="1" x14ac:dyDescent="0.3">
      <c r="A13" s="14" t="s">
        <v>121</v>
      </c>
      <c r="B13" s="13" t="s">
        <v>105</v>
      </c>
      <c r="C13" s="13" t="s">
        <v>55</v>
      </c>
      <c r="D13" s="14" t="s">
        <v>122</v>
      </c>
      <c r="E13" s="14" t="s">
        <v>123</v>
      </c>
      <c r="F13" s="14" t="s">
        <v>124</v>
      </c>
      <c r="G13" s="13" t="s">
        <v>116</v>
      </c>
      <c r="H13" s="13"/>
    </row>
    <row r="14" spans="1:8" ht="31.5" customHeight="1" x14ac:dyDescent="0.3">
      <c r="A14" s="14" t="s">
        <v>125</v>
      </c>
      <c r="B14" s="13" t="s">
        <v>105</v>
      </c>
      <c r="C14" s="13" t="s">
        <v>55</v>
      </c>
      <c r="D14" s="14" t="s">
        <v>126</v>
      </c>
      <c r="E14" s="14" t="s">
        <v>127</v>
      </c>
      <c r="F14" s="14" t="s">
        <v>124</v>
      </c>
      <c r="G14" s="13" t="s">
        <v>116</v>
      </c>
      <c r="H14" s="13"/>
    </row>
    <row r="15" spans="1:8" ht="31.5" customHeight="1" x14ac:dyDescent="0.3">
      <c r="A15" s="14" t="s">
        <v>128</v>
      </c>
      <c r="B15" s="13" t="s">
        <v>105</v>
      </c>
      <c r="C15" s="13" t="s">
        <v>57</v>
      </c>
      <c r="D15" s="14" t="s">
        <v>129</v>
      </c>
      <c r="E15" s="14" t="s">
        <v>130</v>
      </c>
      <c r="F15" s="14" t="s">
        <v>131</v>
      </c>
      <c r="G15" s="13" t="s">
        <v>85</v>
      </c>
      <c r="H15" s="13"/>
    </row>
    <row r="16" spans="1:8" ht="31.5" customHeight="1" x14ac:dyDescent="0.3">
      <c r="A16" s="14" t="s">
        <v>132</v>
      </c>
      <c r="B16" s="13" t="s">
        <v>105</v>
      </c>
      <c r="C16" s="13" t="s">
        <v>59</v>
      </c>
      <c r="D16" s="14" t="s">
        <v>133</v>
      </c>
      <c r="E16" s="14" t="s">
        <v>134</v>
      </c>
      <c r="F16" s="14" t="s">
        <v>135</v>
      </c>
      <c r="G16" s="13" t="s">
        <v>85</v>
      </c>
      <c r="H16" s="13"/>
    </row>
    <row r="17" spans="1:8" ht="31.5" customHeight="1" x14ac:dyDescent="0.3">
      <c r="A17" s="14" t="s">
        <v>136</v>
      </c>
      <c r="B17" s="13" t="s">
        <v>105</v>
      </c>
      <c r="C17" s="13" t="s">
        <v>60</v>
      </c>
      <c r="D17" s="14" t="s">
        <v>137</v>
      </c>
      <c r="E17" s="14" t="s">
        <v>138</v>
      </c>
      <c r="F17" s="14" t="s">
        <v>139</v>
      </c>
      <c r="G17" s="13" t="s">
        <v>85</v>
      </c>
      <c r="H17" s="13"/>
    </row>
    <row r="18" spans="1:8" ht="31.5" customHeight="1" x14ac:dyDescent="0.3">
      <c r="A18" s="14" t="s">
        <v>140</v>
      </c>
      <c r="B18" s="13" t="s">
        <v>105</v>
      </c>
      <c r="C18" s="13" t="s">
        <v>64</v>
      </c>
      <c r="D18" s="14" t="s">
        <v>141</v>
      </c>
      <c r="E18" s="14" t="s">
        <v>142</v>
      </c>
      <c r="F18" s="14" t="s">
        <v>143</v>
      </c>
      <c r="G18" s="13" t="s">
        <v>85</v>
      </c>
      <c r="H18" s="13"/>
    </row>
    <row r="19" spans="1:8" ht="31.5" customHeight="1" x14ac:dyDescent="0.3">
      <c r="A19" s="14" t="s">
        <v>144</v>
      </c>
      <c r="B19" s="13" t="s">
        <v>105</v>
      </c>
      <c r="C19" s="13" t="s">
        <v>64</v>
      </c>
      <c r="D19" s="14" t="s">
        <v>145</v>
      </c>
      <c r="E19" s="14" t="s">
        <v>146</v>
      </c>
      <c r="F19" s="14" t="s">
        <v>124</v>
      </c>
      <c r="G19" s="13" t="s">
        <v>116</v>
      </c>
      <c r="H19" s="13"/>
    </row>
    <row r="20" spans="1:8" ht="31.5" customHeight="1" x14ac:dyDescent="0.3">
      <c r="A20" s="14" t="s">
        <v>147</v>
      </c>
      <c r="B20" s="13" t="s">
        <v>105</v>
      </c>
      <c r="C20" s="13" t="s">
        <v>65</v>
      </c>
      <c r="D20" s="14" t="s">
        <v>148</v>
      </c>
      <c r="E20" s="14" t="s">
        <v>149</v>
      </c>
      <c r="F20" s="14" t="s">
        <v>150</v>
      </c>
      <c r="G20" s="13" t="s">
        <v>116</v>
      </c>
      <c r="H20" s="13"/>
    </row>
    <row r="21" spans="1:8" ht="31.5" customHeight="1" x14ac:dyDescent="0.3">
      <c r="A21" s="14" t="s">
        <v>151</v>
      </c>
      <c r="B21" s="13" t="s">
        <v>105</v>
      </c>
      <c r="C21" s="13" t="s">
        <v>63</v>
      </c>
      <c r="D21" s="14" t="s">
        <v>152</v>
      </c>
      <c r="E21" s="14" t="s">
        <v>153</v>
      </c>
      <c r="F21" s="14" t="s">
        <v>124</v>
      </c>
      <c r="G21" s="13" t="s">
        <v>116</v>
      </c>
      <c r="H21" s="13"/>
    </row>
    <row r="22" spans="1:8" ht="31.5" customHeight="1" x14ac:dyDescent="0.3">
      <c r="A22" s="14" t="s">
        <v>154</v>
      </c>
      <c r="B22" s="13" t="s">
        <v>105</v>
      </c>
      <c r="C22" s="13" t="s">
        <v>62</v>
      </c>
      <c r="D22" s="14" t="s">
        <v>155</v>
      </c>
      <c r="E22" s="14" t="s">
        <v>156</v>
      </c>
      <c r="F22" s="14" t="s">
        <v>124</v>
      </c>
      <c r="G22" s="13" t="s">
        <v>116</v>
      </c>
      <c r="H22" s="13"/>
    </row>
    <row r="23" spans="1:8" ht="31.5" customHeight="1" x14ac:dyDescent="0.3">
      <c r="A23" s="14" t="s">
        <v>157</v>
      </c>
      <c r="B23" s="13" t="s">
        <v>105</v>
      </c>
      <c r="C23" s="13" t="s">
        <v>61</v>
      </c>
      <c r="D23" s="14" t="s">
        <v>158</v>
      </c>
      <c r="E23" s="14" t="s">
        <v>159</v>
      </c>
      <c r="F23" s="14" t="s">
        <v>160</v>
      </c>
      <c r="G23" s="13" t="s">
        <v>116</v>
      </c>
      <c r="H23" s="13"/>
    </row>
    <row r="24" spans="1:8" ht="31.5" customHeight="1" x14ac:dyDescent="0.3">
      <c r="A24" s="14" t="s">
        <v>161</v>
      </c>
      <c r="B24" s="13" t="s">
        <v>105</v>
      </c>
      <c r="C24" s="13" t="s">
        <v>56</v>
      </c>
      <c r="D24" s="14" t="s">
        <v>162</v>
      </c>
      <c r="E24" s="14" t="s">
        <v>163</v>
      </c>
      <c r="F24" s="14" t="s">
        <v>164</v>
      </c>
      <c r="G24" s="13" t="s">
        <v>85</v>
      </c>
      <c r="H24" s="13"/>
    </row>
    <row r="25" spans="1:8" ht="31.5" customHeight="1" x14ac:dyDescent="0.3">
      <c r="A25" s="14" t="s">
        <v>165</v>
      </c>
      <c r="B25" s="13" t="s">
        <v>105</v>
      </c>
      <c r="C25" s="13" t="s">
        <v>58</v>
      </c>
      <c r="D25" s="14" t="s">
        <v>166</v>
      </c>
      <c r="E25" s="14" t="s">
        <v>167</v>
      </c>
      <c r="F25" s="14" t="s">
        <v>124</v>
      </c>
      <c r="G25" s="13" t="s">
        <v>116</v>
      </c>
      <c r="H25" s="13"/>
    </row>
  </sheetData>
  <mergeCells count="2">
    <mergeCell ref="A1:H1"/>
    <mergeCell ref="A2:H2"/>
  </mergeCells>
  <conditionalFormatting sqref="G5:G25">
    <cfRule type="cellIs" dxfId="2" priority="2" operator="equal">
      <formula>"Alta"</formula>
    </cfRule>
    <cfRule type="cellIs" dxfId="1" priority="3" operator="equal">
      <formula>"Media"</formula>
    </cfRule>
    <cfRule type="cellIs" dxfId="0" priority="4" operator="equal">
      <formula>"Baja"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3"/>
  <sheetViews>
    <sheetView zoomScaleNormal="100" workbookViewId="0"/>
  </sheetViews>
  <sheetFormatPr baseColWidth="10" defaultColWidth="8.6640625" defaultRowHeight="14.4" x14ac:dyDescent="0.3"/>
  <cols>
    <col min="1" max="1" width="22" customWidth="1"/>
    <col min="2" max="2" width="32" customWidth="1"/>
    <col min="4" max="4" width="38" customWidth="1"/>
    <col min="6" max="6" width="16" customWidth="1"/>
    <col min="8" max="8" width="18" customWidth="1"/>
    <col min="10" max="10" width="22" customWidth="1"/>
    <col min="12" max="12" width="16" customWidth="1"/>
    <col min="14" max="14" width="22" customWidth="1"/>
    <col min="16" max="16" width="32" customWidth="1"/>
  </cols>
  <sheetData>
    <row r="1" spans="1:16" ht="27.6" x14ac:dyDescent="0.3">
      <c r="A1" s="12" t="s">
        <v>168</v>
      </c>
      <c r="B1" s="12" t="s">
        <v>169</v>
      </c>
      <c r="D1" s="12" t="s">
        <v>170</v>
      </c>
      <c r="F1" s="12" t="s">
        <v>171</v>
      </c>
      <c r="H1" s="12" t="s">
        <v>172</v>
      </c>
      <c r="J1" s="12" t="s">
        <v>173</v>
      </c>
      <c r="L1" s="12" t="s">
        <v>174</v>
      </c>
      <c r="N1" s="24" t="s">
        <v>175</v>
      </c>
      <c r="P1" s="24" t="s">
        <v>176</v>
      </c>
    </row>
    <row r="2" spans="1:16" x14ac:dyDescent="0.3">
      <c r="A2" s="25" t="s">
        <v>53</v>
      </c>
      <c r="B2" s="25" t="s">
        <v>177</v>
      </c>
      <c r="D2" s="25" t="s">
        <v>105</v>
      </c>
      <c r="F2" s="25" t="s">
        <v>178</v>
      </c>
      <c r="H2" s="25" t="s">
        <v>68</v>
      </c>
      <c r="J2" s="25" t="s">
        <v>53</v>
      </c>
      <c r="L2" s="25" t="s">
        <v>179</v>
      </c>
      <c r="N2" s="25" t="s">
        <v>53</v>
      </c>
      <c r="P2" s="25" t="s">
        <v>180</v>
      </c>
    </row>
    <row r="3" spans="1:16" x14ac:dyDescent="0.3">
      <c r="A3" s="25" t="s">
        <v>54</v>
      </c>
      <c r="B3" s="25" t="s">
        <v>181</v>
      </c>
      <c r="D3" s="25" t="s">
        <v>182</v>
      </c>
      <c r="F3" s="25" t="s">
        <v>183</v>
      </c>
      <c r="H3" s="25" t="s">
        <v>69</v>
      </c>
      <c r="J3" s="25" t="s">
        <v>184</v>
      </c>
      <c r="L3" s="25" t="s">
        <v>185</v>
      </c>
      <c r="N3" s="25" t="s">
        <v>54</v>
      </c>
      <c r="P3" s="25" t="s">
        <v>186</v>
      </c>
    </row>
    <row r="4" spans="1:16" x14ac:dyDescent="0.3">
      <c r="A4" s="25" t="s">
        <v>54</v>
      </c>
      <c r="B4" s="25" t="s">
        <v>101</v>
      </c>
      <c r="D4" s="25" t="s">
        <v>187</v>
      </c>
      <c r="F4" s="25" t="s">
        <v>188</v>
      </c>
      <c r="H4" s="25" t="s">
        <v>70</v>
      </c>
      <c r="J4" s="25" t="s">
        <v>56</v>
      </c>
      <c r="L4" s="25" t="s">
        <v>189</v>
      </c>
      <c r="N4" s="25" t="s">
        <v>55</v>
      </c>
      <c r="P4" s="25" t="s">
        <v>190</v>
      </c>
    </row>
    <row r="5" spans="1:16" x14ac:dyDescent="0.3">
      <c r="A5" s="25" t="s">
        <v>54</v>
      </c>
      <c r="B5" s="25" t="s">
        <v>191</v>
      </c>
      <c r="D5" s="25" t="s">
        <v>192</v>
      </c>
      <c r="F5" s="25" t="s">
        <v>193</v>
      </c>
      <c r="H5" s="25" t="s">
        <v>71</v>
      </c>
      <c r="J5" s="25" t="s">
        <v>194</v>
      </c>
      <c r="N5" s="25" t="s">
        <v>56</v>
      </c>
      <c r="P5" s="25" t="s">
        <v>195</v>
      </c>
    </row>
    <row r="6" spans="1:16" x14ac:dyDescent="0.3">
      <c r="A6" s="25" t="s">
        <v>54</v>
      </c>
      <c r="B6" s="25" t="s">
        <v>196</v>
      </c>
      <c r="D6" s="25" t="s">
        <v>86</v>
      </c>
      <c r="F6" s="25" t="s">
        <v>51</v>
      </c>
      <c r="H6" s="25" t="s">
        <v>72</v>
      </c>
      <c r="J6" s="25" t="s">
        <v>197</v>
      </c>
      <c r="N6" s="25" t="s">
        <v>57</v>
      </c>
      <c r="P6" s="25" t="s">
        <v>198</v>
      </c>
    </row>
    <row r="7" spans="1:16" x14ac:dyDescent="0.3">
      <c r="A7" s="25" t="s">
        <v>54</v>
      </c>
      <c r="B7" s="25" t="s">
        <v>199</v>
      </c>
      <c r="D7" s="25" t="s">
        <v>84</v>
      </c>
      <c r="H7" s="25" t="s">
        <v>73</v>
      </c>
      <c r="N7" s="25" t="s">
        <v>58</v>
      </c>
      <c r="P7" s="25" t="s">
        <v>200</v>
      </c>
    </row>
    <row r="8" spans="1:16" x14ac:dyDescent="0.3">
      <c r="A8" s="25" t="s">
        <v>54</v>
      </c>
      <c r="B8" s="25" t="s">
        <v>201</v>
      </c>
      <c r="D8" s="25" t="s">
        <v>202</v>
      </c>
      <c r="H8" s="25" t="s">
        <v>74</v>
      </c>
      <c r="N8" s="25" t="s">
        <v>59</v>
      </c>
      <c r="P8" s="25" t="s">
        <v>203</v>
      </c>
    </row>
    <row r="9" spans="1:16" x14ac:dyDescent="0.3">
      <c r="A9" s="25" t="s">
        <v>54</v>
      </c>
      <c r="B9" s="25" t="s">
        <v>204</v>
      </c>
      <c r="N9" s="25" t="s">
        <v>60</v>
      </c>
      <c r="P9" s="25" t="s">
        <v>205</v>
      </c>
    </row>
    <row r="10" spans="1:16" x14ac:dyDescent="0.3">
      <c r="A10" s="25" t="s">
        <v>55</v>
      </c>
      <c r="B10" s="25" t="s">
        <v>55</v>
      </c>
      <c r="N10" s="25" t="s">
        <v>61</v>
      </c>
      <c r="P10" s="25" t="s">
        <v>206</v>
      </c>
    </row>
    <row r="11" spans="1:16" x14ac:dyDescent="0.3">
      <c r="A11" s="25" t="s">
        <v>55</v>
      </c>
      <c r="B11" s="25" t="s">
        <v>207</v>
      </c>
      <c r="N11" s="25" t="s">
        <v>62</v>
      </c>
      <c r="P11" s="25" t="s">
        <v>208</v>
      </c>
    </row>
    <row r="12" spans="1:16" x14ac:dyDescent="0.3">
      <c r="A12" s="25" t="s">
        <v>55</v>
      </c>
      <c r="B12" s="25" t="s">
        <v>209</v>
      </c>
      <c r="N12" s="25" t="s">
        <v>63</v>
      </c>
      <c r="P12" s="25" t="s">
        <v>210</v>
      </c>
    </row>
    <row r="13" spans="1:16" x14ac:dyDescent="0.3">
      <c r="A13" s="25" t="s">
        <v>55</v>
      </c>
      <c r="B13" s="25" t="s">
        <v>211</v>
      </c>
      <c r="N13" s="25" t="s">
        <v>64</v>
      </c>
      <c r="P13" s="25" t="s">
        <v>212</v>
      </c>
    </row>
    <row r="14" spans="1:16" x14ac:dyDescent="0.3">
      <c r="A14" s="25" t="s">
        <v>55</v>
      </c>
      <c r="B14" s="25" t="s">
        <v>213</v>
      </c>
      <c r="N14" s="25" t="s">
        <v>65</v>
      </c>
      <c r="P14" s="25" t="s">
        <v>214</v>
      </c>
    </row>
    <row r="15" spans="1:16" x14ac:dyDescent="0.3">
      <c r="A15" s="25" t="s">
        <v>55</v>
      </c>
      <c r="B15" s="25" t="s">
        <v>215</v>
      </c>
      <c r="P15" s="25" t="s">
        <v>216</v>
      </c>
    </row>
    <row r="16" spans="1:16" x14ac:dyDescent="0.3">
      <c r="A16" s="25" t="s">
        <v>55</v>
      </c>
      <c r="B16" s="25" t="s">
        <v>217</v>
      </c>
      <c r="P16" s="25" t="s">
        <v>218</v>
      </c>
    </row>
    <row r="17" spans="1:16" x14ac:dyDescent="0.3">
      <c r="A17" s="25" t="s">
        <v>55</v>
      </c>
      <c r="B17" s="25" t="s">
        <v>219</v>
      </c>
      <c r="P17" s="25" t="s">
        <v>220</v>
      </c>
    </row>
    <row r="18" spans="1:16" x14ac:dyDescent="0.3">
      <c r="A18" s="25" t="s">
        <v>56</v>
      </c>
      <c r="B18" s="25" t="s">
        <v>56</v>
      </c>
      <c r="P18" s="25" t="s">
        <v>221</v>
      </c>
    </row>
    <row r="19" spans="1:16" x14ac:dyDescent="0.3">
      <c r="A19" s="25" t="s">
        <v>56</v>
      </c>
      <c r="B19" s="25" t="s">
        <v>222</v>
      </c>
      <c r="P19" s="25" t="s">
        <v>223</v>
      </c>
    </row>
    <row r="20" spans="1:16" x14ac:dyDescent="0.3">
      <c r="A20" s="25" t="s">
        <v>56</v>
      </c>
      <c r="B20" s="25" t="s">
        <v>224</v>
      </c>
      <c r="P20" s="25" t="s">
        <v>225</v>
      </c>
    </row>
    <row r="21" spans="1:16" x14ac:dyDescent="0.3">
      <c r="A21" s="25" t="s">
        <v>56</v>
      </c>
      <c r="B21" s="25" t="s">
        <v>226</v>
      </c>
      <c r="P21" s="25" t="s">
        <v>227</v>
      </c>
    </row>
    <row r="22" spans="1:16" x14ac:dyDescent="0.3">
      <c r="A22" s="25" t="s">
        <v>56</v>
      </c>
      <c r="B22" s="25" t="s">
        <v>228</v>
      </c>
      <c r="P22" s="25" t="s">
        <v>229</v>
      </c>
    </row>
    <row r="23" spans="1:16" x14ac:dyDescent="0.3">
      <c r="A23" s="25" t="s">
        <v>57</v>
      </c>
      <c r="B23" s="25" t="s">
        <v>230</v>
      </c>
      <c r="P23" s="25" t="s">
        <v>231</v>
      </c>
    </row>
    <row r="24" spans="1:16" x14ac:dyDescent="0.3">
      <c r="A24" s="25" t="s">
        <v>57</v>
      </c>
      <c r="B24" s="25" t="s">
        <v>232</v>
      </c>
      <c r="P24" s="25" t="s">
        <v>233</v>
      </c>
    </row>
    <row r="25" spans="1:16" x14ac:dyDescent="0.3">
      <c r="A25" s="25" t="s">
        <v>58</v>
      </c>
      <c r="B25" s="25" t="s">
        <v>58</v>
      </c>
      <c r="P25" s="25" t="s">
        <v>234</v>
      </c>
    </row>
    <row r="26" spans="1:16" x14ac:dyDescent="0.3">
      <c r="A26" s="25" t="s">
        <v>58</v>
      </c>
      <c r="B26" s="25" t="s">
        <v>235</v>
      </c>
      <c r="P26" s="25" t="s">
        <v>236</v>
      </c>
    </row>
    <row r="27" spans="1:16" x14ac:dyDescent="0.3">
      <c r="A27" s="25" t="s">
        <v>58</v>
      </c>
      <c r="B27" s="25" t="s">
        <v>237</v>
      </c>
      <c r="P27" s="25" t="s">
        <v>238</v>
      </c>
    </row>
    <row r="28" spans="1:16" x14ac:dyDescent="0.3">
      <c r="A28" s="25" t="s">
        <v>59</v>
      </c>
      <c r="B28" s="25" t="s">
        <v>239</v>
      </c>
      <c r="P28" s="25" t="s">
        <v>240</v>
      </c>
    </row>
    <row r="29" spans="1:16" x14ac:dyDescent="0.3">
      <c r="A29" s="25" t="s">
        <v>59</v>
      </c>
      <c r="B29" s="25" t="s">
        <v>241</v>
      </c>
      <c r="P29" s="25" t="s">
        <v>242</v>
      </c>
    </row>
    <row r="30" spans="1:16" x14ac:dyDescent="0.3">
      <c r="A30" s="25" t="s">
        <v>59</v>
      </c>
      <c r="B30" s="25" t="s">
        <v>243</v>
      </c>
      <c r="P30" s="25" t="s">
        <v>244</v>
      </c>
    </row>
    <row r="31" spans="1:16" x14ac:dyDescent="0.3">
      <c r="A31" s="25" t="s">
        <v>59</v>
      </c>
      <c r="B31" s="25" t="s">
        <v>245</v>
      </c>
      <c r="P31" s="25" t="s">
        <v>246</v>
      </c>
    </row>
    <row r="32" spans="1:16" x14ac:dyDescent="0.3">
      <c r="A32" s="25" t="s">
        <v>59</v>
      </c>
      <c r="B32" s="25" t="s">
        <v>247</v>
      </c>
      <c r="P32" s="25" t="s">
        <v>248</v>
      </c>
    </row>
    <row r="33" spans="1:16" x14ac:dyDescent="0.3">
      <c r="A33" s="25" t="s">
        <v>59</v>
      </c>
      <c r="B33" s="25" t="s">
        <v>249</v>
      </c>
      <c r="P33" s="25" t="s">
        <v>250</v>
      </c>
    </row>
    <row r="34" spans="1:16" x14ac:dyDescent="0.3">
      <c r="A34" s="25" t="s">
        <v>59</v>
      </c>
      <c r="B34" s="25" t="s">
        <v>251</v>
      </c>
      <c r="P34" s="25" t="s">
        <v>252</v>
      </c>
    </row>
    <row r="35" spans="1:16" x14ac:dyDescent="0.3">
      <c r="A35" s="25" t="s">
        <v>59</v>
      </c>
      <c r="B35" s="25" t="s">
        <v>253</v>
      </c>
      <c r="P35" s="25" t="s">
        <v>254</v>
      </c>
    </row>
    <row r="36" spans="1:16" x14ac:dyDescent="0.3">
      <c r="A36" s="25" t="s">
        <v>59</v>
      </c>
      <c r="B36" s="25" t="s">
        <v>255</v>
      </c>
      <c r="P36" s="25" t="s">
        <v>256</v>
      </c>
    </row>
    <row r="37" spans="1:16" x14ac:dyDescent="0.3">
      <c r="A37" s="25" t="s">
        <v>59</v>
      </c>
      <c r="B37" s="25" t="s">
        <v>257</v>
      </c>
      <c r="P37" s="25" t="s">
        <v>258</v>
      </c>
    </row>
    <row r="38" spans="1:16" x14ac:dyDescent="0.3">
      <c r="A38" s="25" t="s">
        <v>60</v>
      </c>
      <c r="B38" s="25" t="s">
        <v>259</v>
      </c>
      <c r="P38" s="25" t="s">
        <v>260</v>
      </c>
    </row>
    <row r="39" spans="1:16" x14ac:dyDescent="0.3">
      <c r="A39" s="25" t="s">
        <v>60</v>
      </c>
      <c r="B39" s="25" t="s">
        <v>261</v>
      </c>
      <c r="P39" s="25" t="s">
        <v>262</v>
      </c>
    </row>
    <row r="40" spans="1:16" x14ac:dyDescent="0.3">
      <c r="A40" s="25" t="s">
        <v>60</v>
      </c>
      <c r="B40" s="25" t="s">
        <v>263</v>
      </c>
      <c r="P40" s="25" t="s">
        <v>264</v>
      </c>
    </row>
    <row r="41" spans="1:16" x14ac:dyDescent="0.3">
      <c r="A41" s="25" t="s">
        <v>60</v>
      </c>
      <c r="B41" s="25" t="s">
        <v>265</v>
      </c>
      <c r="P41" s="25" t="s">
        <v>266</v>
      </c>
    </row>
    <row r="42" spans="1:16" x14ac:dyDescent="0.3">
      <c r="A42" s="25" t="s">
        <v>60</v>
      </c>
      <c r="B42" s="25" t="s">
        <v>267</v>
      </c>
      <c r="P42" s="25" t="s">
        <v>268</v>
      </c>
    </row>
    <row r="43" spans="1:16" x14ac:dyDescent="0.3">
      <c r="A43" s="25" t="s">
        <v>60</v>
      </c>
      <c r="B43" s="25" t="s">
        <v>269</v>
      </c>
      <c r="P43" s="25" t="s">
        <v>270</v>
      </c>
    </row>
    <row r="44" spans="1:16" x14ac:dyDescent="0.3">
      <c r="A44" s="25" t="s">
        <v>60</v>
      </c>
      <c r="B44" s="25" t="s">
        <v>271</v>
      </c>
      <c r="P44" s="25" t="s">
        <v>272</v>
      </c>
    </row>
    <row r="45" spans="1:16" x14ac:dyDescent="0.3">
      <c r="A45" s="25" t="s">
        <v>60</v>
      </c>
      <c r="B45" s="25" t="s">
        <v>273</v>
      </c>
      <c r="P45" s="25" t="s">
        <v>274</v>
      </c>
    </row>
    <row r="46" spans="1:16" x14ac:dyDescent="0.3">
      <c r="A46" s="25" t="s">
        <v>60</v>
      </c>
      <c r="B46" s="25" t="s">
        <v>275</v>
      </c>
      <c r="P46" s="25" t="s">
        <v>276</v>
      </c>
    </row>
    <row r="47" spans="1:16" x14ac:dyDescent="0.3">
      <c r="A47" s="25" t="s">
        <v>60</v>
      </c>
      <c r="B47" s="25" t="s">
        <v>277</v>
      </c>
      <c r="P47" s="25" t="s">
        <v>278</v>
      </c>
    </row>
    <row r="48" spans="1:16" x14ac:dyDescent="0.3">
      <c r="A48" s="25" t="s">
        <v>60</v>
      </c>
      <c r="B48" s="25" t="s">
        <v>279</v>
      </c>
      <c r="P48" s="25" t="s">
        <v>280</v>
      </c>
    </row>
    <row r="49" spans="1:16" x14ac:dyDescent="0.3">
      <c r="A49" s="25" t="s">
        <v>61</v>
      </c>
      <c r="B49" s="25" t="s">
        <v>61</v>
      </c>
      <c r="P49" s="25" t="s">
        <v>281</v>
      </c>
    </row>
    <row r="50" spans="1:16" x14ac:dyDescent="0.3">
      <c r="A50" s="9" t="s">
        <v>282</v>
      </c>
      <c r="B50" s="25" t="s">
        <v>283</v>
      </c>
      <c r="P50" s="25" t="s">
        <v>284</v>
      </c>
    </row>
    <row r="51" spans="1:16" x14ac:dyDescent="0.3">
      <c r="A51" s="25" t="s">
        <v>62</v>
      </c>
      <c r="B51" s="25" t="s">
        <v>285</v>
      </c>
    </row>
    <row r="52" spans="1:16" x14ac:dyDescent="0.3">
      <c r="A52" s="25" t="s">
        <v>62</v>
      </c>
      <c r="B52" s="25" t="s">
        <v>286</v>
      </c>
    </row>
    <row r="53" spans="1:16" x14ac:dyDescent="0.3">
      <c r="A53" s="25" t="s">
        <v>62</v>
      </c>
      <c r="B53" s="25" t="s">
        <v>287</v>
      </c>
    </row>
    <row r="54" spans="1:16" x14ac:dyDescent="0.3">
      <c r="A54" s="25" t="s">
        <v>62</v>
      </c>
      <c r="B54" s="25" t="s">
        <v>288</v>
      </c>
    </row>
    <row r="55" spans="1:16" x14ac:dyDescent="0.3">
      <c r="A55" s="25" t="s">
        <v>62</v>
      </c>
      <c r="B55" s="25" t="s">
        <v>289</v>
      </c>
    </row>
    <row r="56" spans="1:16" x14ac:dyDescent="0.3">
      <c r="A56" s="25" t="s">
        <v>62</v>
      </c>
      <c r="B56" s="25" t="s">
        <v>290</v>
      </c>
    </row>
    <row r="57" spans="1:16" x14ac:dyDescent="0.3">
      <c r="A57" s="25" t="s">
        <v>63</v>
      </c>
      <c r="B57" s="25" t="s">
        <v>291</v>
      </c>
    </row>
    <row r="58" spans="1:16" x14ac:dyDescent="0.3">
      <c r="A58" s="25" t="s">
        <v>63</v>
      </c>
      <c r="B58" s="25" t="s">
        <v>292</v>
      </c>
    </row>
    <row r="59" spans="1:16" x14ac:dyDescent="0.3">
      <c r="A59" s="25" t="s">
        <v>63</v>
      </c>
      <c r="B59" s="25" t="s">
        <v>293</v>
      </c>
    </row>
    <row r="60" spans="1:16" x14ac:dyDescent="0.3">
      <c r="A60" s="25" t="s">
        <v>63</v>
      </c>
      <c r="B60" s="25" t="s">
        <v>294</v>
      </c>
    </row>
    <row r="61" spans="1:16" x14ac:dyDescent="0.3">
      <c r="A61" s="25" t="s">
        <v>63</v>
      </c>
      <c r="B61" s="25" t="s">
        <v>295</v>
      </c>
    </row>
    <row r="62" spans="1:16" x14ac:dyDescent="0.3">
      <c r="A62" s="25" t="s">
        <v>64</v>
      </c>
      <c r="B62" s="25" t="s">
        <v>296</v>
      </c>
    </row>
    <row r="63" spans="1:16" x14ac:dyDescent="0.3">
      <c r="A63" s="25" t="s">
        <v>64</v>
      </c>
      <c r="B63" s="25" t="s">
        <v>297</v>
      </c>
    </row>
    <row r="64" spans="1:16" x14ac:dyDescent="0.3">
      <c r="A64" s="25" t="s">
        <v>64</v>
      </c>
      <c r="B64" s="25" t="s">
        <v>298</v>
      </c>
    </row>
    <row r="65" spans="1:2" x14ac:dyDescent="0.3">
      <c r="A65" s="25" t="s">
        <v>64</v>
      </c>
      <c r="B65" s="25" t="s">
        <v>299</v>
      </c>
    </row>
    <row r="66" spans="1:2" x14ac:dyDescent="0.3">
      <c r="A66" s="25" t="s">
        <v>64</v>
      </c>
      <c r="B66" s="25" t="s">
        <v>300</v>
      </c>
    </row>
    <row r="67" spans="1:2" x14ac:dyDescent="0.3">
      <c r="A67" s="25" t="s">
        <v>64</v>
      </c>
      <c r="B67" s="25" t="s">
        <v>301</v>
      </c>
    </row>
    <row r="68" spans="1:2" x14ac:dyDescent="0.3">
      <c r="A68" s="25" t="s">
        <v>65</v>
      </c>
      <c r="B68" s="25" t="s">
        <v>302</v>
      </c>
    </row>
    <row r="69" spans="1:2" x14ac:dyDescent="0.3">
      <c r="A69" s="25" t="s">
        <v>65</v>
      </c>
      <c r="B69" s="25" t="s">
        <v>303</v>
      </c>
    </row>
    <row r="70" spans="1:2" x14ac:dyDescent="0.3">
      <c r="A70" s="25" t="s">
        <v>65</v>
      </c>
      <c r="B70" s="25" t="s">
        <v>304</v>
      </c>
    </row>
    <row r="71" spans="1:2" x14ac:dyDescent="0.3">
      <c r="A71" s="25" t="s">
        <v>65</v>
      </c>
      <c r="B71" s="25" t="s">
        <v>305</v>
      </c>
    </row>
    <row r="72" spans="1:2" x14ac:dyDescent="0.3">
      <c r="A72" s="25" t="s">
        <v>65</v>
      </c>
      <c r="B72" s="25" t="s">
        <v>306</v>
      </c>
    </row>
    <row r="73" spans="1:2" x14ac:dyDescent="0.3">
      <c r="A73" s="25" t="s">
        <v>65</v>
      </c>
      <c r="B73" s="25" t="s">
        <v>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2" width="14" customWidth="1"/>
    <col min="3" max="3" width="32" customWidth="1"/>
    <col min="4" max="4" width="38" customWidth="1"/>
    <col min="5" max="5" width="24" customWidth="1"/>
    <col min="6" max="6" width="55" customWidth="1"/>
  </cols>
  <sheetData>
    <row r="1" spans="1:6" ht="21" x14ac:dyDescent="0.4">
      <c r="A1" s="6" t="s">
        <v>308</v>
      </c>
      <c r="B1" s="6"/>
      <c r="C1" s="6"/>
      <c r="D1" s="6"/>
      <c r="E1" s="6"/>
      <c r="F1" s="6"/>
    </row>
    <row r="3" spans="1:6" x14ac:dyDescent="0.3">
      <c r="A3" s="12" t="s">
        <v>309</v>
      </c>
      <c r="B3" s="12" t="s">
        <v>310</v>
      </c>
      <c r="C3" s="12" t="s">
        <v>311</v>
      </c>
      <c r="D3" s="12" t="s">
        <v>312</v>
      </c>
      <c r="E3" s="12" t="s">
        <v>313</v>
      </c>
      <c r="F3" s="12" t="s">
        <v>314</v>
      </c>
    </row>
    <row r="4" spans="1:6" x14ac:dyDescent="0.3">
      <c r="A4" s="14" t="s">
        <v>315</v>
      </c>
      <c r="B4" s="14" t="s">
        <v>316</v>
      </c>
      <c r="C4" s="14" t="s">
        <v>317</v>
      </c>
      <c r="D4" s="14" t="s">
        <v>318</v>
      </c>
      <c r="E4" s="14" t="s">
        <v>319</v>
      </c>
      <c r="F4" s="14" t="s">
        <v>320</v>
      </c>
    </row>
    <row r="5" spans="1:6" x14ac:dyDescent="0.3">
      <c r="A5" s="14" t="s">
        <v>315</v>
      </c>
      <c r="B5" s="14" t="s">
        <v>316</v>
      </c>
      <c r="C5" s="14" t="s">
        <v>321</v>
      </c>
      <c r="D5" s="14" t="s">
        <v>322</v>
      </c>
      <c r="E5" s="14" t="s">
        <v>319</v>
      </c>
      <c r="F5" s="14" t="s">
        <v>323</v>
      </c>
    </row>
    <row r="6" spans="1:6" ht="26.4" x14ac:dyDescent="0.3">
      <c r="A6" s="14" t="s">
        <v>324</v>
      </c>
      <c r="B6" s="14" t="s">
        <v>316</v>
      </c>
      <c r="C6" s="14" t="s">
        <v>325</v>
      </c>
      <c r="D6" s="14" t="s">
        <v>326</v>
      </c>
      <c r="E6" s="14" t="s">
        <v>327</v>
      </c>
      <c r="F6" s="14" t="s">
        <v>328</v>
      </c>
    </row>
    <row r="7" spans="1:6" ht="26.4" x14ac:dyDescent="0.3">
      <c r="A7" s="14" t="s">
        <v>329</v>
      </c>
      <c r="B7" s="14" t="s">
        <v>330</v>
      </c>
      <c r="C7" s="14" t="s">
        <v>331</v>
      </c>
      <c r="D7" s="14" t="s">
        <v>332</v>
      </c>
      <c r="E7" s="14" t="s">
        <v>333</v>
      </c>
      <c r="F7" s="14" t="s">
        <v>334</v>
      </c>
    </row>
    <row r="10" spans="1:6" x14ac:dyDescent="0.3">
      <c r="A10" s="4" t="s">
        <v>335</v>
      </c>
      <c r="B10" s="4"/>
      <c r="C10" s="4"/>
      <c r="D10" s="4"/>
      <c r="E10" s="4"/>
      <c r="F10" s="4"/>
    </row>
    <row r="11" spans="1:6" x14ac:dyDescent="0.3">
      <c r="A11" s="26" t="s">
        <v>336</v>
      </c>
      <c r="B11" s="2" t="s">
        <v>337</v>
      </c>
      <c r="C11" s="2"/>
      <c r="D11" s="2"/>
      <c r="E11" s="2"/>
      <c r="F11" s="2"/>
    </row>
    <row r="12" spans="1:6" x14ac:dyDescent="0.3">
      <c r="A12" s="26" t="s">
        <v>338</v>
      </c>
      <c r="B12" s="2" t="s">
        <v>339</v>
      </c>
      <c r="C12" s="2"/>
      <c r="D12" s="2"/>
      <c r="E12" s="2"/>
      <c r="F12" s="2"/>
    </row>
    <row r="13" spans="1:6" x14ac:dyDescent="0.3">
      <c r="A13" s="26" t="s">
        <v>340</v>
      </c>
      <c r="B13" s="2" t="s">
        <v>341</v>
      </c>
      <c r="C13" s="2"/>
      <c r="D13" s="2"/>
      <c r="E13" s="2"/>
      <c r="F13" s="2"/>
    </row>
    <row r="14" spans="1:6" x14ac:dyDescent="0.3">
      <c r="A14" s="26" t="s">
        <v>342</v>
      </c>
      <c r="B14" s="2" t="s">
        <v>343</v>
      </c>
      <c r="C14" s="2"/>
      <c r="D14" s="2"/>
      <c r="E14" s="2"/>
      <c r="F14" s="2"/>
    </row>
    <row r="15" spans="1:6" x14ac:dyDescent="0.3">
      <c r="A15" s="26" t="s">
        <v>344</v>
      </c>
      <c r="B15" s="2" t="s">
        <v>345</v>
      </c>
      <c r="C15" s="2"/>
      <c r="D15" s="2"/>
      <c r="E15" s="2"/>
      <c r="F15" s="2"/>
    </row>
    <row r="18" spans="1:6" x14ac:dyDescent="0.3">
      <c r="A18" s="4" t="s">
        <v>346</v>
      </c>
      <c r="B18" s="4"/>
      <c r="C18" s="4"/>
      <c r="D18" s="4"/>
      <c r="E18" s="4"/>
      <c r="F18" s="4"/>
    </row>
    <row r="19" spans="1:6" x14ac:dyDescent="0.3">
      <c r="A19" s="26" t="s">
        <v>347</v>
      </c>
      <c r="B19" s="2" t="s">
        <v>348</v>
      </c>
      <c r="C19" s="2"/>
      <c r="D19" s="2"/>
      <c r="E19" s="2"/>
      <c r="F19" s="2"/>
    </row>
    <row r="20" spans="1:6" x14ac:dyDescent="0.3">
      <c r="A20" s="26" t="s">
        <v>349</v>
      </c>
      <c r="B20" s="2" t="s">
        <v>350</v>
      </c>
      <c r="C20" s="2"/>
      <c r="D20" s="2"/>
      <c r="E20" s="2"/>
      <c r="F20" s="2"/>
    </row>
    <row r="21" spans="1:6" x14ac:dyDescent="0.3">
      <c r="A21" s="26" t="s">
        <v>351</v>
      </c>
      <c r="B21" s="2" t="s">
        <v>352</v>
      </c>
      <c r="C21" s="2"/>
      <c r="D21" s="2"/>
      <c r="E21" s="2"/>
      <c r="F21" s="2"/>
    </row>
    <row r="22" spans="1:6" x14ac:dyDescent="0.3">
      <c r="A22" s="26" t="s">
        <v>353</v>
      </c>
      <c r="B22" s="2" t="s">
        <v>354</v>
      </c>
      <c r="C22" s="2"/>
      <c r="D22" s="2"/>
      <c r="E22" s="2"/>
      <c r="F22" s="2"/>
    </row>
  </sheetData>
  <mergeCells count="12">
    <mergeCell ref="B21:F21"/>
    <mergeCell ref="B22:F22"/>
    <mergeCell ref="B14:F14"/>
    <mergeCell ref="B15:F15"/>
    <mergeCell ref="A18:F18"/>
    <mergeCell ref="B19:F19"/>
    <mergeCell ref="B20:F20"/>
    <mergeCell ref="A1:F1"/>
    <mergeCell ref="A10:F10"/>
    <mergeCell ref="B11:F11"/>
    <mergeCell ref="B12:F12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32" customWidth="1"/>
    <col min="2" max="2" width="28" customWidth="1"/>
    <col min="3" max="3" width="32" customWidth="1"/>
    <col min="4" max="4" width="38" customWidth="1"/>
    <col min="5" max="5" width="32" customWidth="1"/>
  </cols>
  <sheetData>
    <row r="1" spans="1:6" ht="21" x14ac:dyDescent="0.4">
      <c r="A1" s="6" t="s">
        <v>355</v>
      </c>
      <c r="B1" s="6"/>
      <c r="C1" s="6"/>
      <c r="D1" s="6"/>
      <c r="E1" s="6"/>
      <c r="F1" s="6"/>
    </row>
    <row r="3" spans="1:6" x14ac:dyDescent="0.3">
      <c r="A3" s="5" t="s">
        <v>356</v>
      </c>
      <c r="B3" s="5"/>
      <c r="C3" s="5"/>
      <c r="D3" s="5"/>
      <c r="E3" s="5"/>
      <c r="F3" s="5"/>
    </row>
    <row r="5" spans="1:6" x14ac:dyDescent="0.3">
      <c r="A5" s="12" t="s">
        <v>357</v>
      </c>
      <c r="B5" s="12" t="s">
        <v>358</v>
      </c>
      <c r="C5" s="12" t="s">
        <v>359</v>
      </c>
      <c r="D5" s="12" t="s">
        <v>360</v>
      </c>
      <c r="E5" s="12" t="s">
        <v>361</v>
      </c>
    </row>
    <row r="6" spans="1:6" ht="37.5" customHeight="1" x14ac:dyDescent="0.3">
      <c r="A6" s="14" t="s">
        <v>362</v>
      </c>
      <c r="B6" s="14" t="s">
        <v>363</v>
      </c>
      <c r="C6" s="14" t="s">
        <v>364</v>
      </c>
      <c r="D6" s="14" t="s">
        <v>365</v>
      </c>
      <c r="E6" s="14" t="s">
        <v>366</v>
      </c>
    </row>
    <row r="7" spans="1:6" ht="37.5" customHeight="1" x14ac:dyDescent="0.3">
      <c r="A7" s="14" t="s">
        <v>367</v>
      </c>
      <c r="B7" s="14" t="s">
        <v>368</v>
      </c>
      <c r="C7" s="14" t="s">
        <v>369</v>
      </c>
      <c r="D7" s="14" t="s">
        <v>370</v>
      </c>
      <c r="E7" s="14" t="s">
        <v>371</v>
      </c>
    </row>
    <row r="8" spans="1:6" ht="37.5" customHeight="1" x14ac:dyDescent="0.3">
      <c r="A8" s="14" t="s">
        <v>372</v>
      </c>
      <c r="B8" s="14" t="s">
        <v>373</v>
      </c>
      <c r="C8" s="14" t="s">
        <v>374</v>
      </c>
      <c r="D8" s="14" t="s">
        <v>375</v>
      </c>
      <c r="E8" s="14" t="s">
        <v>376</v>
      </c>
    </row>
    <row r="11" spans="1:6" x14ac:dyDescent="0.3">
      <c r="A11" s="4" t="s">
        <v>377</v>
      </c>
      <c r="B11" s="4"/>
      <c r="C11" s="4"/>
      <c r="D11" s="4"/>
      <c r="E11" s="4"/>
    </row>
    <row r="12" spans="1:6" ht="27.6" x14ac:dyDescent="0.3">
      <c r="A12" s="12" t="s">
        <v>378</v>
      </c>
      <c r="B12" s="12" t="s">
        <v>31</v>
      </c>
      <c r="C12" s="12" t="s">
        <v>379</v>
      </c>
      <c r="D12" s="12" t="s">
        <v>380</v>
      </c>
      <c r="E12" s="12" t="s">
        <v>381</v>
      </c>
    </row>
    <row r="13" spans="1:6" x14ac:dyDescent="0.3">
      <c r="A13" s="27" t="s">
        <v>382</v>
      </c>
      <c r="B13" s="28" t="s">
        <v>178</v>
      </c>
      <c r="C13" s="27" t="s">
        <v>383</v>
      </c>
      <c r="D13" s="27" t="s">
        <v>384</v>
      </c>
    </row>
    <row r="14" spans="1:6" ht="26.4" x14ac:dyDescent="0.3">
      <c r="A14" s="29" t="s">
        <v>385</v>
      </c>
      <c r="B14" s="30" t="s">
        <v>183</v>
      </c>
      <c r="C14" s="29" t="s">
        <v>386</v>
      </c>
      <c r="D14" s="29" t="s">
        <v>387</v>
      </c>
    </row>
    <row r="15" spans="1:6" x14ac:dyDescent="0.3">
      <c r="A15" s="31" t="s">
        <v>388</v>
      </c>
      <c r="B15" s="32" t="s">
        <v>188</v>
      </c>
      <c r="C15" s="31" t="s">
        <v>389</v>
      </c>
      <c r="D15" s="31" t="s">
        <v>390</v>
      </c>
    </row>
    <row r="16" spans="1:6" x14ac:dyDescent="0.3">
      <c r="A16" s="33" t="s">
        <v>391</v>
      </c>
      <c r="B16" s="34" t="s">
        <v>193</v>
      </c>
      <c r="C16" s="33" t="s">
        <v>392</v>
      </c>
      <c r="D16" s="33" t="s">
        <v>393</v>
      </c>
    </row>
    <row r="19" spans="1:5" ht="45" customHeight="1" x14ac:dyDescent="0.3">
      <c r="A19" s="1" t="s">
        <v>394</v>
      </c>
      <c r="B19" s="1"/>
      <c r="C19" s="1"/>
      <c r="D19" s="1"/>
      <c r="E19" s="1"/>
    </row>
  </sheetData>
  <mergeCells count="4">
    <mergeCell ref="A1:F1"/>
    <mergeCell ref="A3:F3"/>
    <mergeCell ref="A11:E11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Censo</vt:lpstr>
      <vt:lpstr>Resumen</vt:lpstr>
      <vt:lpstr>Seed Inicial</vt:lpstr>
      <vt:lpstr>Catalogos</vt:lpstr>
      <vt:lpstr>Portafolio CMI</vt:lpstr>
      <vt:lpstr>Clasificacion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Rudy Mercedes</cp:lastModifiedBy>
  <cp:revision>0</cp:revision>
  <dcterms:created xsi:type="dcterms:W3CDTF">2026-04-21T12:55:16Z</dcterms:created>
  <dcterms:modified xsi:type="dcterms:W3CDTF">2026-04-21T16:18:50Z</dcterms:modified>
  <dc:language>en-US</dc:language>
</cp:coreProperties>
</file>