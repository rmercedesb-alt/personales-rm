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MovilBusinessDashBoard/MovilbusinessDashBoardSmart/Manuales/"/>
    </mc:Choice>
  </mc:AlternateContent>
  <xr:revisionPtr revIDLastSave="0" documentId="11_4A013DBCF5FE09C6DEBAEDE6F366CA4706B5ECE1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ciones" sheetId="1" r:id="rId1"/>
    <sheet name="Datos generales" sheetId="2" r:id="rId2"/>
    <sheet name="Resumen" sheetId="3" r:id="rId3"/>
    <sheet name="1 AMCO-GT" sheetId="4" r:id="rId4"/>
    <sheet name="2 Torre de Control" sheetId="5" r:id="rId5"/>
    <sheet name="3 Geolocalizaciones" sheetId="6" r:id="rId6"/>
    <sheet name="4 Home-Visitas" sheetId="7" r:id="rId7"/>
    <sheet name="5 Supervisión" sheetId="8" r:id="rId8"/>
    <sheet name="6 Presupuesto-Gestión" sheetId="9" r:id="rId9"/>
    <sheet name="6b Metas de activación" sheetId="10" r:id="rId10"/>
    <sheet name="7 Reportes y envíos" sheetId="11" r:id="rId11"/>
    <sheet name="8 Fijos en código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2" l="1"/>
  <c r="K42" i="12"/>
  <c r="K41" i="12"/>
  <c r="K40" i="12"/>
  <c r="K39" i="12"/>
  <c r="K38" i="12"/>
  <c r="K37" i="12"/>
  <c r="K36" i="12"/>
  <c r="K34" i="12"/>
  <c r="K33" i="12"/>
  <c r="K32" i="12"/>
  <c r="K31" i="12"/>
  <c r="K29" i="12"/>
  <c r="K28" i="12"/>
  <c r="K27" i="12"/>
  <c r="K26" i="12"/>
  <c r="K25" i="12"/>
  <c r="K24" i="12"/>
  <c r="K22" i="12"/>
  <c r="K21" i="12"/>
  <c r="K20" i="12"/>
  <c r="K19" i="12"/>
  <c r="K18" i="12"/>
  <c r="K17" i="12"/>
  <c r="K16" i="12"/>
  <c r="K15" i="12"/>
  <c r="E14" i="3" s="1"/>
  <c r="K14" i="12"/>
  <c r="K13" i="12"/>
  <c r="F14" i="3" s="1"/>
  <c r="K12" i="12"/>
  <c r="K11" i="12"/>
  <c r="K10" i="12"/>
  <c r="K9" i="12"/>
  <c r="K8" i="12"/>
  <c r="K7" i="12"/>
  <c r="K9" i="11"/>
  <c r="K8" i="11"/>
  <c r="K7" i="11"/>
  <c r="K6" i="11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F12" i="3" s="1"/>
  <c r="I10" i="10"/>
  <c r="D12" i="3" s="1"/>
  <c r="I9" i="10"/>
  <c r="I8" i="10"/>
  <c r="I7" i="10"/>
  <c r="I6" i="10"/>
  <c r="K21" i="9"/>
  <c r="K20" i="9"/>
  <c r="K19" i="9"/>
  <c r="K18" i="9"/>
  <c r="K17" i="9"/>
  <c r="K16" i="9"/>
  <c r="D11" i="3" s="1"/>
  <c r="K14" i="9"/>
  <c r="E11" i="3" s="1"/>
  <c r="K13" i="9"/>
  <c r="K12" i="9"/>
  <c r="K11" i="9"/>
  <c r="K10" i="9"/>
  <c r="K9" i="9"/>
  <c r="K8" i="9"/>
  <c r="K7" i="9"/>
  <c r="K45" i="8"/>
  <c r="K44" i="8"/>
  <c r="K43" i="8"/>
  <c r="K42" i="8"/>
  <c r="K41" i="8"/>
  <c r="K40" i="8"/>
  <c r="K38" i="8"/>
  <c r="K37" i="8"/>
  <c r="K36" i="8"/>
  <c r="K35" i="8"/>
  <c r="K34" i="8"/>
  <c r="K32" i="8"/>
  <c r="K30" i="8"/>
  <c r="G30" i="8"/>
  <c r="K29" i="8"/>
  <c r="K28" i="8"/>
  <c r="K27" i="8"/>
  <c r="K26" i="8"/>
  <c r="K25" i="8"/>
  <c r="K24" i="8"/>
  <c r="K23" i="8"/>
  <c r="K21" i="8"/>
  <c r="G21" i="8"/>
  <c r="K20" i="8"/>
  <c r="K19" i="8"/>
  <c r="K18" i="8"/>
  <c r="K17" i="8"/>
  <c r="K16" i="8"/>
  <c r="K15" i="8"/>
  <c r="K14" i="8"/>
  <c r="K13" i="8"/>
  <c r="K12" i="8"/>
  <c r="K10" i="8"/>
  <c r="G10" i="8"/>
  <c r="K9" i="8"/>
  <c r="K8" i="8"/>
  <c r="K7" i="8"/>
  <c r="K7" i="7"/>
  <c r="K6" i="7"/>
  <c r="F9" i="3" s="1"/>
  <c r="K12" i="6"/>
  <c r="D8" i="3" s="1"/>
  <c r="K11" i="6"/>
  <c r="F8" i="3" s="1"/>
  <c r="K9" i="6"/>
  <c r="K8" i="6"/>
  <c r="K7" i="6"/>
  <c r="K48" i="5"/>
  <c r="K47" i="5"/>
  <c r="K46" i="5"/>
  <c r="K45" i="5"/>
  <c r="K44" i="5"/>
  <c r="K43" i="5"/>
  <c r="K42" i="5"/>
  <c r="K41" i="5"/>
  <c r="K40" i="5"/>
  <c r="K39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9" i="5"/>
  <c r="K8" i="5"/>
  <c r="K7" i="5"/>
  <c r="K6" i="5"/>
  <c r="K40" i="4"/>
  <c r="K39" i="4"/>
  <c r="K38" i="4"/>
  <c r="K37" i="4"/>
  <c r="K36" i="4"/>
  <c r="K34" i="4"/>
  <c r="K33" i="4"/>
  <c r="K31" i="4"/>
  <c r="K30" i="4"/>
  <c r="K29" i="4"/>
  <c r="K27" i="4"/>
  <c r="K26" i="4"/>
  <c r="K25" i="4"/>
  <c r="K23" i="4"/>
  <c r="K22" i="4"/>
  <c r="K21" i="4"/>
  <c r="K20" i="4"/>
  <c r="K18" i="4"/>
  <c r="K17" i="4"/>
  <c r="K16" i="4"/>
  <c r="K14" i="4"/>
  <c r="G14" i="4"/>
  <c r="K13" i="4"/>
  <c r="K12" i="4"/>
  <c r="K11" i="4"/>
  <c r="K10" i="4"/>
  <c r="K9" i="4"/>
  <c r="K8" i="4"/>
  <c r="F6" i="3" s="1"/>
  <c r="K7" i="4"/>
  <c r="D6" i="3" s="1"/>
  <c r="C14" i="3"/>
  <c r="F13" i="3"/>
  <c r="E13" i="3"/>
  <c r="D13" i="3"/>
  <c r="C13" i="3"/>
  <c r="E12" i="3"/>
  <c r="C12" i="3"/>
  <c r="C11" i="3"/>
  <c r="F10" i="3"/>
  <c r="E10" i="3"/>
  <c r="D10" i="3"/>
  <c r="C10" i="3"/>
  <c r="C9" i="3"/>
  <c r="C8" i="3"/>
  <c r="F7" i="3"/>
  <c r="E7" i="3"/>
  <c r="D7" i="3"/>
  <c r="C7" i="3"/>
  <c r="C6" i="3"/>
  <c r="C15" i="3" s="1"/>
  <c r="D14" i="3" l="1"/>
  <c r="F11" i="3"/>
  <c r="F15" i="3" s="1"/>
  <c r="D9" i="3"/>
  <c r="D15" i="3" s="1"/>
  <c r="C17" i="3" s="1"/>
  <c r="E8" i="3"/>
  <c r="E6" i="3"/>
  <c r="E15" i="3" s="1"/>
  <c r="E9" i="3"/>
</calcChain>
</file>

<file path=xl/sharedStrings.xml><?xml version="1.0" encoding="utf-8"?>
<sst xmlns="http://schemas.openxmlformats.org/spreadsheetml/2006/main" count="1686" uniqueCount="759">
  <si>
    <t>Formulario de Parametrizaciones — MovilBusiness Dashboard</t>
  </si>
  <si>
    <t>Aquí se anotan, en un solo lugar, todos los valores medibles que se deben configurar en el sistema (umbrales, pesos, metas, horas, colores, etc.).</t>
  </si>
  <si>
    <t>¿Para qué sirve este formulario?</t>
  </si>
  <si>
    <t>Objetivo</t>
  </si>
  <si>
    <t>Reunir en un solo documento TODOS los valores que se pueden o se deben parametrizar en MovilBusiness Dashboard (AMCO-GT, Torre de Control, Geolocalizaciones, Visitas, Supervisión, Presupuestos, reportes, etc.). Con él, quien administra el sistema sabe exactamente qué configurar y con qué valores.</t>
  </si>
  <si>
    <t>Quién lo llena</t>
  </si>
  <si>
    <t>El responsable de la operación comercial de la empresa (Gerencia / Dirección de ventas). No necesita conocimientos técnicos: solo escribir los valores que desea en las celdas amarillas.</t>
  </si>
  <si>
    <t>Qué NO es</t>
  </si>
  <si>
    <t>No es un formulario de datos de clientes ni de ventas. Solo recoge reglas de medición (cuánto vale cada indicador, desde qué hora, qué porcentaje es verde o rojo, etc.).</t>
  </si>
  <si>
    <t>Cómo llenarlo, paso a paso</t>
  </si>
  <si>
    <t>Paso 1</t>
  </si>
  <si>
    <t>Vaya a la hoja «Datos generales» y escriba el nombre de la empresa, quién llena el formulario y la fecha.</t>
  </si>
  <si>
    <t>Paso 2</t>
  </si>
  <si>
    <t>Recorra las hojas numeradas (1, 2, 3 …) en orden. Cada hoja es un módulo del sistema y tiene una descripción arriba.</t>
  </si>
  <si>
    <t>Paso 3</t>
  </si>
  <si>
    <t>En cada fila lea la columna «Qué controla» y fíjese en el «Valor actual (por defecto)» y en el rango «DESDE – HASTA».</t>
  </si>
  <si>
    <t>Paso 4</t>
  </si>
  <si>
    <t>Escriba en la celda AMARILLA («VALOR A CONFIGURAR») el valor que desea. Si quiere dejar el valor actual, escriba ese mismo valor. Si una fila no aplica a su empresa, déjela en blanco y anótelo en «Datos generales → Observaciones».</t>
  </si>
  <si>
    <t>Paso 5</t>
  </si>
  <si>
    <t>Mire la columna «Estado»: OK (dentro del rango), Fuera de rango (corregir) o Pendiente (sin llenar). La hoja «Resumen» le muestra el avance total.</t>
  </si>
  <si>
    <t>Paso 6</t>
  </si>
  <si>
    <t>Cuando termine, guarde el archivo y envíelo al administrador del sistema para que aplique los valores. No cambie los nombres de las hojas ni inserte/borre columnas.</t>
  </si>
  <si>
    <t>Cómo leer las columnas de cada hoja</t>
  </si>
  <si>
    <t>Pantalla / apartado</t>
  </si>
  <si>
    <t>Dónde se ve o se configura ese valor dentro del sistema.</t>
  </si>
  <si>
    <t>Parámetro y Qué controla</t>
  </si>
  <si>
    <t>El nombre del valor y, en una frase, para qué sirve.</t>
  </si>
  <si>
    <t>Unidad</t>
  </si>
  <si>
    <t>En qué se mide: % (escriba 85 para 85 %), minutos, metros, km, RD$, puntos, factor (1.05 = +5 %), hh:mm (hora, ej. 08:15), texto o lista.</t>
  </si>
  <si>
    <t>Valor actual (por defecto)</t>
  </si>
  <si>
    <t>Con qué valor viene hoy el sistema. Es la referencia: si no desea cambiarlo, repita ese valor.</t>
  </si>
  <si>
    <t>VALOR A CONFIGURAR</t>
  </si>
  <si>
    <t>La ÚNICA celda que usted llena (amarilla). Las listas desplegables ofrecen las opciones permitidas.</t>
  </si>
  <si>
    <t>Rango DESDE / HASTA</t>
  </si>
  <si>
    <t>Los valores mínimo y máximo que se aceptan. Si escribe algo fuera del rango, Excel lo avisa y el Estado sale «Fuera de rango».</t>
  </si>
  <si>
    <t>Tipo de rango</t>
  </si>
  <si>
    <t>«Validado» = el sistema mismo rechaza valores fuera de ese rango. «Sugerido» = el sistema no lo comprueba; el rango lo propone este formulario como valor razonable (se puede ajustar con criterio de negocio). «Lista» = solo opciones fijas.</t>
  </si>
  <si>
    <t>Cómo llenarlo / ejemplo</t>
  </si>
  <si>
    <t>Una explicación corta, con ejemplos y reglas entre valores (por ejemplo, «el corte A debe ser mayor que el corte B»).</t>
  </si>
  <si>
    <t>Dónde se configura</t>
  </si>
  <si>
    <t>Pantalla o tabla donde se aplica y su ALCANCE: «Por usuario/navegador» (cada computadora guarda su propio valor y hay que configurarla en cada una), «Global (BD)» (un valor para toda la empresa, lo aplica Gerencia/TI) o «Fijo en código» (hoy no se edita en pantalla; aplicarlo requiere una modificación del programa).</t>
  </si>
  <si>
    <t>Formatos y reglas generales</t>
  </si>
  <si>
    <t>Porcentajes</t>
  </si>
  <si>
    <t>Escriba el número sin el signo %: para 85 % escriba 85. (Excepción: en la hoja «6b Metas de activación» sí se escribe con el signo, ej. 25 %.)</t>
  </si>
  <si>
    <t>Horas</t>
  </si>
  <si>
    <t>Formato hh:mm de 24 horas. Ejemplos: 08:15 es las 8:15 a. m.; 15:30 es las 3:30 p. m. El sistema las guarda internamente como minutos desde la medianoche (08:15 = 495); la conversión la hace quien aplica los valores.</t>
  </si>
  <si>
    <t>Factores</t>
  </si>
  <si>
    <t>Son multiplicadores. 1.00 = sin cambio; 1.05 = +5 %; 0.95 = −5 %. Use punto o coma decimal según la configuración de su Excel.</t>
  </si>
  <si>
    <t>Pesos</t>
  </si>
  <si>
    <t>Los pesos de un mismo grupo deben sumar 100. Cada grupo tiene una fila «Suma de pesos» que se calcula sola y le dice si cuadra.</t>
  </si>
  <si>
    <t>Coherencia entre valores</t>
  </si>
  <si>
    <t>Varios parámetros dependen entre sí (por ejemplo: corte para nota 100 &gt; corte para nota 75 &gt; corte para nota 50; hora de nota 100 anterior a la hora de nota 0). Cada fila lo recuerda en «Cómo llenarlo».</t>
  </si>
  <si>
    <t>Hoja «8 Fijos en código»</t>
  </si>
  <si>
    <t>Reúne valores que hoy NO se pueden cambiar en pantalla (escalas de color, tiempos de refresco, seguridad). Anote ahí el valor que desearía: se tratará como solicitud de cambio.</t>
  </si>
  <si>
    <t>Hojas de este formulario</t>
  </si>
  <si>
    <t>Datos generales</t>
  </si>
  <si>
    <t>Empresa, responsable, fecha y observaciones.</t>
  </si>
  <si>
    <t>Resumen</t>
  </si>
  <si>
    <t>Avance automático: cuántos parámetros están OK, pendientes o fuera de rango.</t>
  </si>
  <si>
    <t>1 AMCO-GT</t>
  </si>
  <si>
    <t>Pesos, cortes de nota, horas y bandas del índice AMCO-GT (módulo Seguimientos) y metas por suplidor.</t>
  </si>
  <si>
    <t>2 Torre de Control</t>
  </si>
  <si>
    <t>Ventana de vigilancia, tiempo de silencio y umbral/severidad de cada monitor de alertas, más monitores personalizados.</t>
  </si>
  <si>
    <t>3 Geolocalizaciones</t>
  </si>
  <si>
    <t>Colores por tiempo sin sincronizar y por cercanía a la ruta en el mapa.</t>
  </si>
  <si>
    <t>4 Home-Visitas</t>
  </si>
  <si>
    <t>Horas límite de «primera visita a tiempo» y «primer pedido a tiempo».</t>
  </si>
  <si>
    <t>5 Supervisión</t>
  </si>
  <si>
    <t>Pesos del Índice Global, factores de acompañamiento y auditoría, umbrales y metas de Cobros del día, cronograma semanal.</t>
  </si>
  <si>
    <t>6 Presupuesto-Gestión</t>
  </si>
  <si>
    <t>Variables del motor de presupuesto (factores, metas rappel, pisos, topes, umbrales).</t>
  </si>
  <si>
    <t>6b Metas de activación</t>
  </si>
  <si>
    <t>Meta de activación por suplidor y categoría (precargada con los valores vigentes).</t>
  </si>
  <si>
    <t>7 Reportes y envíos</t>
  </si>
  <si>
    <t>Horas de envío de los reportes programados y datos medibles del correo/WhatsApp.</t>
  </si>
  <si>
    <t>8 Fijos en código</t>
  </si>
  <si>
    <t>Escalas de color, refrescos y seguridad que hoy están fijos en el programa.</t>
  </si>
  <si>
    <t>Leyenda de colores</t>
  </si>
  <si>
    <t>Celda amarilla</t>
  </si>
  <si>
    <t>AQUÍ USTED ESCRIBE el valor a configurar (texto azul). Es lo único que debe llenar.</t>
  </si>
  <si>
    <t>Celda gris</t>
  </si>
  <si>
    <t>Información de referencia: qué controla, valor actual por defecto, rango permitido y dónde se configura. No se modifica.</t>
  </si>
  <si>
    <t>Estado = OK</t>
  </si>
  <si>
    <t>El valor escrito está dentro del rango permitido.</t>
  </si>
  <si>
    <t>Estado = Fuera de rango</t>
  </si>
  <si>
    <t>El valor está por debajo del «Desde» o por encima del «Hasta» (o la suma no da lo que debe): corríjalo.</t>
  </si>
  <si>
    <t>Estado = Pendiente</t>
  </si>
  <si>
    <t>Todavía no se ha escrito nada en la celda amarilla.</t>
  </si>
  <si>
    <t>Ejemplo de cómo se llena una fila</t>
  </si>
  <si>
    <t>Fila de ejemplo</t>
  </si>
  <si>
    <t>Hoja «3 Geolocalizaciones» → «Sync verde»: ¿cuántos minutos sin sincronizar se consideran «al día» (verde)?</t>
  </si>
  <si>
    <t>Valor actual</t>
  </si>
  <si>
    <t>30 (minutos).</t>
  </si>
  <si>
    <t>Rango</t>
  </si>
  <si>
    <t>Desde 1 hasta 240 (sugerido).</t>
  </si>
  <si>
    <t>Lo que usted escribe</t>
  </si>
  <si>
    <t>En la celda amarilla escribe, por ejemplo, 20. El Estado cambia a OK.</t>
  </si>
  <si>
    <t>Si se equivoca</t>
  </si>
  <si>
    <t>Si escribe 500, Excel avisa «Fuera de rango» y el Estado queda en rojo hasta que lo corrija.</t>
  </si>
  <si>
    <t>Escriba quién llena el formulario y para qué empresa. Esta hoja es individual: no lleva logos.</t>
  </si>
  <si>
    <t>Dato</t>
  </si>
  <si>
    <t>Valor (llenar)</t>
  </si>
  <si>
    <t>Cómo llenarlo</t>
  </si>
  <si>
    <t>Empresa</t>
  </si>
  <si>
    <t>Nombre de la empresa para la que se configura el sistema.</t>
  </si>
  <si>
    <t>Responsable que llena el formulario</t>
  </si>
  <si>
    <t>Nombre y apellido.</t>
  </si>
  <si>
    <t>Cargo</t>
  </si>
  <si>
    <t>Cargo de quien llena el formulario.</t>
  </si>
  <si>
    <t>Correo / teléfono de contacto</t>
  </si>
  <si>
    <t>Para aclarar dudas sobre los valores.</t>
  </si>
  <si>
    <t>Fecha de llenado</t>
  </si>
  <si>
    <t>Fecha en que se completó (dd/mm/aaaa).</t>
  </si>
  <si>
    <t>Versión del sistema</t>
  </si>
  <si>
    <t>Opcional. Se ve en la dirección /version del sistema (ej. 1.14.0).</t>
  </si>
  <si>
    <t>Observaciones</t>
  </si>
  <si>
    <t>Anote aquí lo que no aplica a su empresa o cualquier aclaración.</t>
  </si>
  <si>
    <t>Avance del formulario</t>
  </si>
  <si>
    <t>Se actualiza solo a medida que se llenan las hojas. Meta: Pendientes = 0 y Fuera de rango = 0.</t>
  </si>
  <si>
    <t>Hoja</t>
  </si>
  <si>
    <t>Parámetros</t>
  </si>
  <si>
    <t>OK</t>
  </si>
  <si>
    <t>Pendientes</t>
  </si>
  <si>
    <t>Fuera de rango</t>
  </si>
  <si>
    <t>TOTAL</t>
  </si>
  <si>
    <t>Porcentaje completado</t>
  </si>
  <si>
    <t>1 · AMCO-GT (Índice de Eficiencia de la Gestión del Tiempo)</t>
  </si>
  <si>
    <t>Cómo se puntúa cada vendedor de 0 a 100: pesos de los 7 indicadores, cortes de nota, horas y bandas (Sólida / Aceptable / Irregular / Deficiente).</t>
  </si>
  <si>
    <t>Los pesos se normalizan por su suma, pero el formulario pide que sumen 100. Los indicadores usan rampa lineal entre cortes (no escalones).</t>
  </si>
  <si>
    <t>#</t>
  </si>
  <si>
    <t>Parámetro</t>
  </si>
  <si>
    <t>Qué controla</t>
  </si>
  <si>
    <t>Valor actual
(por defecto)</t>
  </si>
  <si>
    <t>VALOR A CONFIGURAR
(llenar)</t>
  </si>
  <si>
    <t>Rango
DESDE</t>
  </si>
  <si>
    <t>Rango
HASTA</t>
  </si>
  <si>
    <t>Estado</t>
  </si>
  <si>
    <t>Dónde se configura
(y alcance)</t>
  </si>
  <si>
    <t>A. Pesos de los 7 indicadores (deben sumar 100)</t>
  </si>
  <si>
    <t>Seguimientos</t>
  </si>
  <si>
    <t>Peso · Cumplimiento de ruta</t>
  </si>
  <si>
    <t>Cuánto vale de los 100 puntos haber visitado los clientes programados.</t>
  </si>
  <si>
    <t>%</t>
  </si>
  <si>
    <t>Sugerido</t>
  </si>
  <si>
    <t>Escriba un número entre 0 y 100. Hoy es el indicador más pesado.</t>
  </si>
  <si>
    <t>Seguimientos → ⚙ Configuración (modal «Configuración de parámetros»). Alcance: por usuario/navegador.</t>
  </si>
  <si>
    <t>Peso · Inicio temprano (Primer Pedido)</t>
  </si>
  <si>
    <t>Cuánto vale tomar el primer pedido temprano.</t>
  </si>
  <si>
    <t>Mide la hora promedio del primer pedido del día.</t>
  </si>
  <si>
    <t>Peso · Cierre no prematuro (Último Pedido)</t>
  </si>
  <si>
    <t>Cuánto vale no terminar de vender demasiado temprano.</t>
  </si>
  <si>
    <t>Mide la hora promedio del último pedido del día.</t>
  </si>
  <si>
    <t>Peso · Efectividad de ventas</t>
  </si>
  <si>
    <t>Cuánto vale la proporción de clientes visitados con pedido.</t>
  </si>
  <si>
    <t>Pedidos ÷ visitados.</t>
  </si>
  <si>
    <t>Peso · Disciplina de ruta</t>
  </si>
  <si>
    <t>Cuánto vale no tomar pedidos a clientes que no tocaban ese día.</t>
  </si>
  <si>
    <t>Cuenta clientes de otro día o fuera de su ruta.</t>
  </si>
  <si>
    <t>Peso · Consistencia PDV</t>
  </si>
  <si>
    <t>Cuánto vale registrar la visita dentro del punto de venta (GPS).</t>
  </si>
  <si>
    <t>Cuenta visitas marcadas lejos del cliente.</t>
  </si>
  <si>
    <t>Peso · Ritmo de visita</t>
  </si>
  <si>
    <t>Cuánto vale mantener un tiempo de visita similar al del grupo.</t>
  </si>
  <si>
    <t>Compara el tiempo por visita contra la mediana del grupo.</t>
  </si>
  <si>
    <t>Suma de pesos (debe ser 100)</t>
  </si>
  <si>
    <t>Se calcula sola con los 7 pesos de arriba.</t>
  </si>
  <si>
    <t>Calculado</t>
  </si>
  <si>
    <t>No se llena: se calcula solo.</t>
  </si>
  <si>
    <t>B. Cumplimiento de ruta — cortes de nota (visitados ÷ a visitar)</t>
  </si>
  <si>
    <t>Cumplimiento ≥ para nota 100</t>
  </si>
  <si>
    <t>Porcentaje de cumplimiento desde el cual el vendedor obtiene nota 100.</t>
  </si>
  <si>
    <t>Debe ser MAYOR que los dos cortes siguientes.</t>
  </si>
  <si>
    <t>Cumplimiento ≥ para nota 75</t>
  </si>
  <si>
    <t>Porcentaje con el que se obtiene nota 75.</t>
  </si>
  <si>
    <t>Debe ser menor que el corte de 100 y mayor que el de 50.</t>
  </si>
  <si>
    <t>Cumplimiento ≥ para nota 50</t>
  </si>
  <si>
    <t>Porcentaje con el que se obtiene nota 50 (debajo, la nota sigue bajando hasta 0).</t>
  </si>
  <si>
    <t>Debe ser el MENOR de los tres cortes.</t>
  </si>
  <si>
    <t>C. Inicio temprano (hora del primer pedido) y Cierre no prematuro (hora del último pedido)</t>
  </si>
  <si>
    <t>Primer pedido ≤ para nota 100</t>
  </si>
  <si>
    <t>Hora límite del primer pedido para obtener nota 100.</t>
  </si>
  <si>
    <t>hh:mm</t>
  </si>
  <si>
    <t>Ej. 08:15. Todo primer pedido a esa hora o antes saca 100.</t>
  </si>
  <si>
    <t>Primer pedido: hora de nota 0</t>
  </si>
  <si>
    <t>Hora a partir de la cual la nota de inicio es 0 (entre las dos horas baja de forma pareja). En pantalla aparece como «Inicio ≤ para 50», pero en realidad es el punto de nota 0.</t>
  </si>
  <si>
    <t>Debe ser POSTERIOR a la hora de nota 100 (ej. 08:45).</t>
  </si>
  <si>
    <t>Último pedido ≥ para nota 100</t>
  </si>
  <si>
    <t>Hora del último pedido desde la cual se obtiene nota 100.</t>
  </si>
  <si>
    <t>Ej. 15:30. Un último pedido a esa hora o después saca 100.</t>
  </si>
  <si>
    <t>Último pedido: hora de nota 0</t>
  </si>
  <si>
    <t>Hora por debajo de la cual la nota de cierre es 0. En pantalla aparece como «Cierre ≥ para 50», pero es el punto de nota 0.</t>
  </si>
  <si>
    <t>Debe ser ANTERIOR a la hora de nota 100 (ej. 14:30).</t>
  </si>
  <si>
    <t>D. Efectividad de ventas (pedidos ÷ visitados)</t>
  </si>
  <si>
    <t>Banda ideal — mínimo</t>
  </si>
  <si>
    <t>Efectividad mínima de la banda que da nota 100.</t>
  </si>
  <si>
    <t>Escriba 55 para 55 %.</t>
  </si>
  <si>
    <t>Banda ideal — máximo</t>
  </si>
  <si>
    <t>Efectividad máxima de la banda que da nota 100.</t>
  </si>
  <si>
    <t>Debe ser mayor o igual al mínimo. Fuera de la banda la nota baja por ambos lados.</t>
  </si>
  <si>
    <t>Tolerancia fuera de banda</t>
  </si>
  <si>
    <t>Puntos porcentuales fuera de la banda hasta llegar a nota 60.</t>
  </si>
  <si>
    <t>puntos %</t>
  </si>
  <si>
    <t>No use 0 (el cálculo se rompe). Ej. 5.</t>
  </si>
  <si>
    <t>E. Bandas de resultado del AMCO-GT (puntos de 0 a 100)</t>
  </si>
  <si>
    <t>Banda Sólida desde</t>
  </si>
  <si>
    <t>Puntaje mínimo para clasificar como Sólida.</t>
  </si>
  <si>
    <t>puntos</t>
  </si>
  <si>
    <t>Debe ser mayor que Aceptable.</t>
  </si>
  <si>
    <t>Banda Aceptable desde</t>
  </si>
  <si>
    <t>Puntaje mínimo para clasificar como Aceptable.</t>
  </si>
  <si>
    <t>Entre Sólida e Irregular.</t>
  </si>
  <si>
    <t>Banda Irregular desde</t>
  </si>
  <si>
    <t>Puntaje mínimo para Irregular; por debajo es Deficiente.</t>
  </si>
  <si>
    <t>Debe ser el menor de los tres cortes.</t>
  </si>
  <si>
    <t>F. Consistencia en el punto de venta (Fuera de PDV)</t>
  </si>
  <si>
    <t>Modo de medición «Fuera de PDV»</t>
  </si>
  <si>
    <t>Cómo se detecta una visita fuera del punto de venta.</t>
  </si>
  <si>
    <t>lista</t>
  </si>
  <si>
    <t>distancia</t>
  </si>
  <si>
    <t>Lista</t>
  </si>
  <si>
    <t>distancia / ruta</t>
  </si>
  <si>
    <t>«distancia» = el GPS de la visita queda lejos del cliente; «ruta» = cliente no programado ese día.</t>
  </si>
  <si>
    <t>Distancia máxima GPS al cliente</t>
  </si>
  <si>
    <t>Metros entre la ubicación de la visita y el cliente a partir de los cuales cuenta como «fuera de PDV» (modo distancia).</t>
  </si>
  <si>
    <t>metros</t>
  </si>
  <si>
    <t>Validado</t>
  </si>
  <si>
    <t>El sistema solo acepta de 20 a 5000 m; fuera de eso vuelve a 200.</t>
  </si>
  <si>
    <t>G. Metas por Suplidor / Categoría / Producto (Seguimientos → modo «Por Suplidor»)</t>
  </si>
  <si>
    <t>Seguimientos · Por Suplidor</t>
  </si>
  <si>
    <t>Meta de venta por vendedor y semana (ValorSemVend)</t>
  </si>
  <si>
    <t>Denominador del «cumplimiento de meta» por ítem. Por defecto es el promedio semanal de las últimas 13 semanas.</t>
  </si>
  <si>
    <t>RD$</t>
  </si>
  <si>
    <t>Promedio 13 sem.</t>
  </si>
  <si>
    <t>Se edita por ítem dentro de la pantalla «Por Suplidor». Anote aquí la regla general o los casos especiales.</t>
  </si>
  <si>
    <t>Seguimientos → Por Suplidor. Tabla SeguimientoParametros_RM. Alcance: global (BD).</t>
  </si>
  <si>
    <t>Meta en unidades por vendedor y semana (UnidadesSemVend)</t>
  </si>
  <si>
    <t>Meta en unidades por ítem.</t>
  </si>
  <si>
    <t>unidades</t>
  </si>
  <si>
    <t>Hoy no tiene pantalla: se aplica por el administrador (API/BD).</t>
  </si>
  <si>
    <t>Tabla SeguimientoParametros_RM. Alcance: global (BD).</t>
  </si>
  <si>
    <t>Meta en cajas por vendedor y semana (CajasSemVend)</t>
  </si>
  <si>
    <t>Meta en cajas por ítem.</t>
  </si>
  <si>
    <t>cajas</t>
  </si>
  <si>
    <t>Objetivo de efectividad por ítem (EfectividadObj)</t>
  </si>
  <si>
    <t>Efectividad objetivo por ítem (hoy ninguna pantalla lo usa).</t>
  </si>
  <si>
    <t>vacío</t>
  </si>
  <si>
    <t>Opcional.</t>
  </si>
  <si>
    <t>Semanas de histórico para calcular la meta base</t>
  </si>
  <si>
    <t>Cuántas semanas hacia atrás se promedian para proponer la meta.</t>
  </si>
  <si>
    <t>semanas</t>
  </si>
  <si>
    <t>Se cambia re-corriendo el script SQL de parámetros.</t>
  </si>
  <si>
    <t>SQL/SeguimientoParametros_RM.sql. Alcance: global (BD).</t>
  </si>
  <si>
    <t>2 · Torre de Control (alertas en vivo)</t>
  </si>
  <si>
    <t>Horario de vigilancia, minutos de silencio tras un contacto y la regla (umbral, severidad y encendido) de cada monitor de alertas.</t>
  </si>
  <si>
    <t>Nota: el sistema solo lee el «umbral» de cada monitor; el intervalo de 30 min entre cortes es fijo (:00 y :30). La hora 08:20 equivale a 500 minutos desde medianoche.</t>
  </si>
  <si>
    <t>Torre · Ventana</t>
  </si>
  <si>
    <t>Ventana: desde</t>
  </si>
  <si>
    <t>Hora en que empieza la vigilancia y los cortes (snapshots) del día; base del ritmo del monitor de Cumplimiento.</t>
  </si>
  <si>
    <t>Ej. 08:20.</t>
  </si>
  <si>
    <t>Torre de Control → pestaña Monitores (guardar). Tabla TorreControlMonitores_RM. Alcance: global (BD).</t>
  </si>
  <si>
    <t>Ventana: hasta</t>
  </si>
  <si>
    <t>Hora en que termina la vigilancia del día.</t>
  </si>
  <si>
    <t>Debe ser posterior al «desde». Ej. 16:00.</t>
  </si>
  <si>
    <t>Torre · Mute tras contacto</t>
  </si>
  <si>
    <t>Mute tras contacto</t>
  </si>
  <si>
    <t>Minutos de silencio de una alerta después de registrar un contacto. También lo usan Supervisión Virtual y Cobros del día.</t>
  </si>
  <si>
    <t>minutos</t>
  </si>
  <si>
    <t>El sistema exige al menos 1 minuto. Ej. 60.</t>
  </si>
  <si>
    <t>Torre · Representantes sin alerta</t>
  </si>
  <si>
    <t>Representantes sin alerta (lista)</t>
  </si>
  <si>
    <t>Vendedores que no generan alertas (códigos).</t>
  </si>
  <si>
    <t>texto</t>
  </si>
  <si>
    <t>Texto</t>
  </si>
  <si>
    <t>Escriba los códigos de vendedor separados por coma (ej. 12,45,89).</t>
  </si>
  <si>
    <t>Monitores de alerta: umbral, severidad (1 = baja … 3 = alta) y si están activos</t>
  </si>
  <si>
    <t>Torre · PRIMERA_VISITA_PEDIDO</t>
  </si>
  <si>
    <t>PRIMERA_VISITA_PEDIDO: umbral</t>
  </si>
  <si>
    <t>Hora límite del primer pedido. Alarma si es más tarde.</t>
  </si>
  <si>
    <t>Ej. 08:20. (Internamente 500 minutos.)</t>
  </si>
  <si>
    <t>PRIMERA_VISITA_PEDIDO: severidad</t>
  </si>
  <si>
    <t>Importancia de la alerta en el orden de pantalla.</t>
  </si>
  <si>
    <t>1 a 3</t>
  </si>
  <si>
    <t>1 = baja, 2 = media, 3 = alta.</t>
  </si>
  <si>
    <t>Torre · TIEMPO_VISITA</t>
  </si>
  <si>
    <t>TIEMPO_VISITA: mínimo</t>
  </si>
  <si>
    <t>Alarma si la visita promedio dura MENOS de estos minutos.</t>
  </si>
  <si>
    <t>Ej. 3.</t>
  </si>
  <si>
    <t>TIEMPO_VISITA: máximo</t>
  </si>
  <si>
    <t>Alarma si la visita promedio dura MÁS de estos minutos.</t>
  </si>
  <si>
    <t>Debe ser mayor que el mínimo. Ej. 40.</t>
  </si>
  <si>
    <t>TIEMPO_VISITA: severidad</t>
  </si>
  <si>
    <t>Importancia de la alerta.</t>
  </si>
  <si>
    <t>Torre · CUMPLIMIENTO</t>
  </si>
  <si>
    <t>CUMPLIMIENTO: umbral</t>
  </si>
  <si>
    <t>Alarma si (visitados ÷ esperados a esta hora) es menor a este porcentaje.</t>
  </si>
  <si>
    <t>Ej. 85.</t>
  </si>
  <si>
    <t>CUMPLIMIENTO: severidad</t>
  </si>
  <si>
    <t>Torre · EFECTIVIDAD_VISITA</t>
  </si>
  <si>
    <t>EFECTIVIDAD_VISITA: umbral</t>
  </si>
  <si>
    <t>Alarma si (clientes con pedido ÷ visitados) es menor a este porcentaje.</t>
  </si>
  <si>
    <t>Ej. 55.</t>
  </si>
  <si>
    <t>EFECTIVIDAD_VISITA: severidad</t>
  </si>
  <si>
    <t>Torre · MUCHO_SIN_SYNC</t>
  </si>
  <si>
    <t>MUCHO_SIN_SYNC: umbral</t>
  </si>
  <si>
    <t>Alarma si el vendedor lleva más de estos minutos sin sincronizar.</t>
  </si>
  <si>
    <t>Ej. 45.</t>
  </si>
  <si>
    <t>MUCHO_SIN_SYNC: severidad</t>
  </si>
  <si>
    <t>Torre · FUERA_ENTORNO</t>
  </si>
  <si>
    <t>FUERA_ENTORNO: umbral</t>
  </si>
  <si>
    <t>Alarma si el GPS está a más de estos kilómetros del cliente de su ruta más cercano.</t>
  </si>
  <si>
    <t>km</t>
  </si>
  <si>
    <t>Ej. 3 (admite decimales, 0.5).</t>
  </si>
  <si>
    <t>FUERA_ENTORNO: severidad</t>
  </si>
  <si>
    <t>Torre · PEDIDO_FUERA_DIA</t>
  </si>
  <si>
    <t>PEDIDO_FUERA_DIA: umbral</t>
  </si>
  <si>
    <t>Alarma si toma pedidos a esta cantidad (o más) de clientes no programados hoy.</t>
  </si>
  <si>
    <t>pedidos</t>
  </si>
  <si>
    <t>Ej. 1.</t>
  </si>
  <si>
    <t>PEDIDO_FUERA_DIA: severidad</t>
  </si>
  <si>
    <t>Torre · CUADRE_CERRADO</t>
  </si>
  <si>
    <t>CUADRE_CERRADO: severidad</t>
  </si>
  <si>
    <t>Alerta por cuadre sin cerrar (no tiene umbral).</t>
  </si>
  <si>
    <t>Torre · ULTIMO_PEDIDO_TEMPRANO</t>
  </si>
  <si>
    <t>ULTIMO_PEDIDO_TEMPRANO: umbral</t>
  </si>
  <si>
    <t>Al terminar el día, alarma si su último pedido fue ANTES de esta hora.</t>
  </si>
  <si>
    <t>Ej. 13:00. (Internamente 780 minutos.)</t>
  </si>
  <si>
    <t>ULTIMO_PEDIDO_TEMPRANO: severidad</t>
  </si>
  <si>
    <t>PRIMERA_VISITA_PEDIDO: activo</t>
  </si>
  <si>
    <t>Enciende o apaga este monitor.</t>
  </si>
  <si>
    <t>Sí</t>
  </si>
  <si>
    <t>Sí / No</t>
  </si>
  <si>
    <t>Elija Sí o No.</t>
  </si>
  <si>
    <t>TIEMPO_VISITA: activo</t>
  </si>
  <si>
    <t>CUMPLIMIENTO: activo</t>
  </si>
  <si>
    <t>EFECTIVIDAD_VISITA: activo</t>
  </si>
  <si>
    <t>MUCHO_SIN_SYNC: activo</t>
  </si>
  <si>
    <t>FUERA_ENTORNO: activo</t>
  </si>
  <si>
    <t>PEDIDO_FUERA_DIA: activo</t>
  </si>
  <si>
    <t>CUADRE_CERRADO: activo</t>
  </si>
  <si>
    <t>ULTIMO_PEDIDO_TEMPRANO: activo</t>
  </si>
  <si>
    <t>Monitores personalizados (plantilla: copie la fila por cada monitor nuevo que desee)</t>
  </si>
  <si>
    <t>Torre · Personalizado</t>
  </si>
  <si>
    <t>Objetivo por día</t>
  </si>
  <si>
    <t>Meta que debe cumplir cada vendedor por día.</t>
  </si>
  <si>
    <t>número</t>
  </si>
  <si>
    <t>5</t>
  </si>
  <si>
    <t>Ej. 5 clientes activados por día.</t>
  </si>
  <si>
    <t>Torre de Control → Monitores personalizados. Alcance: global (BD).</t>
  </si>
  <si>
    <t>Comparador</t>
  </si>
  <si>
    <t>Cómo se compara el avance contra el objetivo.</t>
  </si>
  <si>
    <t>mayorIgual</t>
  </si>
  <si>
    <t>mayorIgual / menor / ritmo</t>
  </si>
  <si>
    <t>«mayorIgual» = debe llegar o superar; «menor» = debe ser menor; «ritmo» = avance proporcional entre dos horas.</t>
  </si>
  <si>
    <t>Torre de Control → Monitores personalizados.</t>
  </si>
  <si>
    <t>Métrica</t>
  </si>
  <si>
    <t>Qué se cuenta.</t>
  </si>
  <si>
    <t>clientes</t>
  </si>
  <si>
    <t>clientes / unidades / monto / impactos</t>
  </si>
  <si>
    <t>Elija la métrica.</t>
  </si>
  <si>
    <t>Unidades mínimas por cliente</t>
  </si>
  <si>
    <t>Unidades que debe comprar un cliente para contarse como activado.</t>
  </si>
  <si>
    <t>Contar solo hasta la hora (opcional)</t>
  </si>
  <si>
    <t>Solo cuenta ventas hechas antes de esta hora.</t>
  </si>
  <si>
    <t>Opcional. Ej. 11:00.</t>
  </si>
  <si>
    <t>Ritmo: hora de inicio</t>
  </si>
  <si>
    <t>Desde cuándo se exige el avance (solo comparador «ritmo»).</t>
  </si>
  <si>
    <t>Ej. 08:20. Se fija en el sistema.</t>
  </si>
  <si>
    <t>Torre de Control → Monitores personalizados (código TorrePersonalizados).</t>
  </si>
  <si>
    <t>Ritmo: hora límite</t>
  </si>
  <si>
    <t>Hora en que ya debe llevar el 100 % del objetivo.</t>
  </si>
  <si>
    <t>Ej. 15:00. Posterior a la hora de inicio.</t>
  </si>
  <si>
    <t>Severidad</t>
  </si>
  <si>
    <t>Vigencia desde / hasta</t>
  </si>
  <si>
    <t>Fechas en que aplica el monitor.</t>
  </si>
  <si>
    <t>fecha</t>
  </si>
  <si>
    <t>sin límite</t>
  </si>
  <si>
    <t>Escriba dd/mm/aaaa – dd/mm/aaaa, o «sin límite».</t>
  </si>
  <si>
    <t>Grupo al que aplica</t>
  </si>
  <si>
    <t>A quién aplica: división (RepTipe), supervisor o vendedores concretos.</t>
  </si>
  <si>
    <t>todos</t>
  </si>
  <si>
    <t>Ej. División 10; o supervisor S4; o vendedores 12,45.</t>
  </si>
  <si>
    <t>3 · Geolocalizaciones (mapa)</t>
  </si>
  <si>
    <t>Cuándo el punto de un vendedor se pinta verde / amarillo / rojo en el mapa, por sincronización y por cercanía a la ruta.</t>
  </si>
  <si>
    <t>Se guarda en cada navegador; configure igual en cada computadora que use el mapa.</t>
  </si>
  <si>
    <t>Tiempo sin sincronizar</t>
  </si>
  <si>
    <t>Geo · Ubicación de vendedores</t>
  </si>
  <si>
    <t>Sync verde: hasta</t>
  </si>
  <si>
    <t>Minutos sin sincronizar para considerarse «al día» (verde).</t>
  </si>
  <si>
    <t>Menos de este tiempo = verde.</t>
  </si>
  <si>
    <t>Geolocalizaciones → ⚙ (engranaje). Alcance: por usuario/navegador (cada PC).</t>
  </si>
  <si>
    <t>Sync amarillo: hasta</t>
  </si>
  <si>
    <t>Minutos máximos para estar en amarillo (más que eso = rojo).</t>
  </si>
  <si>
    <t>Debe ser MAYOR o igual que el verde.</t>
  </si>
  <si>
    <t>Ventana de ubicaciones</t>
  </si>
  <si>
    <t>Antigüedad máxima de la última ubicación mostrada.</t>
  </si>
  <si>
    <t>horas</t>
  </si>
  <si>
    <t>El sistema acepta de 1 a 720 horas.</t>
  </si>
  <si>
    <t>Geolocalizaciones → campo «Ventana (h)». Alcance: por consulta.</t>
  </si>
  <si>
    <t>Cercanía a la ruta</t>
  </si>
  <si>
    <t>Geo · Ubicación de la ruta</t>
  </si>
  <si>
    <t>Ruta verde: hasta</t>
  </si>
  <si>
    <t>Metros al cliente de ruta más cercano para estar «en ruta» (verde).</t>
  </si>
  <si>
    <t>Ej. 400.</t>
  </si>
  <si>
    <t>Ruta amarillo: hasta</t>
  </si>
  <si>
    <t>Metros máximos para «alejado» (más allá = fuera de ruta, rojo).</t>
  </si>
  <si>
    <t>4 · Home / Visitas (tablero del día)</t>
  </si>
  <si>
    <t>Horas límite para considerar «a tiempo» la primera visita y el primer pedido; de ellas dependen los colores y los porcentajes «a tiempo» del tablero.</t>
  </si>
  <si>
    <t>Se guarda en cada navegador. El conteo de «tardíos» al imprimir usa 08:20 fijo.</t>
  </si>
  <si>
    <t>Home · Visitas</t>
  </si>
  <si>
    <t>Primera visita a tiempo: hasta</t>
  </si>
  <si>
    <t>Hora límite de la primera entrada del día para estar «a tiempo».</t>
  </si>
  <si>
    <t>Ej. 08:00.</t>
  </si>
  <si>
    <t>Home (Visitas) → panel ⚙ de umbrales. Alcance: por usuario/navegador (cada PC).</t>
  </si>
  <si>
    <t>Primer pedido a tiempo: hasta</t>
  </si>
  <si>
    <t>Hora límite del primer pedido del día para estar «a tiempo».</t>
  </si>
  <si>
    <t>5 · Supervisión Dinámica</t>
  </si>
  <si>
    <t>Pesos del Índice Global, factores de acompañamiento/auditoría, semáforo y metas de Cobros del día, y cronograma semanal.</t>
  </si>
  <si>
    <t>Las bandas de calidad de Supervisión (85/70/55) están fijas en código: véalas en la hoja «8 Fijos en código».</t>
  </si>
  <si>
    <t>A. Pesos de los esquemas del Índice Global (deben sumar 100)</t>
  </si>
  <si>
    <t>Supervisión</t>
  </si>
  <si>
    <t>Peso · Supervisión Virtual (IEGT)</t>
  </si>
  <si>
    <t>Cuánto aporta al Índice Global de Supervisión.</t>
  </si>
  <si>
    <t>Entre 0 y 100.</t>
  </si>
  <si>
    <t>Supervisión → Configuración → Pesos. Solo Gerencia. Alcance: global (BD).</t>
  </si>
  <si>
    <t>Peso · Calle — Acompañamiento</t>
  </si>
  <si>
    <t>Cuánto aporta la supervisión de acompañamiento en calle.</t>
  </si>
  <si>
    <t>Peso · Calle — Auditoría</t>
  </si>
  <si>
    <t>Cuánto aporta la auditoría en calle.</t>
  </si>
  <si>
    <t>Suma de pesos de esquemas (debe ser 100)</t>
  </si>
  <si>
    <t>Se calcula sola.</t>
  </si>
  <si>
    <t>B. Factores de Acompañamiento (deben sumar 100)</t>
  </si>
  <si>
    <t>Factor · Preparación</t>
  </si>
  <si>
    <t>Peso de este factor en la nota de acompañamiento.</t>
  </si>
  <si>
    <t>Factor · Saludo</t>
  </si>
  <si>
    <t>Factor · Inventario</t>
  </si>
  <si>
    <t>Factor · Afiches</t>
  </si>
  <si>
    <t>Factor · Foto de éxito</t>
  </si>
  <si>
    <t>Factor · Presentación</t>
  </si>
  <si>
    <t>Factor · Cierre</t>
  </si>
  <si>
    <t>Factor · Herramienta</t>
  </si>
  <si>
    <t>Factor · Datos del cliente</t>
  </si>
  <si>
    <t>Suma de factores de Acompañamiento (debe ser 100)</t>
  </si>
  <si>
    <t>C. Factores de Auditoría (deben sumar 100)</t>
  </si>
  <si>
    <t>Factor · Conoce al vendedor</t>
  </si>
  <si>
    <t>Peso de este factor en la nota de auditoría.</t>
  </si>
  <si>
    <t>Factor · Puntos al vendedor</t>
  </si>
  <si>
    <t>Factor · Entregas</t>
  </si>
  <si>
    <t>Factor · Maneja productos</t>
  </si>
  <si>
    <t>Factor · Precios</t>
  </si>
  <si>
    <t>Factor · POP</t>
  </si>
  <si>
    <t>Factor · Exhibidor</t>
  </si>
  <si>
    <t>Suma de factores de Auditoría (debe ser 100)</t>
  </si>
  <si>
    <t>D. Texto de la marca del índice</t>
  </si>
  <si>
    <t>Nombre del índice (apodo)</t>
  </si>
  <si>
    <t>Texto que reemplaza «IEGT» en pantallas y reportes (ej. AMCO-GT).</t>
  </si>
  <si>
    <t>AMCO-GT</t>
  </si>
  <si>
    <t>Máximo 60 caracteres.</t>
  </si>
  <si>
    <t>Supervisión → Configuración → Pesos. Tabla ConfiguracionApp_RM, clave IegtApodo. Alcance: global (BD).</t>
  </si>
  <si>
    <t>E. Cobros del día — semáforo y metas de cada alerta (repita las filas por cada alerta)</t>
  </si>
  <si>
    <t>Cobros del día</t>
  </si>
  <si>
    <t>Umbral verde (≥)</t>
  </si>
  <si>
    <t>% de logro (real o proyectado) desde el cual el semáforo es verde.</t>
  </si>
  <si>
    <t>Ej. 90. No use 0.</t>
  </si>
  <si>
    <t>Supervisión → Cobros del día → mantenimiento de alertas. Solo Gerencia. Alcance: global (BD).</t>
  </si>
  <si>
    <t>Umbral amarillo (≥)</t>
  </si>
  <si>
    <t>% de logro desde el cual es amarillo (por debajo, rojo).</t>
  </si>
  <si>
    <t>Debe ser MENOR que el verde. No use 0.</t>
  </si>
  <si>
    <t>Meta fija por vendedor y día · Pedidos</t>
  </si>
  <si>
    <t>Cantidad de pedidos diarios que debe hacer cada vendedor.</t>
  </si>
  <si>
    <t>Solo para alertas de tipo «pedidos».</t>
  </si>
  <si>
    <t>Meta fija por vendedor y día · Producto</t>
  </si>
  <si>
    <t>Unidades diarias de un producto por vendedor.</t>
  </si>
  <si>
    <t>Solo para alertas de tipo «producto».</t>
  </si>
  <si>
    <t>Supervisores excluidos</t>
  </si>
  <si>
    <t>Supervisores a los que NO aplica la alerta (códigos).</t>
  </si>
  <si>
    <t>S12,S13</t>
  </si>
  <si>
    <t>Códigos separados por coma. Déjelo vacío si no excluye a nadie.</t>
  </si>
  <si>
    <t>F. Cronograma semanal de supervisión (tipo de supervisión por día)</t>
  </si>
  <si>
    <t>Supervisión · Cronograma</t>
  </si>
  <si>
    <t>Tipo de supervisión · Lunes</t>
  </si>
  <si>
    <t>Qué tipo de supervisión se hace ese día (patrón del equipo).</t>
  </si>
  <si>
    <t>Virtual</t>
  </si>
  <si>
    <t>Virtual / Presencial / Auditoría</t>
  </si>
  <si>
    <t>Elija el tipo. Cada vendedor puede tener una excepción.</t>
  </si>
  <si>
    <t>Supervisión → ⚙ Configurar cronograma. Alcance: global (BD).</t>
  </si>
  <si>
    <t>Tipo de supervisión · Martes</t>
  </si>
  <si>
    <t>Presencial</t>
  </si>
  <si>
    <t>Tipo de supervisión · Miércoles</t>
  </si>
  <si>
    <t>Tipo de supervisión · Jueves</t>
  </si>
  <si>
    <t>Auditoría</t>
  </si>
  <si>
    <t>Tipo de supervisión · Viernes</t>
  </si>
  <si>
    <t>Tipo de supervisión · Sábado</t>
  </si>
  <si>
    <t>6 · Gestión de presupuesto (motor «Generar»)</t>
  </si>
  <si>
    <t>Variables que ajustan el presupuesto propuesto. Cada valor puede ser Global, por Suplidor, por Categoría o por Ruta-Suplidor, con vigencia por Año, Trimestre o Mes (gana el más específico).</t>
  </si>
  <si>
    <t>Anote cada valor con su ámbito y vigencia en «Cómo llenarlo» (ej. «Suplidor 101, sep–dic 2026»). Copie la fila si hay varios valores.</t>
  </si>
  <si>
    <t>A. Variables ajustables</t>
  </si>
  <si>
    <t>Presupuesto · Variables</t>
  </si>
  <si>
    <t>Factor de crecimiento mensual</t>
  </si>
  <si>
    <t>Multiplicador sobre la base histórica neta (1.02 = +2 %).</t>
  </si>
  <si>
    <t>factor</t>
  </si>
  <si>
    <t>1.00 = igual a la base. Indique suplidor y meses. Ej. 1.020 para +2 %.</t>
  </si>
  <si>
    <t>Gestión de presupuesto → Configuración de variables. Solo Gerencia. Alcance: global (BD).</t>
  </si>
  <si>
    <t>Meta Rappel mensual (por suplidor)</t>
  </si>
  <si>
    <t>Meta mensual fija por suplidor; actúa como piso.</t>
  </si>
  <si>
    <t>RD$/mes</t>
  </si>
  <si>
    <t>sin meta</t>
  </si>
  <si>
    <t>Indique suplidor y vigencia. Ej. 22,800,000.</t>
  </si>
  <si>
    <t>Piso mínimo (% de la base)</t>
  </si>
  <si>
    <t>Nunca proponer menos de este porcentaje de la base.</t>
  </si>
  <si>
    <t>0 = sin piso. Ej. 90.</t>
  </si>
  <si>
    <t>Factor ruta-proveedor</t>
  </si>
  <si>
    <t>Ajuste fino por vendedor × suplidor.</t>
  </si>
  <si>
    <t>1.00 = sin ajuste.</t>
  </si>
  <si>
    <t>Umbral de anomalía</t>
  </si>
  <si>
    <t>Marca como «anomalía» (sin bloquear) si lo propuesto se desvía más de este % de la base.</t>
  </si>
  <si>
    <t>Ej. 50.</t>
  </si>
  <si>
    <t>Umbral mínimo (monto)</t>
  </si>
  <si>
    <t>Monto total mínimo propuesto de un suplidor o categoría.</t>
  </si>
  <si>
    <t>sin umbral</t>
  </si>
  <si>
    <t>Déjelo vacío si no aplica.</t>
  </si>
  <si>
    <t>Umbral máximo (monto)</t>
  </si>
  <si>
    <t>Monto total máximo propuesto de un suplidor o categoría.</t>
  </si>
  <si>
    <t>Debe ser mayor que el mínimo.</t>
  </si>
  <si>
    <t>Tope por activación obligatoria</t>
  </si>
  <si>
    <t>Máximo % del presupuesto total del lote que puede venir del incremento por Activación Obligatoria.</t>
  </si>
  <si>
    <t>Ej. 5.</t>
  </si>
  <si>
    <t>B. Otras metas del motor</t>
  </si>
  <si>
    <t>Presupuesto · Efectividad</t>
  </si>
  <si>
    <t>Meta de efectividad — División 10</t>
  </si>
  <si>
    <t>Meta de efectividad (clientes con pedido ÷ visitados) del motor para la división.</t>
  </si>
  <si>
    <t>Déjelo vacío si no aplica. El sistema lo guarda como fracción (60 % = 0.60).</t>
  </si>
  <si>
    <t>Gestión de presupuesto → Metas de efectividad. Tabla PresupuestoEfectividadMetas_RM. Alcance: global (BD).</t>
  </si>
  <si>
    <t>Meta de efectividad — División 11</t>
  </si>
  <si>
    <t>Ídem para la división 11.</t>
  </si>
  <si>
    <t>Ídem.</t>
  </si>
  <si>
    <t>Tabla PresupuestoEfectividadMetas_RM.</t>
  </si>
  <si>
    <t>Meta de efectividad — División 12</t>
  </si>
  <si>
    <t>Ídem para la división 12.</t>
  </si>
  <si>
    <t>Presupuesto · Límites por vendedor</t>
  </si>
  <si>
    <t>Piso por vendedor (% de su base)</t>
  </si>
  <si>
    <t>El presupuesto de un vendedor no baja de este % de su propia base.</t>
  </si>
  <si>
    <t>Ej. 90 (= 0.90 de su base). Indique vendedor o «todos».</t>
  </si>
  <si>
    <t>Gestión de presupuesto → Límites por vendedor. Tabla PresupuestoLimitesRep_RM. Alcance: global (BD).</t>
  </si>
  <si>
    <t>Techo por vendedor (% de su base)</t>
  </si>
  <si>
    <t>El presupuesto de un vendedor no sube de este % de su propia base.</t>
  </si>
  <si>
    <t>Ej. 130 (= 1.30 de su base). Debe ser mayor que el piso.</t>
  </si>
  <si>
    <t>Tabla PresupuestoLimitesRep_RM.</t>
  </si>
  <si>
    <t>Presupuesto · Rappel</t>
  </si>
  <si>
    <t>Meta rappel por suplidor / categoría</t>
  </si>
  <si>
    <t>Meta de Monto, Activaciones o Factura por suplidor o categoría, por año y mes.</t>
  </si>
  <si>
    <t>RD$ o cantidad</t>
  </si>
  <si>
    <t>Indique tipo (Monto/Activaciones/Factura), suplidor o categoría, año y mes en «Cómo llenarlo».</t>
  </si>
  <si>
    <t>Gestión de presupuesto → Metas Rappel. Tabla PresupuestoRappelMetas_RM. Alcance: global (BD).</t>
  </si>
  <si>
    <t>6b · Metas de activación por Suplidor × Categoría</t>
  </si>
  <si>
    <t>Qué porcentaje de la cartera de clientes debe estar activado (haber comprado) por cada categoría. Precargada con los valores vigentes.</t>
  </si>
  <si>
    <t>Deje en blanco lo que NO quiera cambiar. Modo «Ideal» = solo informativo; «Obligatorio» = el motor de presupuesto fuerza ese piso. Canal 2000 = Minorista. Agregue filas nuevas al final si falta una categoría.</t>
  </si>
  <si>
    <t>Suplidor</t>
  </si>
  <si>
    <t>Categoría</t>
  </si>
  <si>
    <t>Canal</t>
  </si>
  <si>
    <t>Modo
actual</t>
  </si>
  <si>
    <t>Meta %
actual</t>
  </si>
  <si>
    <t>NUEVA META %
(llenar)</t>
  </si>
  <si>
    <t>NUEVO MODO
(llenar)</t>
  </si>
  <si>
    <t>Rango meta
DESDE–HASTA</t>
  </si>
  <si>
    <t>Agua Crystal</t>
  </si>
  <si>
    <t>AGUA</t>
  </si>
  <si>
    <t>2000 Minorista</t>
  </si>
  <si>
    <t>Ideal</t>
  </si>
  <si>
    <t>0 – 100</t>
  </si>
  <si>
    <t>AMPOULE</t>
  </si>
  <si>
    <t>ILUMINACION</t>
  </si>
  <si>
    <t>Brinsa Dominicana</t>
  </si>
  <si>
    <t>BLANCOX</t>
  </si>
  <si>
    <t>REFISAL</t>
  </si>
  <si>
    <t>Obligatorio</t>
  </si>
  <si>
    <t>COLOMBINA</t>
  </si>
  <si>
    <t>BOLONES</t>
  </si>
  <si>
    <t>CARAMELOS BLANDOS</t>
  </si>
  <si>
    <t>CARAMELOS DUROS</t>
  </si>
  <si>
    <t>CHOCOLATERIA</t>
  </si>
  <si>
    <t>CONFITERIA CICHLET</t>
  </si>
  <si>
    <t>CONFITERIA GOMAS</t>
  </si>
  <si>
    <t>GRISSLY SNACK</t>
  </si>
  <si>
    <t>PALETAS</t>
  </si>
  <si>
    <t>Comercial Fila</t>
  </si>
  <si>
    <t>AMBIENTADORES</t>
  </si>
  <si>
    <t>INSECTICIDAS</t>
  </si>
  <si>
    <t>Continental de Negocios</t>
  </si>
  <si>
    <t>CUIDADO DE BEBE</t>
  </si>
  <si>
    <t>FAMILIA</t>
  </si>
  <si>
    <t>INCONTINENCIA</t>
  </si>
  <si>
    <t>NOSOTRAS</t>
  </si>
  <si>
    <t>NOSOTRAS DIARIOS</t>
  </si>
  <si>
    <t>Nosotras Liquidos</t>
  </si>
  <si>
    <t>Corporacion Poiroto SRL</t>
  </si>
  <si>
    <t>Snack</t>
  </si>
  <si>
    <t>DIMAR DOMINICANA</t>
  </si>
  <si>
    <t>DIMAR</t>
  </si>
  <si>
    <t>PAÑALES DESECHABLES</t>
  </si>
  <si>
    <t>GALISA GROUP</t>
  </si>
  <si>
    <t>CIGARROS</t>
  </si>
  <si>
    <t>MOLINOS MODERNOS, SA</t>
  </si>
  <si>
    <t>GALLETAS</t>
  </si>
  <si>
    <t>HARINAS FAMILIARES</t>
  </si>
  <si>
    <t>MASCOTAS</t>
  </si>
  <si>
    <t>PASTAS</t>
  </si>
  <si>
    <t>SALSAS</t>
  </si>
  <si>
    <t>SOPAS</t>
  </si>
  <si>
    <t>P.Q.P.</t>
  </si>
  <si>
    <t>ULTREX</t>
  </si>
  <si>
    <t>Nota: en esta hoja «Pendiente» significa «sin cambios». No es obligatorio llenarla toda.</t>
  </si>
  <si>
    <t>7 · Reportes programados y envíos</t>
  </si>
  <si>
    <t>Horas en que se envían automáticamente los reportes (Cierre del Día, Ventas Proyectadas) y datos medibles del correo/WhatsApp.</t>
  </si>
  <si>
    <t>Los destinatarios (nombre, correo, teléfono) se cargan en la pantalla «Destinatarios»; no son valores medibles.</t>
  </si>
  <si>
    <t>Reportes programados</t>
  </si>
  <si>
    <t>Horas de envío</t>
  </si>
  <si>
    <t>Una o varias horas del día en que se envía el reporte.</t>
  </si>
  <si>
    <t>hh:mm (lista)</t>
  </si>
  <si>
    <t>18:00</t>
  </si>
  <si>
    <t>Escriba las horas separadas por coma, formato hh:mm (ej. 18:00, 18:30). El sistema valida y ordena.</t>
  </si>
  <si>
    <t>Supervisión → Cierres → 📅 Programados. Alcance: global (BD).</t>
  </si>
  <si>
    <t>Programación activa</t>
  </si>
  <si>
    <t>Enciende o apaga el envío de ese reporte.</t>
  </si>
  <si>
    <t>Correo</t>
  </si>
  <si>
    <t>Puerto SMTP</t>
  </si>
  <si>
    <t>Puerto del servidor de correo saliente.</t>
  </si>
  <si>
    <t>Ej. 587 (TLS) o 465 (SSL). Lo cambia el administrador en appsettings.json.</t>
  </si>
  <si>
    <t>appsettings.json → Smtp:Port. Alcance: archivo del servidor.</t>
  </si>
  <si>
    <t>WhatsApp</t>
  </si>
  <si>
    <t>Envío por WhatsApp activo</t>
  </si>
  <si>
    <t>Activa el envío de reportes por WhatsApp.</t>
  </si>
  <si>
    <t>appsettings.json → Smtp:WhatsApp:Activo. Alcance: archivo del servidor.</t>
  </si>
  <si>
    <t>8 · Valores fijos en el programa (solicitud de cambio)</t>
  </si>
  <si>
    <t>Escalas de color, refrescos y seguridad que hoy NO se editan en pantalla. Anote el valor que desearía; se tratará como una solicitud de cambio al programa.</t>
  </si>
  <si>
    <t>Si desea mantener el valor actual, repítalo o deje la fila en blanco.</t>
  </si>
  <si>
    <t>A. Escalas de color de alcance / logro</t>
  </si>
  <si>
    <t>Presupuestos</t>
  </si>
  <si>
    <t>Alcance — verde desde</t>
  </si>
  <si>
    <t>Alcance (ejecutado ÷ presupuesto) desde el cual se pinta verde.</t>
  </si>
  <si>
    <t>Hoy: ≥90 verde, ≥75 amarillo, menos rojo.</t>
  </si>
  <si>
    <t>Presupuestos (Views/Presupuestos). Fijo en código (hoy no se edita en pantalla). Anotar el valor deseado equivale a solicitar el cambio.</t>
  </si>
  <si>
    <t>Alcance — amarillo desde</t>
  </si>
  <si>
    <t>Alcance desde el cual se pinta amarillo.</t>
  </si>
  <si>
    <t>Debe ser menor que el verde.</t>
  </si>
  <si>
    <t>Presupuestos. Fijo en código (hoy no se edita en pantalla). Anotar el valor deseado equivale a solicitar el cambio.</t>
  </si>
  <si>
    <t>Cierre Diario</t>
  </si>
  <si>
    <t>Logro — verde desde</t>
  </si>
  <si>
    <t>Logro desde el cual es verde.</t>
  </si>
  <si>
    <t>Hoy: ≥90 verde, ≥80 amarillo, menos rojo.</t>
  </si>
  <si>
    <t>Supervisión → Cierre Diario. Fijo en código (hoy no se edita en pantalla). Anotar el valor deseado equivale a solicitar el cambio.</t>
  </si>
  <si>
    <t>Logro — amarillo desde</t>
  </si>
  <si>
    <t>Logro desde el cual es amarillo.</t>
  </si>
  <si>
    <t>Menor que el verde.</t>
  </si>
  <si>
    <t>Resumen Cierre del Día</t>
  </si>
  <si>
    <t>Alcance — rojo por debajo de</t>
  </si>
  <si>
    <t>Por debajo de este % la línea es roja.</t>
  </si>
  <si>
    <t>Escala completa hoy: &lt;75 rojo · 75–85 amarillo · 85–95 verde claro · 95–105 verde oscuro · &gt;105 azul.</t>
  </si>
  <si>
    <t>Supervisión → Resumen Cierre del Día. Fijo en código (hoy no se edita en pantalla). Anotar el valor deseado equivale a solicitar el cambio.</t>
  </si>
  <si>
    <t>Alcance — amarillo hasta</t>
  </si>
  <si>
    <t>Hasta este % es amarilla.</t>
  </si>
  <si>
    <t>Mayor que el rojo.</t>
  </si>
  <si>
    <t>Alcance — verde claro hasta</t>
  </si>
  <si>
    <t>Hasta este % es verde claro; desde aquí, verde oscuro.</t>
  </si>
  <si>
    <t>Mayor que el anterior.</t>
  </si>
  <si>
    <t>Alcance — verde oscuro hasta</t>
  </si>
  <si>
    <t>Por encima de este % la línea es azul.</t>
  </si>
  <si>
    <t>Efectividad de visita — verde si supera</t>
  </si>
  <si>
    <t>Efectividad que da verde directo.</t>
  </si>
  <si>
    <t>Además es verde si supera en 5 % al mes anterior.</t>
  </si>
  <si>
    <t>Productividad</t>
  </si>
  <si>
    <t>Cumplimiento — verde desde</t>
  </si>
  <si>
    <t>Cumplimiento (visitados ÷ a visitar) en verde.</t>
  </si>
  <si>
    <t>Hoy: ≥99 verde, ≥89.99 amarillo.</t>
  </si>
  <si>
    <t>Productividad. Fijo en código (hoy no se edita en pantalla). Anotar el valor deseado equivale a solicitar el cambio.</t>
  </si>
  <si>
    <t>Cumplimiento — amarillo desde</t>
  </si>
  <si>
    <t>Cumplimiento en amarillo.</t>
  </si>
  <si>
    <t>Efectividad de visita — verde sobre</t>
  </si>
  <si>
    <t>Efectividad en verde.</t>
  </si>
  <si>
    <t>Hoy: &gt;55 verde, ≥45 amarillo.</t>
  </si>
  <si>
    <t>Efectividad de visita — amarillo desde</t>
  </si>
  <si>
    <t>Efectividad en amarillo.</t>
  </si>
  <si>
    <t>Bandas de calidad — Sólida desde</t>
  </si>
  <si>
    <t>Puntaje de la banda Sólida.</t>
  </si>
  <si>
    <t>Hoy 85 / 70 / 55 (no sigue las bandas de AMCO-GT en Seguimientos).</t>
  </si>
  <si>
    <t>Supervisión. Fijo en código (hoy no se edita en pantalla). Anotar el valor deseado equivale a solicitar el cambio.</t>
  </si>
  <si>
    <t>Bandas de calidad — Aceptable desde</t>
  </si>
  <si>
    <t>Puntaje de la banda Aceptable.</t>
  </si>
  <si>
    <t>Menor que Sólida.</t>
  </si>
  <si>
    <t>Bandas de calidad — Irregular desde</t>
  </si>
  <si>
    <t>Puntaje de la banda Irregular.</t>
  </si>
  <si>
    <t>Menor que Aceptable.</t>
  </si>
  <si>
    <t>B. Home / Visitas — escalas del tablero</t>
  </si>
  <si>
    <t>% a tiempo — verde desde</t>
  </si>
  <si>
    <t>Porcentaje de vendedores a tiempo en verde.</t>
  </si>
  <si>
    <t>Hoy: ≥80 verde, ≥50 amarillo.</t>
  </si>
  <si>
    <t>Home. Fijo en código (hoy no se edita en pantalla). Anotar el valor deseado equivale a solicitar el cambio.</t>
  </si>
  <si>
    <t>% a tiempo — amarillo desde</t>
  </si>
  <si>
    <t>Porcentaje a tiempo en amarillo.</t>
  </si>
  <si>
    <t>«Desde última visita» — verde hasta</t>
  </si>
  <si>
    <t>Minutos sin visitar para seguir en verde.</t>
  </si>
  <si>
    <t>Hoy: ≤15 verde, ≤30 amarillo, más rojo.</t>
  </si>
  <si>
    <t>«Desde última visita» — amarillo hasta</t>
  </si>
  <si>
    <t>Minutos para seguir en amarillo.</t>
  </si>
  <si>
    <t>Mayor que el verde.</t>
  </si>
  <si>
    <t>Tiempo promedio en visita — rojo por debajo de</t>
  </si>
  <si>
    <t>Visitas más cortas que esto se marcan en rojo.</t>
  </si>
  <si>
    <t>Hoy: &lt;2 rojo, ≤4 amarillo, ≤8 verde, ≤15 azul, &gt;15 morado.</t>
  </si>
  <si>
    <t>Filtro «sin visita» — minutos</t>
  </si>
  <si>
    <t>Minutos sin visita para entrar al filtro «+30 min».</t>
  </si>
  <si>
    <t>Ej. 30.</t>
  </si>
  <si>
    <t>C. AMCO-GT — reglas fijas</t>
  </si>
  <si>
    <t>Etiqueta «Inconsistencia de ruta» — Sin desde</t>
  </si>
  <si>
    <t>Cumplimiento a partir del cual NO hay inconsistencia.</t>
  </si>
  <si>
    <t>Hoy: Sin ≥98, Baja ≥95, Media ≥88, Alta &lt;88. No sigue los cortes de la hoja 1.</t>
  </si>
  <si>
    <t>Seguimientos. Fijo en código (hoy no se edita en pantalla). Anotar el valor deseado equivale a solicitar el cambio.</t>
  </si>
  <si>
    <t>Cantidad de fuera de ruta para nota 0</t>
  </si>
  <si>
    <t>Pedidos a clientes fuera de ruta que llevan la nota de Disciplina de ruta a 0.</t>
  </si>
  <si>
    <t>cantidad</t>
  </si>
  <si>
    <t>Hoy: 0=100, 1=80, 2=50, 3=20, 4 o más=0.</t>
  </si>
  <si>
    <t>Visitas fuera de PDV para nota 0</t>
  </si>
  <si>
    <t>Visitas lejos del cliente que llevan la nota a 0.</t>
  </si>
  <si>
    <t>Hoy: ≤2=100, 5=70, 10=40, 17 o más=0.</t>
  </si>
  <si>
    <t>Ritmo — tolerancia para nota 100</t>
  </si>
  <si>
    <t>Desvío del tiempo por visita contra la mediana del grupo que aún da 100.</t>
  </si>
  <si>
    <t>Hoy ±25 % = 100; ±50 % = 60.</t>
  </si>
  <si>
    <t>D. Refrescos, canal y seguridad</t>
  </si>
  <si>
    <t>Home</t>
  </si>
  <si>
    <t>Refresco automático</t>
  </si>
  <si>
    <t>Cada cuántos segundos se recarga el tablero.</t>
  </si>
  <si>
    <t>segundos</t>
  </si>
  <si>
    <t>Hoy 60.</t>
  </si>
  <si>
    <t>Cada cuántos segundos se recarga.</t>
  </si>
  <si>
    <t>Hoy 300 (5 min).</t>
  </si>
  <si>
    <t>Torre de Control</t>
  </si>
  <si>
    <t>Cada cuántos segundos se recarga el monitor.</t>
  </si>
  <si>
    <t>Hoy 180 (3 min).</t>
  </si>
  <si>
    <t>Torre de Control. Fijo en código (hoy no se edita en pantalla). Anotar el valor deseado equivale a solicitar el cambio.</t>
  </si>
  <si>
    <t>Refresco «Del Día»</t>
  </si>
  <si>
    <t>Cada cuántos segundos se vuelve a pedir el dato.</t>
  </si>
  <si>
    <t>Hoy 120 (2 min).</t>
  </si>
  <si>
    <t>General</t>
  </si>
  <si>
    <t>Canal excluido por defecto (código de canal)</t>
  </si>
  <si>
    <t>Canal que se excluye de los reportes de presupuesto cuando no se filtra canal (Institucional).</t>
  </si>
  <si>
    <t>código</t>
  </si>
  <si>
    <t>Hoy 7000 (Institucional).</t>
  </si>
  <si>
    <t>Varios módulos. Fijo en código (hoy no se edita en pantalla). Anotar el valor deseado equivale a solicitar el cambio.</t>
  </si>
  <si>
    <t>Seguridad</t>
  </si>
  <si>
    <t>Inactividad antes de cerrar la sesión</t>
  </si>
  <si>
    <t>Horas sin actividad para cerrar la sesión.</t>
  </si>
  <si>
    <t>Hoy 8.</t>
  </si>
  <si>
    <t>Program.cs. Fijo en código (hoy no se edita en pantalla). Anotar el valor deseado equivale a solicitar el cambio.</t>
  </si>
  <si>
    <t>Intentos fallidos de ingreso</t>
  </si>
  <si>
    <t>Intentos antes de bloquear el acceso.</t>
  </si>
  <si>
    <t>intentos</t>
  </si>
  <si>
    <t>Hoy 5.</t>
  </si>
  <si>
    <t>AccountController. Fijo en código (hoy no se edita en pantalla). Anotar el valor deseado equivale a solicitar el cambio.</t>
  </si>
  <si>
    <t>Minutos de bloqueo tras intentos fallidos</t>
  </si>
  <si>
    <t>Minutos de espera después de bloquear.</t>
  </si>
  <si>
    <t>Hoy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</si>
</sst>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1C2F6E"/>
      <name val="Arial"/>
      <family val="2"/>
    </font>
    <font>
      <i/>
      <sz val="10"/>
      <color rgb="FF5B6675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10"/>
      <color rgb="FF9C5700"/>
      <name val="Arial"/>
      <family val="2"/>
    </font>
    <font>
      <i/>
      <sz val="9"/>
      <color rgb="FF9C57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C2F6E"/>
      </patternFill>
    </fill>
    <fill>
      <patternFill patternType="solid">
        <fgColor rgb="FFFFFF99"/>
      </patternFill>
    </fill>
    <fill>
      <patternFill patternType="solid">
        <fgColor rgb="FFF2F4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top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 vertical="top" wrapText="1"/>
    </xf>
    <xf numFmtId="0" fontId="4" fillId="0" borderId="0" xfId="0" applyFont="1"/>
    <xf numFmtId="166" fontId="4" fillId="0" borderId="0" xfId="0" applyNumberFormat="1" applyFont="1"/>
    <xf numFmtId="0" fontId="10" fillId="0" borderId="0" xfId="0" applyFont="1"/>
    <xf numFmtId="0" fontId="4" fillId="8" borderId="0" xfId="0" applyFont="1" applyFill="1"/>
    <xf numFmtId="0" fontId="0" fillId="8" borderId="0" xfId="0" applyFill="1"/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8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horizontal="center" vertical="top" wrapText="1"/>
    </xf>
    <xf numFmtId="165" fontId="6" fillId="3" borderId="1" xfId="0" applyNumberFormat="1" applyFont="1" applyFill="1" applyBorder="1" applyAlignment="1">
      <alignment horizontal="center" vertical="top" wrapText="1"/>
    </xf>
    <xf numFmtId="9" fontId="5" fillId="4" borderId="1" xfId="0" applyNumberFormat="1" applyFont="1" applyFill="1" applyBorder="1" applyAlignment="1">
      <alignment horizontal="center" vertical="top" wrapText="1"/>
    </xf>
    <xf numFmtId="9" fontId="6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27"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font>
        <b/>
        <color rgb="FF9C5700"/>
        <name val="Arial"/>
      </font>
      <fill>
        <patternFill patternType="solid">
          <bgColor rgb="FFFFEB9C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2"/>
  <sheetViews>
    <sheetView showGridLines="0" topLeftCell="A48" workbookViewId="0">
      <selection activeCell="B62" sqref="B62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112" customWidth="1"/>
  </cols>
  <sheetData>
    <row r="2" spans="2:3" ht="21" x14ac:dyDescent="0.4">
      <c r="B2" s="1" t="s">
        <v>0</v>
      </c>
    </row>
    <row r="3" spans="2:3" x14ac:dyDescent="0.3">
      <c r="B3" s="2" t="s">
        <v>1</v>
      </c>
    </row>
    <row r="5" spans="2:3" x14ac:dyDescent="0.3">
      <c r="B5" s="3" t="s">
        <v>2</v>
      </c>
      <c r="C5" s="4"/>
    </row>
    <row r="6" spans="2:3" ht="40.5" customHeight="1" x14ac:dyDescent="0.3">
      <c r="B6" s="5" t="s">
        <v>3</v>
      </c>
      <c r="C6" s="6" t="s">
        <v>4</v>
      </c>
    </row>
    <row r="7" spans="2:3" ht="27" customHeight="1" x14ac:dyDescent="0.3">
      <c r="B7" s="5" t="s">
        <v>5</v>
      </c>
      <c r="C7" s="6" t="s">
        <v>6</v>
      </c>
    </row>
    <row r="8" spans="2:3" ht="27" customHeight="1" x14ac:dyDescent="0.3">
      <c r="B8" s="5" t="s">
        <v>7</v>
      </c>
      <c r="C8" s="6" t="s">
        <v>8</v>
      </c>
    </row>
    <row r="10" spans="2:3" x14ac:dyDescent="0.3">
      <c r="B10" s="3" t="s">
        <v>9</v>
      </c>
      <c r="C10" s="4"/>
    </row>
    <row r="11" spans="2:3" ht="27" customHeight="1" x14ac:dyDescent="0.3">
      <c r="B11" s="5" t="s">
        <v>10</v>
      </c>
      <c r="C11" s="6" t="s">
        <v>11</v>
      </c>
    </row>
    <row r="12" spans="2:3" ht="27" customHeight="1" x14ac:dyDescent="0.3">
      <c r="B12" s="5" t="s">
        <v>12</v>
      </c>
      <c r="C12" s="6" t="s">
        <v>13</v>
      </c>
    </row>
    <row r="13" spans="2:3" ht="27" customHeight="1" x14ac:dyDescent="0.3">
      <c r="B13" s="5" t="s">
        <v>14</v>
      </c>
      <c r="C13" s="6" t="s">
        <v>15</v>
      </c>
    </row>
    <row r="14" spans="2:3" ht="40.5" customHeight="1" x14ac:dyDescent="0.3">
      <c r="B14" s="5" t="s">
        <v>16</v>
      </c>
      <c r="C14" s="6" t="s">
        <v>17</v>
      </c>
    </row>
    <row r="15" spans="2:3" ht="27" customHeight="1" x14ac:dyDescent="0.3">
      <c r="B15" s="5" t="s">
        <v>18</v>
      </c>
      <c r="C15" s="6" t="s">
        <v>19</v>
      </c>
    </row>
    <row r="16" spans="2:3" ht="27" customHeight="1" x14ac:dyDescent="0.3">
      <c r="B16" s="5" t="s">
        <v>20</v>
      </c>
      <c r="C16" s="6" t="s">
        <v>21</v>
      </c>
    </row>
    <row r="18" spans="2:3" x14ac:dyDescent="0.3">
      <c r="B18" s="3" t="s">
        <v>22</v>
      </c>
      <c r="C18" s="4"/>
    </row>
    <row r="19" spans="2:3" ht="15" customHeight="1" x14ac:dyDescent="0.3">
      <c r="B19" s="5" t="s">
        <v>23</v>
      </c>
      <c r="C19" s="6" t="s">
        <v>24</v>
      </c>
    </row>
    <row r="20" spans="2:3" ht="15" customHeight="1" x14ac:dyDescent="0.3">
      <c r="B20" s="5" t="s">
        <v>25</v>
      </c>
      <c r="C20" s="6" t="s">
        <v>26</v>
      </c>
    </row>
    <row r="21" spans="2:3" ht="27" customHeight="1" x14ac:dyDescent="0.3">
      <c r="B21" s="5" t="s">
        <v>27</v>
      </c>
      <c r="C21" s="6" t="s">
        <v>28</v>
      </c>
    </row>
    <row r="22" spans="2:3" ht="15" customHeight="1" x14ac:dyDescent="0.3">
      <c r="B22" s="5" t="s">
        <v>29</v>
      </c>
      <c r="C22" s="6" t="s">
        <v>30</v>
      </c>
    </row>
    <row r="23" spans="2:3" ht="15" customHeight="1" x14ac:dyDescent="0.3">
      <c r="B23" s="5" t="s">
        <v>31</v>
      </c>
      <c r="C23" s="6" t="s">
        <v>32</v>
      </c>
    </row>
    <row r="24" spans="2:3" ht="27" customHeight="1" x14ac:dyDescent="0.3">
      <c r="B24" s="5" t="s">
        <v>33</v>
      </c>
      <c r="C24" s="6" t="s">
        <v>34</v>
      </c>
    </row>
    <row r="25" spans="2:3" ht="40.5" customHeight="1" x14ac:dyDescent="0.3">
      <c r="B25" s="5" t="s">
        <v>35</v>
      </c>
      <c r="C25" s="6" t="s">
        <v>36</v>
      </c>
    </row>
    <row r="26" spans="2:3" ht="27" customHeight="1" x14ac:dyDescent="0.3">
      <c r="B26" s="5" t="s">
        <v>37</v>
      </c>
      <c r="C26" s="6" t="s">
        <v>38</v>
      </c>
    </row>
    <row r="27" spans="2:3" ht="54" customHeight="1" x14ac:dyDescent="0.3">
      <c r="B27" s="5" t="s">
        <v>39</v>
      </c>
      <c r="C27" s="6" t="s">
        <v>40</v>
      </c>
    </row>
    <row r="29" spans="2:3" x14ac:dyDescent="0.3">
      <c r="B29" s="3" t="s">
        <v>41</v>
      </c>
      <c r="C29" s="4"/>
    </row>
    <row r="30" spans="2:3" ht="27" customHeight="1" x14ac:dyDescent="0.3">
      <c r="B30" s="5" t="s">
        <v>42</v>
      </c>
      <c r="C30" s="6" t="s">
        <v>43</v>
      </c>
    </row>
    <row r="31" spans="2:3" ht="40.5" customHeight="1" x14ac:dyDescent="0.3">
      <c r="B31" s="5" t="s">
        <v>44</v>
      </c>
      <c r="C31" s="6" t="s">
        <v>45</v>
      </c>
    </row>
    <row r="32" spans="2:3" ht="27" customHeight="1" x14ac:dyDescent="0.3">
      <c r="B32" s="5" t="s">
        <v>46</v>
      </c>
      <c r="C32" s="6" t="s">
        <v>47</v>
      </c>
    </row>
    <row r="33" spans="2:3" ht="27" customHeight="1" x14ac:dyDescent="0.3">
      <c r="B33" s="5" t="s">
        <v>48</v>
      </c>
      <c r="C33" s="6" t="s">
        <v>49</v>
      </c>
    </row>
    <row r="34" spans="2:3" ht="40.5" customHeight="1" x14ac:dyDescent="0.3">
      <c r="B34" s="5" t="s">
        <v>50</v>
      </c>
      <c r="C34" s="6" t="s">
        <v>51</v>
      </c>
    </row>
    <row r="35" spans="2:3" ht="27" customHeight="1" x14ac:dyDescent="0.3">
      <c r="B35" s="5" t="s">
        <v>52</v>
      </c>
      <c r="C35" s="6" t="s">
        <v>53</v>
      </c>
    </row>
    <row r="37" spans="2:3" x14ac:dyDescent="0.3">
      <c r="B37" s="3" t="s">
        <v>54</v>
      </c>
      <c r="C37" s="4"/>
    </row>
    <row r="38" spans="2:3" ht="15" customHeight="1" x14ac:dyDescent="0.3">
      <c r="B38" s="5" t="s">
        <v>55</v>
      </c>
      <c r="C38" s="6" t="s">
        <v>56</v>
      </c>
    </row>
    <row r="39" spans="2:3" ht="15" customHeight="1" x14ac:dyDescent="0.3">
      <c r="B39" s="5" t="s">
        <v>57</v>
      </c>
      <c r="C39" s="6" t="s">
        <v>58</v>
      </c>
    </row>
    <row r="40" spans="2:3" ht="27" customHeight="1" x14ac:dyDescent="0.3">
      <c r="B40" s="5" t="s">
        <v>59</v>
      </c>
      <c r="C40" s="6" t="s">
        <v>60</v>
      </c>
    </row>
    <row r="41" spans="2:3" ht="27" customHeight="1" x14ac:dyDescent="0.3">
      <c r="B41" s="5" t="s">
        <v>61</v>
      </c>
      <c r="C41" s="6" t="s">
        <v>62</v>
      </c>
    </row>
    <row r="42" spans="2:3" ht="15" customHeight="1" x14ac:dyDescent="0.3">
      <c r="B42" s="5" t="s">
        <v>63</v>
      </c>
      <c r="C42" s="6" t="s">
        <v>64</v>
      </c>
    </row>
    <row r="43" spans="2:3" ht="15" customHeight="1" x14ac:dyDescent="0.3">
      <c r="B43" s="5" t="s">
        <v>65</v>
      </c>
      <c r="C43" s="6" t="s">
        <v>66</v>
      </c>
    </row>
    <row r="44" spans="2:3" ht="27" customHeight="1" x14ac:dyDescent="0.3">
      <c r="B44" s="5" t="s">
        <v>67</v>
      </c>
      <c r="C44" s="6" t="s">
        <v>68</v>
      </c>
    </row>
    <row r="45" spans="2:3" ht="15" customHeight="1" x14ac:dyDescent="0.3">
      <c r="B45" s="5" t="s">
        <v>69</v>
      </c>
      <c r="C45" s="6" t="s">
        <v>70</v>
      </c>
    </row>
    <row r="46" spans="2:3" ht="15" customHeight="1" x14ac:dyDescent="0.3">
      <c r="B46" s="5" t="s">
        <v>71</v>
      </c>
      <c r="C46" s="6" t="s">
        <v>72</v>
      </c>
    </row>
    <row r="47" spans="2:3" ht="15" customHeight="1" x14ac:dyDescent="0.3">
      <c r="B47" s="5" t="s">
        <v>73</v>
      </c>
      <c r="C47" s="6" t="s">
        <v>74</v>
      </c>
    </row>
    <row r="48" spans="2:3" ht="15" customHeight="1" x14ac:dyDescent="0.3">
      <c r="B48" s="5" t="s">
        <v>75</v>
      </c>
      <c r="C48" s="6" t="s">
        <v>76</v>
      </c>
    </row>
    <row r="50" spans="2:3" x14ac:dyDescent="0.3">
      <c r="B50" s="3" t="s">
        <v>77</v>
      </c>
      <c r="C50" s="4"/>
    </row>
    <row r="51" spans="2:3" ht="28.05" customHeight="1" x14ac:dyDescent="0.3">
      <c r="B51" s="7" t="s">
        <v>78</v>
      </c>
      <c r="C51" s="6" t="s">
        <v>79</v>
      </c>
    </row>
    <row r="52" spans="2:3" ht="28.05" customHeight="1" x14ac:dyDescent="0.3">
      <c r="B52" s="8" t="s">
        <v>80</v>
      </c>
      <c r="C52" s="6" t="s">
        <v>81</v>
      </c>
    </row>
    <row r="53" spans="2:3" ht="28.05" customHeight="1" x14ac:dyDescent="0.3">
      <c r="B53" s="9" t="s">
        <v>82</v>
      </c>
      <c r="C53" s="6" t="s">
        <v>83</v>
      </c>
    </row>
    <row r="54" spans="2:3" ht="28.05" customHeight="1" x14ac:dyDescent="0.3">
      <c r="B54" s="10" t="s">
        <v>84</v>
      </c>
      <c r="C54" s="6" t="s">
        <v>85</v>
      </c>
    </row>
    <row r="55" spans="2:3" ht="28.05" customHeight="1" x14ac:dyDescent="0.3">
      <c r="B55" s="11" t="s">
        <v>86</v>
      </c>
      <c r="C55" s="6" t="s">
        <v>87</v>
      </c>
    </row>
    <row r="57" spans="2:3" x14ac:dyDescent="0.3">
      <c r="B57" s="3" t="s">
        <v>88</v>
      </c>
      <c r="C57" s="4"/>
    </row>
    <row r="58" spans="2:3" ht="27" customHeight="1" x14ac:dyDescent="0.3">
      <c r="B58" s="5" t="s">
        <v>89</v>
      </c>
      <c r="C58" s="6" t="s">
        <v>90</v>
      </c>
    </row>
    <row r="59" spans="2:3" ht="15" customHeight="1" x14ac:dyDescent="0.3">
      <c r="B59" s="5" t="s">
        <v>91</v>
      </c>
      <c r="C59" s="6" t="s">
        <v>92</v>
      </c>
    </row>
    <row r="60" spans="2:3" ht="15" customHeight="1" x14ac:dyDescent="0.3">
      <c r="B60" s="5" t="s">
        <v>93</v>
      </c>
      <c r="C60" s="6" t="s">
        <v>94</v>
      </c>
    </row>
    <row r="61" spans="2:3" ht="15" customHeight="1" x14ac:dyDescent="0.3">
      <c r="B61" s="5" t="s">
        <v>95</v>
      </c>
      <c r="C61" s="6" t="s">
        <v>96</v>
      </c>
    </row>
    <row r="62" spans="2:3" ht="15" customHeight="1" x14ac:dyDescent="0.3">
      <c r="B62" s="5" t="s">
        <v>97</v>
      </c>
      <c r="C62" s="6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34" customWidth="1"/>
    <col min="3" max="3" width="56" customWidth="1"/>
    <col min="4" max="4" width="62" customWidth="1"/>
  </cols>
  <sheetData>
    <row r="2" spans="2:4" ht="21" x14ac:dyDescent="0.4">
      <c r="B2" s="1" t="s">
        <v>55</v>
      </c>
    </row>
    <row r="3" spans="2:4" x14ac:dyDescent="0.3">
      <c r="B3" s="2" t="s">
        <v>99</v>
      </c>
    </row>
    <row r="5" spans="2:4" x14ac:dyDescent="0.3">
      <c r="B5" s="12" t="s">
        <v>100</v>
      </c>
      <c r="C5" s="12" t="s">
        <v>101</v>
      </c>
      <c r="D5" s="12" t="s">
        <v>102</v>
      </c>
    </row>
    <row r="6" spans="2:4" ht="30" customHeight="1" x14ac:dyDescent="0.3">
      <c r="B6" s="5" t="s">
        <v>103</v>
      </c>
      <c r="C6" s="13"/>
      <c r="D6" s="14" t="s">
        <v>104</v>
      </c>
    </row>
    <row r="7" spans="2:4" ht="30" customHeight="1" x14ac:dyDescent="0.3">
      <c r="B7" s="5" t="s">
        <v>105</v>
      </c>
      <c r="C7" s="13"/>
      <c r="D7" s="14" t="s">
        <v>106</v>
      </c>
    </row>
    <row r="8" spans="2:4" ht="30" customHeight="1" x14ac:dyDescent="0.3">
      <c r="B8" s="5" t="s">
        <v>107</v>
      </c>
      <c r="C8" s="13"/>
      <c r="D8" s="14" t="s">
        <v>108</v>
      </c>
    </row>
    <row r="9" spans="2:4" ht="30" customHeight="1" x14ac:dyDescent="0.3">
      <c r="B9" s="5" t="s">
        <v>109</v>
      </c>
      <c r="C9" s="13"/>
      <c r="D9" s="14" t="s">
        <v>110</v>
      </c>
    </row>
    <row r="10" spans="2:4" ht="30" customHeight="1" x14ac:dyDescent="0.3">
      <c r="B10" s="5" t="s">
        <v>111</v>
      </c>
      <c r="C10" s="15"/>
      <c r="D10" s="14" t="s">
        <v>112</v>
      </c>
    </row>
    <row r="11" spans="2:4" ht="30" customHeight="1" x14ac:dyDescent="0.3">
      <c r="B11" s="5" t="s">
        <v>113</v>
      </c>
      <c r="C11" s="13"/>
      <c r="D11" s="14" t="s">
        <v>114</v>
      </c>
    </row>
    <row r="12" spans="2:4" ht="30" customHeight="1" x14ac:dyDescent="0.3">
      <c r="B12" s="5" t="s">
        <v>115</v>
      </c>
      <c r="C12" s="13"/>
      <c r="D12" s="14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7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44" customWidth="1"/>
    <col min="3" max="6" width="16" customWidth="1"/>
  </cols>
  <sheetData>
    <row r="2" spans="2:6" ht="21" x14ac:dyDescent="0.4">
      <c r="B2" s="1" t="s">
        <v>117</v>
      </c>
    </row>
    <row r="3" spans="2:6" x14ac:dyDescent="0.3">
      <c r="B3" s="2" t="s">
        <v>118</v>
      </c>
    </row>
    <row r="5" spans="2:6" x14ac:dyDescent="0.3">
      <c r="B5" s="12" t="s">
        <v>119</v>
      </c>
      <c r="C5" s="12" t="s">
        <v>120</v>
      </c>
      <c r="D5" s="12" t="s">
        <v>121</v>
      </c>
      <c r="E5" s="12" t="s">
        <v>122</v>
      </c>
      <c r="F5" s="12" t="s">
        <v>123</v>
      </c>
    </row>
    <row r="6" spans="2:6" x14ac:dyDescent="0.3">
      <c r="B6" s="16" t="s">
        <v>59</v>
      </c>
      <c r="C6" s="17">
        <f>COUNTA('1 AMCO-GT'!C6:C40)</f>
        <v>28</v>
      </c>
      <c r="D6" s="17">
        <f>COUNTIF('1 AMCO-GT'!K6:K40,"OK")</f>
        <v>0</v>
      </c>
      <c r="E6" s="17">
        <f>COUNTIF('1 AMCO-GT'!K6:K40,"Pendiente")</f>
        <v>28</v>
      </c>
      <c r="F6" s="17">
        <f>COUNTIF('1 AMCO-GT'!K6:K40,"Fuera de rango")</f>
        <v>0</v>
      </c>
    </row>
    <row r="7" spans="2:6" x14ac:dyDescent="0.3">
      <c r="B7" s="16" t="s">
        <v>61</v>
      </c>
      <c r="C7" s="17">
        <f>COUNTA('2 Torre de Control'!C6:C48)</f>
        <v>41</v>
      </c>
      <c r="D7" s="17">
        <f>COUNTIF('2 Torre de Control'!K6:K48,"OK")</f>
        <v>0</v>
      </c>
      <c r="E7" s="17">
        <f>COUNTIF('2 Torre de Control'!K6:K48,"Pendiente")</f>
        <v>41</v>
      </c>
      <c r="F7" s="17">
        <f>COUNTIF('2 Torre de Control'!K6:K48,"Fuera de rango")</f>
        <v>0</v>
      </c>
    </row>
    <row r="8" spans="2:6" x14ac:dyDescent="0.3">
      <c r="B8" s="16" t="s">
        <v>63</v>
      </c>
      <c r="C8" s="17">
        <f>COUNTA('3 Geolocalizaciones'!C6:C12)</f>
        <v>5</v>
      </c>
      <c r="D8" s="17">
        <f>COUNTIF('3 Geolocalizaciones'!K6:K12,"OK")</f>
        <v>0</v>
      </c>
      <c r="E8" s="17">
        <f>COUNTIF('3 Geolocalizaciones'!K6:K12,"Pendiente")</f>
        <v>5</v>
      </c>
      <c r="F8" s="17">
        <f>COUNTIF('3 Geolocalizaciones'!K6:K12,"Fuera de rango")</f>
        <v>0</v>
      </c>
    </row>
    <row r="9" spans="2:6" x14ac:dyDescent="0.3">
      <c r="B9" s="16" t="s">
        <v>65</v>
      </c>
      <c r="C9" s="17">
        <f>COUNTA('4 Home-Visitas'!C6:C7)</f>
        <v>2</v>
      </c>
      <c r="D9" s="17">
        <f>COUNTIF('4 Home-Visitas'!K6:K7,"OK")</f>
        <v>0</v>
      </c>
      <c r="E9" s="17">
        <f>COUNTIF('4 Home-Visitas'!K6:K7,"Pendiente")</f>
        <v>2</v>
      </c>
      <c r="F9" s="17">
        <f>COUNTIF('4 Home-Visitas'!K6:K7,"Fuera de rango")</f>
        <v>0</v>
      </c>
    </row>
    <row r="10" spans="2:6" x14ac:dyDescent="0.3">
      <c r="B10" s="16" t="s">
        <v>67</v>
      </c>
      <c r="C10" s="17">
        <f>COUNTA('5 Supervisión'!C6:C45)</f>
        <v>34</v>
      </c>
      <c r="D10" s="17">
        <f>COUNTIF('5 Supervisión'!K6:K45,"OK")</f>
        <v>0</v>
      </c>
      <c r="E10" s="17">
        <f>COUNTIF('5 Supervisión'!K6:K45,"Pendiente")</f>
        <v>34</v>
      </c>
      <c r="F10" s="17">
        <f>COUNTIF('5 Supervisión'!K6:K45,"Fuera de rango")</f>
        <v>0</v>
      </c>
    </row>
    <row r="11" spans="2:6" x14ac:dyDescent="0.3">
      <c r="B11" s="16" t="s">
        <v>69</v>
      </c>
      <c r="C11" s="17">
        <f>COUNTA('6 Presupuesto-Gestión'!C6:C21)</f>
        <v>14</v>
      </c>
      <c r="D11" s="17">
        <f>COUNTIF('6 Presupuesto-Gestión'!K6:K21,"OK")</f>
        <v>0</v>
      </c>
      <c r="E11" s="17">
        <f>COUNTIF('6 Presupuesto-Gestión'!K6:K21,"Pendiente")</f>
        <v>14</v>
      </c>
      <c r="F11" s="17">
        <f>COUNTIF('6 Presupuesto-Gestión'!K6:K21,"Fuera de rango")</f>
        <v>0</v>
      </c>
    </row>
    <row r="12" spans="2:6" x14ac:dyDescent="0.3">
      <c r="B12" s="16" t="s">
        <v>71</v>
      </c>
      <c r="C12" s="17">
        <f>COUNTA('6b Metas de activación'!B6:B48)</f>
        <v>31</v>
      </c>
      <c r="D12" s="17">
        <f>COUNTIF('6b Metas de activación'!I6:I48,"OK")</f>
        <v>0</v>
      </c>
      <c r="E12" s="17">
        <f>COUNTIF('6b Metas de activación'!I6:I48,"Pendiente")</f>
        <v>43</v>
      </c>
      <c r="F12" s="17">
        <f>COUNTIF('6b Metas de activación'!I6:I48,"Fuera de rango")</f>
        <v>0</v>
      </c>
    </row>
    <row r="13" spans="2:6" x14ac:dyDescent="0.3">
      <c r="B13" s="16" t="s">
        <v>73</v>
      </c>
      <c r="C13" s="17">
        <f>COUNTA('7 Reportes y envíos'!C6:C9)</f>
        <v>4</v>
      </c>
      <c r="D13" s="17">
        <f>COUNTIF('7 Reportes y envíos'!K6:K9,"OK")</f>
        <v>0</v>
      </c>
      <c r="E13" s="17">
        <f>COUNTIF('7 Reportes y envíos'!K6:K9,"Pendiente")</f>
        <v>4</v>
      </c>
      <c r="F13" s="17">
        <f>COUNTIF('7 Reportes y envíos'!K6:K9,"Fuera de rango")</f>
        <v>0</v>
      </c>
    </row>
    <row r="14" spans="2:6" x14ac:dyDescent="0.3">
      <c r="B14" s="16" t="s">
        <v>75</v>
      </c>
      <c r="C14" s="17">
        <f>COUNTA('8 Fijos en código'!C6:C43)</f>
        <v>34</v>
      </c>
      <c r="D14" s="17">
        <f>COUNTIF('8 Fijos en código'!K6:K43,"OK")</f>
        <v>0</v>
      </c>
      <c r="E14" s="17">
        <f>COUNTIF('8 Fijos en código'!K6:K43,"Pendiente")</f>
        <v>34</v>
      </c>
      <c r="F14" s="17">
        <f>COUNTIF('8 Fijos en código'!K6:K43,"Fuera de rango")</f>
        <v>0</v>
      </c>
    </row>
    <row r="15" spans="2:6" x14ac:dyDescent="0.3">
      <c r="B15" s="18" t="s">
        <v>124</v>
      </c>
      <c r="C15" s="19">
        <f>SUM(C6:C14)</f>
        <v>193</v>
      </c>
      <c r="D15" s="19">
        <f>SUM(D6:D14)</f>
        <v>0</v>
      </c>
      <c r="E15" s="19">
        <f>SUM(E6:E14)</f>
        <v>205</v>
      </c>
      <c r="F15" s="19">
        <f>SUM(F6:F14)</f>
        <v>0</v>
      </c>
    </row>
    <row r="17" spans="2:3" x14ac:dyDescent="0.3">
      <c r="B17" s="20" t="s">
        <v>125</v>
      </c>
      <c r="C17" s="21">
        <f>IF(C15=0,0,D15/C15)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G8" sqref="G8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126</v>
      </c>
    </row>
    <row r="2" spans="1:13" x14ac:dyDescent="0.3">
      <c r="A2" s="2" t="s">
        <v>127</v>
      </c>
    </row>
    <row r="3" spans="1:13" x14ac:dyDescent="0.3">
      <c r="A3" s="22" t="s">
        <v>128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x14ac:dyDescent="0.3">
      <c r="A6" s="23" t="s">
        <v>138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39.6" customHeight="1" x14ac:dyDescent="0.3">
      <c r="A7" s="17">
        <v>1</v>
      </c>
      <c r="B7" s="14" t="s">
        <v>139</v>
      </c>
      <c r="C7" s="25" t="s">
        <v>140</v>
      </c>
      <c r="D7" s="14" t="s">
        <v>141</v>
      </c>
      <c r="E7" s="8" t="s">
        <v>142</v>
      </c>
      <c r="F7" s="8">
        <v>30</v>
      </c>
      <c r="G7" s="7"/>
      <c r="H7" s="8">
        <v>0</v>
      </c>
      <c r="I7" s="8">
        <v>100</v>
      </c>
      <c r="J7" s="8" t="s">
        <v>143</v>
      </c>
      <c r="K7" s="26" t="str">
        <f t="shared" ref="K7:K13" si="0">IF(G7="","Pendiente",IF(AND(ISNUMBER(G7),G7&gt;=H7,G7&lt;=I7),"OK","Fuera de rango"))</f>
        <v>Pendiente</v>
      </c>
      <c r="L7" s="14" t="s">
        <v>144</v>
      </c>
      <c r="M7" s="14" t="s">
        <v>145</v>
      </c>
    </row>
    <row r="8" spans="1:13" ht="39.6" customHeight="1" x14ac:dyDescent="0.3">
      <c r="A8" s="17">
        <v>2</v>
      </c>
      <c r="B8" s="14" t="s">
        <v>139</v>
      </c>
      <c r="C8" s="25" t="s">
        <v>146</v>
      </c>
      <c r="D8" s="14" t="s">
        <v>147</v>
      </c>
      <c r="E8" s="8" t="s">
        <v>142</v>
      </c>
      <c r="F8" s="8">
        <v>20</v>
      </c>
      <c r="G8" s="7"/>
      <c r="H8" s="8">
        <v>0</v>
      </c>
      <c r="I8" s="8">
        <v>100</v>
      </c>
      <c r="J8" s="8" t="s">
        <v>143</v>
      </c>
      <c r="K8" s="26" t="str">
        <f t="shared" si="0"/>
        <v>Pendiente</v>
      </c>
      <c r="L8" s="14" t="s">
        <v>148</v>
      </c>
      <c r="M8" s="14" t="s">
        <v>145</v>
      </c>
    </row>
    <row r="9" spans="1:13" ht="39.6" customHeight="1" x14ac:dyDescent="0.3">
      <c r="A9" s="17">
        <v>3</v>
      </c>
      <c r="B9" s="14" t="s">
        <v>139</v>
      </c>
      <c r="C9" s="25" t="s">
        <v>149</v>
      </c>
      <c r="D9" s="14" t="s">
        <v>150</v>
      </c>
      <c r="E9" s="8" t="s">
        <v>142</v>
      </c>
      <c r="F9" s="8">
        <v>10</v>
      </c>
      <c r="G9" s="7"/>
      <c r="H9" s="8">
        <v>0</v>
      </c>
      <c r="I9" s="8">
        <v>100</v>
      </c>
      <c r="J9" s="8" t="s">
        <v>143</v>
      </c>
      <c r="K9" s="26" t="str">
        <f t="shared" si="0"/>
        <v>Pendiente</v>
      </c>
      <c r="L9" s="14" t="s">
        <v>151</v>
      </c>
      <c r="M9" s="14" t="s">
        <v>145</v>
      </c>
    </row>
    <row r="10" spans="1:13" ht="39.6" customHeight="1" x14ac:dyDescent="0.3">
      <c r="A10" s="17">
        <v>4</v>
      </c>
      <c r="B10" s="14" t="s">
        <v>139</v>
      </c>
      <c r="C10" s="25" t="s">
        <v>152</v>
      </c>
      <c r="D10" s="14" t="s">
        <v>153</v>
      </c>
      <c r="E10" s="8" t="s">
        <v>142</v>
      </c>
      <c r="F10" s="8">
        <v>10</v>
      </c>
      <c r="G10" s="7"/>
      <c r="H10" s="8">
        <v>0</v>
      </c>
      <c r="I10" s="8">
        <v>100</v>
      </c>
      <c r="J10" s="8" t="s">
        <v>143</v>
      </c>
      <c r="K10" s="26" t="str">
        <f t="shared" si="0"/>
        <v>Pendiente</v>
      </c>
      <c r="L10" s="14" t="s">
        <v>154</v>
      </c>
      <c r="M10" s="14" t="s">
        <v>145</v>
      </c>
    </row>
    <row r="11" spans="1:13" ht="39.6" customHeight="1" x14ac:dyDescent="0.3">
      <c r="A11" s="17">
        <v>5</v>
      </c>
      <c r="B11" s="14" t="s">
        <v>139</v>
      </c>
      <c r="C11" s="25" t="s">
        <v>155</v>
      </c>
      <c r="D11" s="14" t="s">
        <v>156</v>
      </c>
      <c r="E11" s="8" t="s">
        <v>142</v>
      </c>
      <c r="F11" s="8">
        <v>10</v>
      </c>
      <c r="G11" s="7"/>
      <c r="H11" s="8">
        <v>0</v>
      </c>
      <c r="I11" s="8">
        <v>100</v>
      </c>
      <c r="J11" s="8" t="s">
        <v>143</v>
      </c>
      <c r="K11" s="26" t="str">
        <f t="shared" si="0"/>
        <v>Pendiente</v>
      </c>
      <c r="L11" s="14" t="s">
        <v>157</v>
      </c>
      <c r="M11" s="14" t="s">
        <v>145</v>
      </c>
    </row>
    <row r="12" spans="1:13" ht="39.6" customHeight="1" x14ac:dyDescent="0.3">
      <c r="A12" s="17">
        <v>6</v>
      </c>
      <c r="B12" s="14" t="s">
        <v>139</v>
      </c>
      <c r="C12" s="25" t="s">
        <v>158</v>
      </c>
      <c r="D12" s="14" t="s">
        <v>159</v>
      </c>
      <c r="E12" s="8" t="s">
        <v>142</v>
      </c>
      <c r="F12" s="8">
        <v>10</v>
      </c>
      <c r="G12" s="7"/>
      <c r="H12" s="8">
        <v>0</v>
      </c>
      <c r="I12" s="8">
        <v>100</v>
      </c>
      <c r="J12" s="8" t="s">
        <v>143</v>
      </c>
      <c r="K12" s="26" t="str">
        <f t="shared" si="0"/>
        <v>Pendiente</v>
      </c>
      <c r="L12" s="14" t="s">
        <v>160</v>
      </c>
      <c r="M12" s="14" t="s">
        <v>145</v>
      </c>
    </row>
    <row r="13" spans="1:13" ht="39.6" customHeight="1" x14ac:dyDescent="0.3">
      <c r="A13" s="17">
        <v>7</v>
      </c>
      <c r="B13" s="14" t="s">
        <v>139</v>
      </c>
      <c r="C13" s="25" t="s">
        <v>161</v>
      </c>
      <c r="D13" s="14" t="s">
        <v>162</v>
      </c>
      <c r="E13" s="8" t="s">
        <v>142</v>
      </c>
      <c r="F13" s="8">
        <v>10</v>
      </c>
      <c r="G13" s="7"/>
      <c r="H13" s="8">
        <v>0</v>
      </c>
      <c r="I13" s="8">
        <v>100</v>
      </c>
      <c r="J13" s="8" t="s">
        <v>143</v>
      </c>
      <c r="K13" s="26" t="str">
        <f t="shared" si="0"/>
        <v>Pendiente</v>
      </c>
      <c r="L13" s="14" t="s">
        <v>163</v>
      </c>
      <c r="M13" s="14" t="s">
        <v>145</v>
      </c>
    </row>
    <row r="14" spans="1:13" ht="30" customHeight="1" x14ac:dyDescent="0.3">
      <c r="A14" s="19"/>
      <c r="B14" s="27"/>
      <c r="C14" s="27" t="s">
        <v>164</v>
      </c>
      <c r="D14" s="27" t="s">
        <v>165</v>
      </c>
      <c r="E14" s="19" t="s">
        <v>142</v>
      </c>
      <c r="F14" s="19">
        <v>100</v>
      </c>
      <c r="G14" s="19">
        <f>SUM(G7:G13)</f>
        <v>0</v>
      </c>
      <c r="H14" s="19">
        <v>100</v>
      </c>
      <c r="I14" s="19">
        <v>100</v>
      </c>
      <c r="J14" s="19" t="s">
        <v>166</v>
      </c>
      <c r="K14" s="19" t="str">
        <f>IF(COUNT(G7:G13)=0,"Pendiente",IF(ROUND(G14,4)=100,"OK","Fuera de rango"))</f>
        <v>Pendiente</v>
      </c>
      <c r="L14" s="27" t="s">
        <v>167</v>
      </c>
      <c r="M14" s="27"/>
    </row>
    <row r="15" spans="1:13" x14ac:dyDescent="0.3">
      <c r="A15" s="23" t="s">
        <v>168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39.6" customHeight="1" x14ac:dyDescent="0.3">
      <c r="A16" s="17">
        <v>8</v>
      </c>
      <c r="B16" s="14" t="s">
        <v>139</v>
      </c>
      <c r="C16" s="25" t="s">
        <v>169</v>
      </c>
      <c r="D16" s="14" t="s">
        <v>170</v>
      </c>
      <c r="E16" s="8" t="s">
        <v>142</v>
      </c>
      <c r="F16" s="8">
        <v>98</v>
      </c>
      <c r="G16" s="7"/>
      <c r="H16" s="8">
        <v>0</v>
      </c>
      <c r="I16" s="8">
        <v>100</v>
      </c>
      <c r="J16" s="8" t="s">
        <v>143</v>
      </c>
      <c r="K16" s="26" t="str">
        <f>IF(G16="","Pendiente",IF(AND(ISNUMBER(G16),G16&gt;=H16,G16&lt;=I16),"OK","Fuera de rango"))</f>
        <v>Pendiente</v>
      </c>
      <c r="L16" s="14" t="s">
        <v>171</v>
      </c>
      <c r="M16" s="14" t="s">
        <v>145</v>
      </c>
    </row>
    <row r="17" spans="1:13" ht="39.6" customHeight="1" x14ac:dyDescent="0.3">
      <c r="A17" s="17">
        <v>9</v>
      </c>
      <c r="B17" s="14" t="s">
        <v>139</v>
      </c>
      <c r="C17" s="25" t="s">
        <v>172</v>
      </c>
      <c r="D17" s="14" t="s">
        <v>173</v>
      </c>
      <c r="E17" s="8" t="s">
        <v>142</v>
      </c>
      <c r="F17" s="8">
        <v>95</v>
      </c>
      <c r="G17" s="7"/>
      <c r="H17" s="8">
        <v>0</v>
      </c>
      <c r="I17" s="8">
        <v>100</v>
      </c>
      <c r="J17" s="8" t="s">
        <v>143</v>
      </c>
      <c r="K17" s="26" t="str">
        <f>IF(G17="","Pendiente",IF(AND(ISNUMBER(G17),G17&gt;=H17,G17&lt;=I17),"OK","Fuera de rango"))</f>
        <v>Pendiente</v>
      </c>
      <c r="L17" s="14" t="s">
        <v>174</v>
      </c>
      <c r="M17" s="14" t="s">
        <v>145</v>
      </c>
    </row>
    <row r="18" spans="1:13" ht="39.6" customHeight="1" x14ac:dyDescent="0.3">
      <c r="A18" s="17">
        <v>10</v>
      </c>
      <c r="B18" s="14" t="s">
        <v>139</v>
      </c>
      <c r="C18" s="25" t="s">
        <v>175</v>
      </c>
      <c r="D18" s="14" t="s">
        <v>176</v>
      </c>
      <c r="E18" s="8" t="s">
        <v>142</v>
      </c>
      <c r="F18" s="8">
        <v>88</v>
      </c>
      <c r="G18" s="7"/>
      <c r="H18" s="8">
        <v>0</v>
      </c>
      <c r="I18" s="8">
        <v>100</v>
      </c>
      <c r="J18" s="8" t="s">
        <v>143</v>
      </c>
      <c r="K18" s="26" t="str">
        <f>IF(G18="","Pendiente",IF(AND(ISNUMBER(G18),G18&gt;=H18,G18&lt;=I18),"OK","Fuera de rango"))</f>
        <v>Pendiente</v>
      </c>
      <c r="L18" s="14" t="s">
        <v>177</v>
      </c>
      <c r="M18" s="14" t="s">
        <v>145</v>
      </c>
    </row>
    <row r="19" spans="1:13" x14ac:dyDescent="0.3">
      <c r="A19" s="23" t="s">
        <v>178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39.6" customHeight="1" x14ac:dyDescent="0.3">
      <c r="A20" s="17">
        <v>11</v>
      </c>
      <c r="B20" s="14" t="s">
        <v>139</v>
      </c>
      <c r="C20" s="25" t="s">
        <v>179</v>
      </c>
      <c r="D20" s="14" t="s">
        <v>180</v>
      </c>
      <c r="E20" s="8" t="s">
        <v>181</v>
      </c>
      <c r="F20" s="28">
        <v>0.34375</v>
      </c>
      <c r="G20" s="29"/>
      <c r="H20" s="28">
        <v>0.25</v>
      </c>
      <c r="I20" s="28">
        <v>0.5</v>
      </c>
      <c r="J20" s="8" t="s">
        <v>143</v>
      </c>
      <c r="K20" s="26" t="str">
        <f>IF(G20="","Pendiente",IF(AND(ISNUMBER(G20),G20&gt;=H20,G20&lt;=I20),"OK","Fuera de rango"))</f>
        <v>Pendiente</v>
      </c>
      <c r="L20" s="14" t="s">
        <v>182</v>
      </c>
      <c r="M20" s="14" t="s">
        <v>145</v>
      </c>
    </row>
    <row r="21" spans="1:13" ht="66" customHeight="1" x14ac:dyDescent="0.3">
      <c r="A21" s="17">
        <v>12</v>
      </c>
      <c r="B21" s="14" t="s">
        <v>139</v>
      </c>
      <c r="C21" s="25" t="s">
        <v>183</v>
      </c>
      <c r="D21" s="14" t="s">
        <v>184</v>
      </c>
      <c r="E21" s="8" t="s">
        <v>181</v>
      </c>
      <c r="F21" s="28">
        <v>0.36458333333333331</v>
      </c>
      <c r="G21" s="29"/>
      <c r="H21" s="28">
        <v>0.25</v>
      </c>
      <c r="I21" s="28">
        <v>0.54166666666666663</v>
      </c>
      <c r="J21" s="8" t="s">
        <v>143</v>
      </c>
      <c r="K21" s="26" t="str">
        <f>IF(G21="","Pendiente",IF(AND(ISNUMBER(G21),G21&gt;=H21,G21&lt;=I21),"OK","Fuera de rango"))</f>
        <v>Pendiente</v>
      </c>
      <c r="L21" s="14" t="s">
        <v>185</v>
      </c>
      <c r="M21" s="14" t="s">
        <v>145</v>
      </c>
    </row>
    <row r="22" spans="1:13" ht="39.6" customHeight="1" x14ac:dyDescent="0.3">
      <c r="A22" s="17">
        <v>13</v>
      </c>
      <c r="B22" s="14" t="s">
        <v>139</v>
      </c>
      <c r="C22" s="25" t="s">
        <v>186</v>
      </c>
      <c r="D22" s="14" t="s">
        <v>187</v>
      </c>
      <c r="E22" s="8" t="s">
        <v>181</v>
      </c>
      <c r="F22" s="28">
        <v>0.64583333333333337</v>
      </c>
      <c r="G22" s="29"/>
      <c r="H22" s="28">
        <v>0.5</v>
      </c>
      <c r="I22" s="28">
        <v>0.75</v>
      </c>
      <c r="J22" s="8" t="s">
        <v>143</v>
      </c>
      <c r="K22" s="26" t="str">
        <f>IF(G22="","Pendiente",IF(AND(ISNUMBER(G22),G22&gt;=H22,G22&lt;=I22),"OK","Fuera de rango"))</f>
        <v>Pendiente</v>
      </c>
      <c r="L22" s="14" t="s">
        <v>188</v>
      </c>
      <c r="M22" s="14" t="s">
        <v>145</v>
      </c>
    </row>
    <row r="23" spans="1:13" ht="39.6" customHeight="1" x14ac:dyDescent="0.3">
      <c r="A23" s="17">
        <v>14</v>
      </c>
      <c r="B23" s="14" t="s">
        <v>139</v>
      </c>
      <c r="C23" s="25" t="s">
        <v>189</v>
      </c>
      <c r="D23" s="14" t="s">
        <v>190</v>
      </c>
      <c r="E23" s="8" t="s">
        <v>181</v>
      </c>
      <c r="F23" s="28">
        <v>0.60416666666666663</v>
      </c>
      <c r="G23" s="29"/>
      <c r="H23" s="28">
        <v>0.45833333333333331</v>
      </c>
      <c r="I23" s="28">
        <v>0.70833333333333337</v>
      </c>
      <c r="J23" s="8" t="s">
        <v>143</v>
      </c>
      <c r="K23" s="26" t="str">
        <f>IF(G23="","Pendiente",IF(AND(ISNUMBER(G23),G23&gt;=H23,G23&lt;=I23),"OK","Fuera de rango"))</f>
        <v>Pendiente</v>
      </c>
      <c r="L23" s="14" t="s">
        <v>191</v>
      </c>
      <c r="M23" s="14" t="s">
        <v>145</v>
      </c>
    </row>
    <row r="24" spans="1:13" x14ac:dyDescent="0.3">
      <c r="A24" s="23" t="s">
        <v>192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ht="39.6" customHeight="1" x14ac:dyDescent="0.3">
      <c r="A25" s="17">
        <v>15</v>
      </c>
      <c r="B25" s="14" t="s">
        <v>139</v>
      </c>
      <c r="C25" s="25" t="s">
        <v>193</v>
      </c>
      <c r="D25" s="14" t="s">
        <v>194</v>
      </c>
      <c r="E25" s="8" t="s">
        <v>142</v>
      </c>
      <c r="F25" s="8">
        <v>55</v>
      </c>
      <c r="G25" s="7"/>
      <c r="H25" s="8">
        <v>0</v>
      </c>
      <c r="I25" s="8">
        <v>100</v>
      </c>
      <c r="J25" s="8" t="s">
        <v>143</v>
      </c>
      <c r="K25" s="26" t="str">
        <f>IF(G25="","Pendiente",IF(AND(ISNUMBER(G25),G25&gt;=H25,G25&lt;=I25),"OK","Fuera de rango"))</f>
        <v>Pendiente</v>
      </c>
      <c r="L25" s="14" t="s">
        <v>195</v>
      </c>
      <c r="M25" s="14" t="s">
        <v>145</v>
      </c>
    </row>
    <row r="26" spans="1:13" ht="39.6" customHeight="1" x14ac:dyDescent="0.3">
      <c r="A26" s="17">
        <v>16</v>
      </c>
      <c r="B26" s="14" t="s">
        <v>139</v>
      </c>
      <c r="C26" s="25" t="s">
        <v>196</v>
      </c>
      <c r="D26" s="14" t="s">
        <v>197</v>
      </c>
      <c r="E26" s="8" t="s">
        <v>142</v>
      </c>
      <c r="F26" s="8">
        <v>65</v>
      </c>
      <c r="G26" s="7"/>
      <c r="H26" s="8">
        <v>0</v>
      </c>
      <c r="I26" s="8">
        <v>100</v>
      </c>
      <c r="J26" s="8" t="s">
        <v>143</v>
      </c>
      <c r="K26" s="26" t="str">
        <f>IF(G26="","Pendiente",IF(AND(ISNUMBER(G26),G26&gt;=H26,G26&lt;=I26),"OK","Fuera de rango"))</f>
        <v>Pendiente</v>
      </c>
      <c r="L26" s="14" t="s">
        <v>198</v>
      </c>
      <c r="M26" s="14" t="s">
        <v>145</v>
      </c>
    </row>
    <row r="27" spans="1:13" ht="39.6" customHeight="1" x14ac:dyDescent="0.3">
      <c r="A27" s="17">
        <v>17</v>
      </c>
      <c r="B27" s="14" t="s">
        <v>139</v>
      </c>
      <c r="C27" s="25" t="s">
        <v>199</v>
      </c>
      <c r="D27" s="14" t="s">
        <v>200</v>
      </c>
      <c r="E27" s="8" t="s">
        <v>201</v>
      </c>
      <c r="F27" s="8">
        <v>5</v>
      </c>
      <c r="G27" s="7"/>
      <c r="H27" s="8">
        <v>1</v>
      </c>
      <c r="I27" s="8">
        <v>20</v>
      </c>
      <c r="J27" s="8" t="s">
        <v>143</v>
      </c>
      <c r="K27" s="26" t="str">
        <f>IF(G27="","Pendiente",IF(AND(ISNUMBER(G27),G27&gt;=H27,G27&lt;=I27),"OK","Fuera de rango"))</f>
        <v>Pendiente</v>
      </c>
      <c r="L27" s="14" t="s">
        <v>202</v>
      </c>
      <c r="M27" s="14" t="s">
        <v>145</v>
      </c>
    </row>
    <row r="28" spans="1:13" x14ac:dyDescent="0.3">
      <c r="A28" s="23" t="s">
        <v>203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ht="39.6" customHeight="1" x14ac:dyDescent="0.3">
      <c r="A29" s="17">
        <v>18</v>
      </c>
      <c r="B29" s="14" t="s">
        <v>139</v>
      </c>
      <c r="C29" s="25" t="s">
        <v>204</v>
      </c>
      <c r="D29" s="14" t="s">
        <v>205</v>
      </c>
      <c r="E29" s="8" t="s">
        <v>206</v>
      </c>
      <c r="F29" s="8">
        <v>85</v>
      </c>
      <c r="G29" s="7"/>
      <c r="H29" s="8">
        <v>0</v>
      </c>
      <c r="I29" s="8">
        <v>100</v>
      </c>
      <c r="J29" s="8" t="s">
        <v>143</v>
      </c>
      <c r="K29" s="26" t="str">
        <f>IF(G29="","Pendiente",IF(AND(ISNUMBER(G29),G29&gt;=H29,G29&lt;=I29),"OK","Fuera de rango"))</f>
        <v>Pendiente</v>
      </c>
      <c r="L29" s="14" t="s">
        <v>207</v>
      </c>
      <c r="M29" s="14" t="s">
        <v>145</v>
      </c>
    </row>
    <row r="30" spans="1:13" ht="39.6" customHeight="1" x14ac:dyDescent="0.3">
      <c r="A30" s="17">
        <v>19</v>
      </c>
      <c r="B30" s="14" t="s">
        <v>139</v>
      </c>
      <c r="C30" s="25" t="s">
        <v>208</v>
      </c>
      <c r="D30" s="14" t="s">
        <v>209</v>
      </c>
      <c r="E30" s="8" t="s">
        <v>206</v>
      </c>
      <c r="F30" s="8">
        <v>70</v>
      </c>
      <c r="G30" s="7"/>
      <c r="H30" s="8">
        <v>0</v>
      </c>
      <c r="I30" s="8">
        <v>100</v>
      </c>
      <c r="J30" s="8" t="s">
        <v>143</v>
      </c>
      <c r="K30" s="26" t="str">
        <f>IF(G30="","Pendiente",IF(AND(ISNUMBER(G30),G30&gt;=H30,G30&lt;=I30),"OK","Fuera de rango"))</f>
        <v>Pendiente</v>
      </c>
      <c r="L30" s="14" t="s">
        <v>210</v>
      </c>
      <c r="M30" s="14" t="s">
        <v>145</v>
      </c>
    </row>
    <row r="31" spans="1:13" ht="39.6" customHeight="1" x14ac:dyDescent="0.3">
      <c r="A31" s="17">
        <v>20</v>
      </c>
      <c r="B31" s="14" t="s">
        <v>139</v>
      </c>
      <c r="C31" s="25" t="s">
        <v>211</v>
      </c>
      <c r="D31" s="14" t="s">
        <v>212</v>
      </c>
      <c r="E31" s="8" t="s">
        <v>206</v>
      </c>
      <c r="F31" s="8">
        <v>55</v>
      </c>
      <c r="G31" s="7"/>
      <c r="H31" s="8">
        <v>0</v>
      </c>
      <c r="I31" s="8">
        <v>100</v>
      </c>
      <c r="J31" s="8" t="s">
        <v>143</v>
      </c>
      <c r="K31" s="26" t="str">
        <f>IF(G31="","Pendiente",IF(AND(ISNUMBER(G31),G31&gt;=H31,G31&lt;=I31),"OK","Fuera de rango"))</f>
        <v>Pendiente</v>
      </c>
      <c r="L31" s="14" t="s">
        <v>213</v>
      </c>
      <c r="M31" s="14" t="s">
        <v>145</v>
      </c>
    </row>
    <row r="32" spans="1:13" x14ac:dyDescent="0.3">
      <c r="A32" s="23" t="s">
        <v>214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39.6" customHeight="1" x14ac:dyDescent="0.3">
      <c r="A33" s="17">
        <v>21</v>
      </c>
      <c r="B33" s="14" t="s">
        <v>139</v>
      </c>
      <c r="C33" s="25" t="s">
        <v>215</v>
      </c>
      <c r="D33" s="14" t="s">
        <v>216</v>
      </c>
      <c r="E33" s="8" t="s">
        <v>217</v>
      </c>
      <c r="F33" s="8" t="s">
        <v>218</v>
      </c>
      <c r="G33" s="7"/>
      <c r="H33" s="8" t="s">
        <v>219</v>
      </c>
      <c r="I33" s="8" t="s">
        <v>220</v>
      </c>
      <c r="J33" s="8" t="s">
        <v>219</v>
      </c>
      <c r="K33" s="26" t="str">
        <f>IF(G33="","Pendiente","OK")</f>
        <v>Pendiente</v>
      </c>
      <c r="L33" s="14" t="s">
        <v>221</v>
      </c>
      <c r="M33" s="14" t="s">
        <v>145</v>
      </c>
    </row>
    <row r="34" spans="1:13" ht="39.6" customHeight="1" x14ac:dyDescent="0.3">
      <c r="A34" s="17">
        <v>22</v>
      </c>
      <c r="B34" s="14" t="s">
        <v>139</v>
      </c>
      <c r="C34" s="25" t="s">
        <v>222</v>
      </c>
      <c r="D34" s="14" t="s">
        <v>223</v>
      </c>
      <c r="E34" s="8" t="s">
        <v>224</v>
      </c>
      <c r="F34" s="8">
        <v>200</v>
      </c>
      <c r="G34" s="7"/>
      <c r="H34" s="8">
        <v>20</v>
      </c>
      <c r="I34" s="8">
        <v>5000</v>
      </c>
      <c r="J34" s="8" t="s">
        <v>225</v>
      </c>
      <c r="K34" s="26" t="str">
        <f>IF(G34="","Pendiente",IF(AND(ISNUMBER(G34),G34&gt;=H34,G34&lt;=I34),"OK","Fuera de rango"))</f>
        <v>Pendiente</v>
      </c>
      <c r="L34" s="14" t="s">
        <v>226</v>
      </c>
      <c r="M34" s="14" t="s">
        <v>145</v>
      </c>
    </row>
    <row r="35" spans="1:13" x14ac:dyDescent="0.3">
      <c r="A35" s="23" t="s">
        <v>227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39.6" customHeight="1" x14ac:dyDescent="0.3">
      <c r="A36" s="17">
        <v>23</v>
      </c>
      <c r="B36" s="14" t="s">
        <v>228</v>
      </c>
      <c r="C36" s="25" t="s">
        <v>229</v>
      </c>
      <c r="D36" s="14" t="s">
        <v>230</v>
      </c>
      <c r="E36" s="8" t="s">
        <v>231</v>
      </c>
      <c r="F36" s="8" t="s">
        <v>232</v>
      </c>
      <c r="G36" s="7"/>
      <c r="H36" s="8">
        <v>0</v>
      </c>
      <c r="I36" s="8">
        <v>100000000</v>
      </c>
      <c r="J36" s="8" t="s">
        <v>143</v>
      </c>
      <c r="K36" s="26" t="str">
        <f>IF(G36="","Pendiente",IF(AND(ISNUMBER(G36),G36&gt;=H36,G36&lt;=I36),"OK","Fuera de rango"))</f>
        <v>Pendiente</v>
      </c>
      <c r="L36" s="14" t="s">
        <v>233</v>
      </c>
      <c r="M36" s="14" t="s">
        <v>234</v>
      </c>
    </row>
    <row r="37" spans="1:13" ht="39.6" customHeight="1" x14ac:dyDescent="0.3">
      <c r="A37" s="17">
        <v>24</v>
      </c>
      <c r="B37" s="14" t="s">
        <v>228</v>
      </c>
      <c r="C37" s="25" t="s">
        <v>235</v>
      </c>
      <c r="D37" s="14" t="s">
        <v>236</v>
      </c>
      <c r="E37" s="8" t="s">
        <v>237</v>
      </c>
      <c r="F37" s="8" t="s">
        <v>232</v>
      </c>
      <c r="G37" s="7"/>
      <c r="H37" s="8">
        <v>0</v>
      </c>
      <c r="I37" s="8">
        <v>1000000</v>
      </c>
      <c r="J37" s="8" t="s">
        <v>143</v>
      </c>
      <c r="K37" s="26" t="str">
        <f>IF(G37="","Pendiente",IF(AND(ISNUMBER(G37),G37&gt;=H37,G37&lt;=I37),"OK","Fuera de rango"))</f>
        <v>Pendiente</v>
      </c>
      <c r="L37" s="14" t="s">
        <v>238</v>
      </c>
      <c r="M37" s="14" t="s">
        <v>239</v>
      </c>
    </row>
    <row r="38" spans="1:13" ht="30" customHeight="1" x14ac:dyDescent="0.3">
      <c r="A38" s="17">
        <v>25</v>
      </c>
      <c r="B38" s="14" t="s">
        <v>228</v>
      </c>
      <c r="C38" s="25" t="s">
        <v>240</v>
      </c>
      <c r="D38" s="14" t="s">
        <v>241</v>
      </c>
      <c r="E38" s="8" t="s">
        <v>242</v>
      </c>
      <c r="F38" s="8" t="s">
        <v>232</v>
      </c>
      <c r="G38" s="7"/>
      <c r="H38" s="8">
        <v>0</v>
      </c>
      <c r="I38" s="8">
        <v>1000000</v>
      </c>
      <c r="J38" s="8" t="s">
        <v>143</v>
      </c>
      <c r="K38" s="26" t="str">
        <f>IF(G38="","Pendiente",IF(AND(ISNUMBER(G38),G38&gt;=H38,G38&lt;=I38),"OK","Fuera de rango"))</f>
        <v>Pendiente</v>
      </c>
      <c r="L38" s="14" t="s">
        <v>238</v>
      </c>
      <c r="M38" s="14" t="s">
        <v>239</v>
      </c>
    </row>
    <row r="39" spans="1:13" ht="30" customHeight="1" x14ac:dyDescent="0.3">
      <c r="A39" s="17">
        <v>26</v>
      </c>
      <c r="B39" s="14" t="s">
        <v>228</v>
      </c>
      <c r="C39" s="25" t="s">
        <v>243</v>
      </c>
      <c r="D39" s="14" t="s">
        <v>244</v>
      </c>
      <c r="E39" s="8" t="s">
        <v>142</v>
      </c>
      <c r="F39" s="8" t="s">
        <v>245</v>
      </c>
      <c r="G39" s="7"/>
      <c r="H39" s="8">
        <v>0</v>
      </c>
      <c r="I39" s="8">
        <v>100</v>
      </c>
      <c r="J39" s="8" t="s">
        <v>143</v>
      </c>
      <c r="K39" s="26" t="str">
        <f>IF(G39="","Pendiente",IF(AND(ISNUMBER(G39),G39&gt;=H39,G39&lt;=I39),"OK","Fuera de rango"))</f>
        <v>Pendiente</v>
      </c>
      <c r="L39" s="14" t="s">
        <v>246</v>
      </c>
      <c r="M39" s="14" t="s">
        <v>239</v>
      </c>
    </row>
    <row r="40" spans="1:13" ht="30" customHeight="1" x14ac:dyDescent="0.3">
      <c r="A40" s="17">
        <v>27</v>
      </c>
      <c r="B40" s="14" t="s">
        <v>228</v>
      </c>
      <c r="C40" s="25" t="s">
        <v>247</v>
      </c>
      <c r="D40" s="14" t="s">
        <v>248</v>
      </c>
      <c r="E40" s="8" t="s">
        <v>249</v>
      </c>
      <c r="F40" s="8">
        <v>13</v>
      </c>
      <c r="G40" s="7"/>
      <c r="H40" s="8">
        <v>4</v>
      </c>
      <c r="I40" s="8">
        <v>52</v>
      </c>
      <c r="J40" s="8" t="s">
        <v>143</v>
      </c>
      <c r="K40" s="26" t="str">
        <f>IF(G40="","Pendiente",IF(AND(ISNUMBER(G40),G40&gt;=H40,G40&lt;=I40),"OK","Fuera de rango"))</f>
        <v>Pendiente</v>
      </c>
      <c r="L40" s="14" t="s">
        <v>250</v>
      </c>
      <c r="M40" s="14" t="s">
        <v>251</v>
      </c>
    </row>
  </sheetData>
  <conditionalFormatting sqref="K6:K40">
    <cfRule type="cellIs" dxfId="26" priority="1" operator="equal">
      <formula>"OK"</formula>
    </cfRule>
    <cfRule type="cellIs" dxfId="25" priority="2" operator="equal">
      <formula>"Fuera de rango"</formula>
    </cfRule>
    <cfRule type="cellIs" dxfId="24" priority="3" operator="equal">
      <formula>"Pendiente"</formula>
    </cfRule>
  </conditionalFormatting>
  <dataValidations count="13">
    <dataValidation type="decimal" allowBlank="1" showErrorMessage="1" errorTitle="Fuera de rango" error="Escriba un valor entre 0 y 100 (%)." sqref="G39 G25:G26 G16:G18 G7:G13" xr:uid="{00000000-0002-0000-0300-000000000000}">
      <formula1>0</formula1>
      <formula2>100</formula2>
    </dataValidation>
    <dataValidation type="time" allowBlank="1" showErrorMessage="1" errorTitle="Fuera de rango" error="Escriba una hora entre 06:00 y 12:00 (formato hh:mm, ej. 08:15)." sqref="G20" xr:uid="{00000000-0002-0000-0300-00000A000000}">
      <formula1>0.25</formula1>
      <formula2>0.5</formula2>
    </dataValidation>
    <dataValidation type="time" allowBlank="1" showErrorMessage="1" errorTitle="Fuera de rango" error="Escriba una hora entre 06:00 y 13:00 (formato hh:mm, ej. 08:15)." sqref="G21" xr:uid="{00000000-0002-0000-0300-00000B000000}">
      <formula1>0.25</formula1>
      <formula2>0.541666666666666</formula2>
    </dataValidation>
    <dataValidation type="time" allowBlank="1" showErrorMessage="1" errorTitle="Fuera de rango" error="Escriba una hora entre 12:00 y 18:00 (formato hh:mm, ej. 08:15)." sqref="G22" xr:uid="{00000000-0002-0000-0300-00000C000000}">
      <formula1>0.5</formula1>
      <formula2>0.75</formula2>
    </dataValidation>
    <dataValidation type="time" allowBlank="1" showErrorMessage="1" errorTitle="Fuera de rango" error="Escriba una hora entre 11:00 y 17:00 (formato hh:mm, ej. 08:15)." sqref="G23" xr:uid="{00000000-0002-0000-0300-00000D000000}">
      <formula1>0.458333333333333</formula1>
      <formula2>0.708333333333333</formula2>
    </dataValidation>
    <dataValidation type="decimal" allowBlank="1" showErrorMessage="1" errorTitle="Fuera de rango" error="Escriba un valor entre 1 y 20 (puntos %)." sqref="G27" xr:uid="{00000000-0002-0000-0300-000010000000}">
      <formula1>1</formula1>
      <formula2>20</formula2>
    </dataValidation>
    <dataValidation type="decimal" allowBlank="1" showErrorMessage="1" errorTitle="Fuera de rango" error="Escriba un valor entre 0 y 100 (puntos)." sqref="G29:G31" xr:uid="{00000000-0002-0000-0300-000011000000}">
      <formula1>0</formula1>
      <formula2>100</formula2>
    </dataValidation>
    <dataValidation type="list" allowBlank="1" showErrorMessage="1" errorTitle="Valor no válido" error="Elija una opción de la lista." sqref="G33" xr:uid="{00000000-0002-0000-0300-000014000000}">
      <formula1>"distancia,ruta"</formula1>
    </dataValidation>
    <dataValidation type="decimal" allowBlank="1" showErrorMessage="1" errorTitle="Fuera de rango" error="Escriba un valor entre 20 y 5000 (metros)." sqref="G34" xr:uid="{00000000-0002-0000-0300-000015000000}">
      <formula1>20</formula1>
      <formula2>5000</formula2>
    </dataValidation>
    <dataValidation type="decimal" allowBlank="1" showErrorMessage="1" errorTitle="Fuera de rango" error="Escriba un valor entre 0 y 100000000 (RD$)." sqref="G36" xr:uid="{00000000-0002-0000-0300-000016000000}">
      <formula1>0</formula1>
      <formula2>100000000</formula2>
    </dataValidation>
    <dataValidation type="decimal" allowBlank="1" showErrorMessage="1" errorTitle="Fuera de rango" error="Escriba un valor entre 0 y 1000000 (unidades)." sqref="G37" xr:uid="{00000000-0002-0000-0300-000017000000}">
      <formula1>0</formula1>
      <formula2>1000000</formula2>
    </dataValidation>
    <dataValidation type="decimal" allowBlank="1" showErrorMessage="1" errorTitle="Fuera de rango" error="Escriba un valor entre 0 y 1000000 (cajas)." sqref="G38" xr:uid="{00000000-0002-0000-0300-000018000000}">
      <formula1>0</formula1>
      <formula2>1000000</formula2>
    </dataValidation>
    <dataValidation type="decimal" allowBlank="1" showErrorMessage="1" errorTitle="Fuera de rango" error="Escriba un valor entre 4 y 52 (semanas)." sqref="G40" xr:uid="{00000000-0002-0000-0300-00001A000000}">
      <formula1>4</formula1>
      <formula2>52</formula2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8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252</v>
      </c>
    </row>
    <row r="2" spans="1:13" x14ac:dyDescent="0.3">
      <c r="A2" s="2" t="s">
        <v>253</v>
      </c>
    </row>
    <row r="3" spans="1:13" x14ac:dyDescent="0.3">
      <c r="A3" s="22" t="s">
        <v>254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ht="39.6" customHeight="1" x14ac:dyDescent="0.3">
      <c r="A6" s="17">
        <v>1</v>
      </c>
      <c r="B6" s="14" t="s">
        <v>255</v>
      </c>
      <c r="C6" s="25" t="s">
        <v>256</v>
      </c>
      <c r="D6" s="14" t="s">
        <v>257</v>
      </c>
      <c r="E6" s="8" t="s">
        <v>181</v>
      </c>
      <c r="F6" s="28">
        <v>0.34722222222222221</v>
      </c>
      <c r="G6" s="29"/>
      <c r="H6" s="28">
        <v>0.25</v>
      </c>
      <c r="I6" s="28">
        <v>0.5</v>
      </c>
      <c r="J6" s="8" t="s">
        <v>143</v>
      </c>
      <c r="K6" s="26" t="str">
        <f>IF(G6="","Pendiente",IF(AND(ISNUMBER(G6),G6&gt;=H6,G6&lt;=I6),"OK","Fuera de rango"))</f>
        <v>Pendiente</v>
      </c>
      <c r="L6" s="14" t="s">
        <v>258</v>
      </c>
      <c r="M6" s="14" t="s">
        <v>259</v>
      </c>
    </row>
    <row r="7" spans="1:13" ht="39.6" customHeight="1" x14ac:dyDescent="0.3">
      <c r="A7" s="17">
        <v>2</v>
      </c>
      <c r="B7" s="14" t="s">
        <v>255</v>
      </c>
      <c r="C7" s="25" t="s">
        <v>260</v>
      </c>
      <c r="D7" s="14" t="s">
        <v>261</v>
      </c>
      <c r="E7" s="8" t="s">
        <v>181</v>
      </c>
      <c r="F7" s="28">
        <v>0.66666666666666663</v>
      </c>
      <c r="G7" s="29"/>
      <c r="H7" s="28">
        <v>0.5</v>
      </c>
      <c r="I7" s="28">
        <v>0.83333333333333337</v>
      </c>
      <c r="J7" s="8" t="s">
        <v>143</v>
      </c>
      <c r="K7" s="26" t="str">
        <f>IF(G7="","Pendiente",IF(AND(ISNUMBER(G7),G7&gt;=H7,G7&lt;=I7),"OK","Fuera de rango"))</f>
        <v>Pendiente</v>
      </c>
      <c r="L7" s="14" t="s">
        <v>262</v>
      </c>
      <c r="M7" s="14" t="s">
        <v>259</v>
      </c>
    </row>
    <row r="8" spans="1:13" ht="39.6" customHeight="1" x14ac:dyDescent="0.3">
      <c r="A8" s="17">
        <v>3</v>
      </c>
      <c r="B8" s="14" t="s">
        <v>263</v>
      </c>
      <c r="C8" s="25" t="s">
        <v>264</v>
      </c>
      <c r="D8" s="14" t="s">
        <v>265</v>
      </c>
      <c r="E8" s="8" t="s">
        <v>266</v>
      </c>
      <c r="F8" s="8">
        <v>60</v>
      </c>
      <c r="G8" s="7"/>
      <c r="H8" s="8">
        <v>5</v>
      </c>
      <c r="I8" s="8">
        <v>240</v>
      </c>
      <c r="J8" s="8" t="s">
        <v>143</v>
      </c>
      <c r="K8" s="26" t="str">
        <f>IF(G8="","Pendiente",IF(AND(ISNUMBER(G8),G8&gt;=H8,G8&lt;=I8),"OK","Fuera de rango"))</f>
        <v>Pendiente</v>
      </c>
      <c r="L8" s="14" t="s">
        <v>267</v>
      </c>
      <c r="M8" s="14" t="s">
        <v>259</v>
      </c>
    </row>
    <row r="9" spans="1:13" ht="39.6" customHeight="1" x14ac:dyDescent="0.3">
      <c r="A9" s="17">
        <v>4</v>
      </c>
      <c r="B9" s="14" t="s">
        <v>268</v>
      </c>
      <c r="C9" s="25" t="s">
        <v>269</v>
      </c>
      <c r="D9" s="14" t="s">
        <v>270</v>
      </c>
      <c r="E9" s="8" t="s">
        <v>271</v>
      </c>
      <c r="F9" s="8" t="s">
        <v>245</v>
      </c>
      <c r="G9" s="7"/>
      <c r="H9" s="8" t="s">
        <v>272</v>
      </c>
      <c r="I9" s="8" t="s">
        <v>272</v>
      </c>
      <c r="J9" s="8" t="s">
        <v>272</v>
      </c>
      <c r="K9" s="26" t="str">
        <f>IF(G9="","Pendiente","OK")</f>
        <v>Pendiente</v>
      </c>
      <c r="L9" s="14" t="s">
        <v>273</v>
      </c>
      <c r="M9" s="14" t="s">
        <v>259</v>
      </c>
    </row>
    <row r="10" spans="1:13" x14ac:dyDescent="0.3">
      <c r="A10" s="23" t="s">
        <v>274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39.6" customHeight="1" x14ac:dyDescent="0.3">
      <c r="A11" s="17">
        <v>5</v>
      </c>
      <c r="B11" s="14" t="s">
        <v>275</v>
      </c>
      <c r="C11" s="25" t="s">
        <v>276</v>
      </c>
      <c r="D11" s="14" t="s">
        <v>277</v>
      </c>
      <c r="E11" s="8" t="s">
        <v>181</v>
      </c>
      <c r="F11" s="28">
        <v>0.34722222222222221</v>
      </c>
      <c r="G11" s="29"/>
      <c r="H11" s="28">
        <v>0.29166666666666669</v>
      </c>
      <c r="I11" s="28">
        <v>0.41666666666666669</v>
      </c>
      <c r="J11" s="8" t="s">
        <v>143</v>
      </c>
      <c r="K11" s="26" t="str">
        <f t="shared" ref="K11:K28" si="0">IF(G11="","Pendiente",IF(AND(ISNUMBER(G11),G11&gt;=H11,G11&lt;=I11),"OK","Fuera de rango"))</f>
        <v>Pendiente</v>
      </c>
      <c r="L11" s="14" t="s">
        <v>278</v>
      </c>
      <c r="M11" s="14" t="s">
        <v>259</v>
      </c>
    </row>
    <row r="12" spans="1:13" ht="39.6" customHeight="1" x14ac:dyDescent="0.3">
      <c r="A12" s="17">
        <v>6</v>
      </c>
      <c r="B12" s="14" t="s">
        <v>275</v>
      </c>
      <c r="C12" s="25" t="s">
        <v>279</v>
      </c>
      <c r="D12" s="14" t="s">
        <v>280</v>
      </c>
      <c r="E12" s="8" t="s">
        <v>281</v>
      </c>
      <c r="F12" s="8">
        <v>3</v>
      </c>
      <c r="G12" s="7"/>
      <c r="H12" s="8">
        <v>1</v>
      </c>
      <c r="I12" s="8">
        <v>3</v>
      </c>
      <c r="J12" s="8" t="s">
        <v>143</v>
      </c>
      <c r="K12" s="26" t="str">
        <f t="shared" si="0"/>
        <v>Pendiente</v>
      </c>
      <c r="L12" s="14" t="s">
        <v>282</v>
      </c>
      <c r="M12" s="14" t="s">
        <v>259</v>
      </c>
    </row>
    <row r="13" spans="1:13" ht="39.6" customHeight="1" x14ac:dyDescent="0.3">
      <c r="A13" s="17">
        <v>7</v>
      </c>
      <c r="B13" s="14" t="s">
        <v>283</v>
      </c>
      <c r="C13" s="25" t="s">
        <v>284</v>
      </c>
      <c r="D13" s="14" t="s">
        <v>285</v>
      </c>
      <c r="E13" s="8" t="s">
        <v>266</v>
      </c>
      <c r="F13" s="8">
        <v>3</v>
      </c>
      <c r="G13" s="7"/>
      <c r="H13" s="8">
        <v>1</v>
      </c>
      <c r="I13" s="8">
        <v>10</v>
      </c>
      <c r="J13" s="8" t="s">
        <v>143</v>
      </c>
      <c r="K13" s="26" t="str">
        <f t="shared" si="0"/>
        <v>Pendiente</v>
      </c>
      <c r="L13" s="14" t="s">
        <v>286</v>
      </c>
      <c r="M13" s="14" t="s">
        <v>259</v>
      </c>
    </row>
    <row r="14" spans="1:13" ht="39.6" customHeight="1" x14ac:dyDescent="0.3">
      <c r="A14" s="17">
        <v>8</v>
      </c>
      <c r="B14" s="14" t="s">
        <v>283</v>
      </c>
      <c r="C14" s="25" t="s">
        <v>287</v>
      </c>
      <c r="D14" s="14" t="s">
        <v>288</v>
      </c>
      <c r="E14" s="8" t="s">
        <v>266</v>
      </c>
      <c r="F14" s="8">
        <v>40</v>
      </c>
      <c r="G14" s="7"/>
      <c r="H14" s="8">
        <v>20</v>
      </c>
      <c r="I14" s="8">
        <v>90</v>
      </c>
      <c r="J14" s="8" t="s">
        <v>143</v>
      </c>
      <c r="K14" s="26" t="str">
        <f t="shared" si="0"/>
        <v>Pendiente</v>
      </c>
      <c r="L14" s="14" t="s">
        <v>289</v>
      </c>
      <c r="M14" s="14" t="s">
        <v>259</v>
      </c>
    </row>
    <row r="15" spans="1:13" ht="39.6" customHeight="1" x14ac:dyDescent="0.3">
      <c r="A15" s="17">
        <v>9</v>
      </c>
      <c r="B15" s="14" t="s">
        <v>283</v>
      </c>
      <c r="C15" s="25" t="s">
        <v>290</v>
      </c>
      <c r="D15" s="14" t="s">
        <v>291</v>
      </c>
      <c r="E15" s="8" t="s">
        <v>281</v>
      </c>
      <c r="F15" s="8">
        <v>1</v>
      </c>
      <c r="G15" s="7"/>
      <c r="H15" s="8">
        <v>1</v>
      </c>
      <c r="I15" s="8">
        <v>3</v>
      </c>
      <c r="J15" s="8" t="s">
        <v>143</v>
      </c>
      <c r="K15" s="26" t="str">
        <f t="shared" si="0"/>
        <v>Pendiente</v>
      </c>
      <c r="L15" s="14" t="s">
        <v>282</v>
      </c>
      <c r="M15" s="14" t="s">
        <v>259</v>
      </c>
    </row>
    <row r="16" spans="1:13" ht="39.6" customHeight="1" x14ac:dyDescent="0.3">
      <c r="A16" s="17">
        <v>10</v>
      </c>
      <c r="B16" s="14" t="s">
        <v>292</v>
      </c>
      <c r="C16" s="25" t="s">
        <v>293</v>
      </c>
      <c r="D16" s="14" t="s">
        <v>294</v>
      </c>
      <c r="E16" s="8" t="s">
        <v>142</v>
      </c>
      <c r="F16" s="8">
        <v>85</v>
      </c>
      <c r="G16" s="7"/>
      <c r="H16" s="8">
        <v>50</v>
      </c>
      <c r="I16" s="8">
        <v>100</v>
      </c>
      <c r="J16" s="8" t="s">
        <v>143</v>
      </c>
      <c r="K16" s="26" t="str">
        <f t="shared" si="0"/>
        <v>Pendiente</v>
      </c>
      <c r="L16" s="14" t="s">
        <v>295</v>
      </c>
      <c r="M16" s="14" t="s">
        <v>259</v>
      </c>
    </row>
    <row r="17" spans="1:13" ht="39.6" customHeight="1" x14ac:dyDescent="0.3">
      <c r="A17" s="17">
        <v>11</v>
      </c>
      <c r="B17" s="14" t="s">
        <v>292</v>
      </c>
      <c r="C17" s="25" t="s">
        <v>296</v>
      </c>
      <c r="D17" s="14" t="s">
        <v>291</v>
      </c>
      <c r="E17" s="8" t="s">
        <v>281</v>
      </c>
      <c r="F17" s="8">
        <v>2</v>
      </c>
      <c r="G17" s="7"/>
      <c r="H17" s="8">
        <v>1</v>
      </c>
      <c r="I17" s="8">
        <v>3</v>
      </c>
      <c r="J17" s="8" t="s">
        <v>143</v>
      </c>
      <c r="K17" s="26" t="str">
        <f t="shared" si="0"/>
        <v>Pendiente</v>
      </c>
      <c r="L17" s="14" t="s">
        <v>282</v>
      </c>
      <c r="M17" s="14" t="s">
        <v>259</v>
      </c>
    </row>
    <row r="18" spans="1:13" ht="39.6" customHeight="1" x14ac:dyDescent="0.3">
      <c r="A18" s="17">
        <v>12</v>
      </c>
      <c r="B18" s="14" t="s">
        <v>297</v>
      </c>
      <c r="C18" s="25" t="s">
        <v>298</v>
      </c>
      <c r="D18" s="14" t="s">
        <v>299</v>
      </c>
      <c r="E18" s="8" t="s">
        <v>142</v>
      </c>
      <c r="F18" s="8">
        <v>55</v>
      </c>
      <c r="G18" s="7"/>
      <c r="H18" s="8">
        <v>30</v>
      </c>
      <c r="I18" s="8">
        <v>80</v>
      </c>
      <c r="J18" s="8" t="s">
        <v>143</v>
      </c>
      <c r="K18" s="26" t="str">
        <f t="shared" si="0"/>
        <v>Pendiente</v>
      </c>
      <c r="L18" s="14" t="s">
        <v>300</v>
      </c>
      <c r="M18" s="14" t="s">
        <v>259</v>
      </c>
    </row>
    <row r="19" spans="1:13" ht="39.6" customHeight="1" x14ac:dyDescent="0.3">
      <c r="A19" s="17">
        <v>13</v>
      </c>
      <c r="B19" s="14" t="s">
        <v>297</v>
      </c>
      <c r="C19" s="25" t="s">
        <v>301</v>
      </c>
      <c r="D19" s="14" t="s">
        <v>291</v>
      </c>
      <c r="E19" s="8" t="s">
        <v>281</v>
      </c>
      <c r="F19" s="8">
        <v>2</v>
      </c>
      <c r="G19" s="7"/>
      <c r="H19" s="8">
        <v>1</v>
      </c>
      <c r="I19" s="8">
        <v>3</v>
      </c>
      <c r="J19" s="8" t="s">
        <v>143</v>
      </c>
      <c r="K19" s="26" t="str">
        <f t="shared" si="0"/>
        <v>Pendiente</v>
      </c>
      <c r="L19" s="14" t="s">
        <v>282</v>
      </c>
      <c r="M19" s="14" t="s">
        <v>259</v>
      </c>
    </row>
    <row r="20" spans="1:13" ht="39.6" customHeight="1" x14ac:dyDescent="0.3">
      <c r="A20" s="17">
        <v>14</v>
      </c>
      <c r="B20" s="14" t="s">
        <v>302</v>
      </c>
      <c r="C20" s="25" t="s">
        <v>303</v>
      </c>
      <c r="D20" s="14" t="s">
        <v>304</v>
      </c>
      <c r="E20" s="8" t="s">
        <v>266</v>
      </c>
      <c r="F20" s="8">
        <v>45</v>
      </c>
      <c r="G20" s="7"/>
      <c r="H20" s="8">
        <v>15</v>
      </c>
      <c r="I20" s="8">
        <v>180</v>
      </c>
      <c r="J20" s="8" t="s">
        <v>143</v>
      </c>
      <c r="K20" s="26" t="str">
        <f t="shared" si="0"/>
        <v>Pendiente</v>
      </c>
      <c r="L20" s="14" t="s">
        <v>305</v>
      </c>
      <c r="M20" s="14" t="s">
        <v>259</v>
      </c>
    </row>
    <row r="21" spans="1:13" ht="39.6" customHeight="1" x14ac:dyDescent="0.3">
      <c r="A21" s="17">
        <v>15</v>
      </c>
      <c r="B21" s="14" t="s">
        <v>302</v>
      </c>
      <c r="C21" s="25" t="s">
        <v>306</v>
      </c>
      <c r="D21" s="14" t="s">
        <v>291</v>
      </c>
      <c r="E21" s="8" t="s">
        <v>281</v>
      </c>
      <c r="F21" s="8">
        <v>3</v>
      </c>
      <c r="G21" s="7"/>
      <c r="H21" s="8">
        <v>1</v>
      </c>
      <c r="I21" s="8">
        <v>3</v>
      </c>
      <c r="J21" s="8" t="s">
        <v>143</v>
      </c>
      <c r="K21" s="26" t="str">
        <f t="shared" si="0"/>
        <v>Pendiente</v>
      </c>
      <c r="L21" s="14" t="s">
        <v>282</v>
      </c>
      <c r="M21" s="14" t="s">
        <v>259</v>
      </c>
    </row>
    <row r="22" spans="1:13" ht="39.6" customHeight="1" x14ac:dyDescent="0.3">
      <c r="A22" s="17">
        <v>16</v>
      </c>
      <c r="B22" s="14" t="s">
        <v>307</v>
      </c>
      <c r="C22" s="25" t="s">
        <v>308</v>
      </c>
      <c r="D22" s="14" t="s">
        <v>309</v>
      </c>
      <c r="E22" s="8" t="s">
        <v>310</v>
      </c>
      <c r="F22" s="8">
        <v>3</v>
      </c>
      <c r="G22" s="7"/>
      <c r="H22" s="8">
        <v>0.5</v>
      </c>
      <c r="I22" s="8">
        <v>20</v>
      </c>
      <c r="J22" s="8" t="s">
        <v>143</v>
      </c>
      <c r="K22" s="26" t="str">
        <f t="shared" si="0"/>
        <v>Pendiente</v>
      </c>
      <c r="L22" s="14" t="s">
        <v>311</v>
      </c>
      <c r="M22" s="14" t="s">
        <v>259</v>
      </c>
    </row>
    <row r="23" spans="1:13" ht="39.6" customHeight="1" x14ac:dyDescent="0.3">
      <c r="A23" s="17">
        <v>17</v>
      </c>
      <c r="B23" s="14" t="s">
        <v>307</v>
      </c>
      <c r="C23" s="25" t="s">
        <v>312</v>
      </c>
      <c r="D23" s="14" t="s">
        <v>291</v>
      </c>
      <c r="E23" s="8" t="s">
        <v>281</v>
      </c>
      <c r="F23" s="8">
        <v>2</v>
      </c>
      <c r="G23" s="7"/>
      <c r="H23" s="8">
        <v>1</v>
      </c>
      <c r="I23" s="8">
        <v>3</v>
      </c>
      <c r="J23" s="8" t="s">
        <v>143</v>
      </c>
      <c r="K23" s="26" t="str">
        <f t="shared" si="0"/>
        <v>Pendiente</v>
      </c>
      <c r="L23" s="14" t="s">
        <v>282</v>
      </c>
      <c r="M23" s="14" t="s">
        <v>259</v>
      </c>
    </row>
    <row r="24" spans="1:13" ht="39.6" customHeight="1" x14ac:dyDescent="0.3">
      <c r="A24" s="17">
        <v>18</v>
      </c>
      <c r="B24" s="14" t="s">
        <v>313</v>
      </c>
      <c r="C24" s="25" t="s">
        <v>314</v>
      </c>
      <c r="D24" s="14" t="s">
        <v>315</v>
      </c>
      <c r="E24" s="8" t="s">
        <v>316</v>
      </c>
      <c r="F24" s="8">
        <v>1</v>
      </c>
      <c r="G24" s="7"/>
      <c r="H24" s="8">
        <v>1</v>
      </c>
      <c r="I24" s="8">
        <v>10</v>
      </c>
      <c r="J24" s="8" t="s">
        <v>143</v>
      </c>
      <c r="K24" s="26" t="str">
        <f t="shared" si="0"/>
        <v>Pendiente</v>
      </c>
      <c r="L24" s="14" t="s">
        <v>317</v>
      </c>
      <c r="M24" s="14" t="s">
        <v>259</v>
      </c>
    </row>
    <row r="25" spans="1:13" ht="39.6" customHeight="1" x14ac:dyDescent="0.3">
      <c r="A25" s="17">
        <v>19</v>
      </c>
      <c r="B25" s="14" t="s">
        <v>313</v>
      </c>
      <c r="C25" s="25" t="s">
        <v>318</v>
      </c>
      <c r="D25" s="14" t="s">
        <v>291</v>
      </c>
      <c r="E25" s="8" t="s">
        <v>281</v>
      </c>
      <c r="F25" s="8">
        <v>2</v>
      </c>
      <c r="G25" s="7"/>
      <c r="H25" s="8">
        <v>1</v>
      </c>
      <c r="I25" s="8">
        <v>3</v>
      </c>
      <c r="J25" s="8" t="s">
        <v>143</v>
      </c>
      <c r="K25" s="26" t="str">
        <f t="shared" si="0"/>
        <v>Pendiente</v>
      </c>
      <c r="L25" s="14" t="s">
        <v>282</v>
      </c>
      <c r="M25" s="14" t="s">
        <v>259</v>
      </c>
    </row>
    <row r="26" spans="1:13" ht="39.6" customHeight="1" x14ac:dyDescent="0.3">
      <c r="A26" s="17">
        <v>20</v>
      </c>
      <c r="B26" s="14" t="s">
        <v>319</v>
      </c>
      <c r="C26" s="25" t="s">
        <v>320</v>
      </c>
      <c r="D26" s="14" t="s">
        <v>321</v>
      </c>
      <c r="E26" s="8" t="s">
        <v>281</v>
      </c>
      <c r="F26" s="8">
        <v>2</v>
      </c>
      <c r="G26" s="7"/>
      <c r="H26" s="8">
        <v>1</v>
      </c>
      <c r="I26" s="8">
        <v>3</v>
      </c>
      <c r="J26" s="8" t="s">
        <v>143</v>
      </c>
      <c r="K26" s="26" t="str">
        <f t="shared" si="0"/>
        <v>Pendiente</v>
      </c>
      <c r="L26" s="14" t="s">
        <v>282</v>
      </c>
      <c r="M26" s="14" t="s">
        <v>259</v>
      </c>
    </row>
    <row r="27" spans="1:13" ht="39.6" customHeight="1" x14ac:dyDescent="0.3">
      <c r="A27" s="17">
        <v>21</v>
      </c>
      <c r="B27" s="14" t="s">
        <v>322</v>
      </c>
      <c r="C27" s="25" t="s">
        <v>323</v>
      </c>
      <c r="D27" s="14" t="s">
        <v>324</v>
      </c>
      <c r="E27" s="8" t="s">
        <v>181</v>
      </c>
      <c r="F27" s="28">
        <v>0.54166666666666663</v>
      </c>
      <c r="G27" s="29"/>
      <c r="H27" s="28">
        <v>0.5</v>
      </c>
      <c r="I27" s="28">
        <v>0.70833333333333337</v>
      </c>
      <c r="J27" s="8" t="s">
        <v>143</v>
      </c>
      <c r="K27" s="26" t="str">
        <f t="shared" si="0"/>
        <v>Pendiente</v>
      </c>
      <c r="L27" s="14" t="s">
        <v>325</v>
      </c>
      <c r="M27" s="14" t="s">
        <v>259</v>
      </c>
    </row>
    <row r="28" spans="1:13" ht="39.6" customHeight="1" x14ac:dyDescent="0.3">
      <c r="A28" s="17">
        <v>22</v>
      </c>
      <c r="B28" s="14" t="s">
        <v>322</v>
      </c>
      <c r="C28" s="25" t="s">
        <v>326</v>
      </c>
      <c r="D28" s="14" t="s">
        <v>291</v>
      </c>
      <c r="E28" s="8" t="s">
        <v>281</v>
      </c>
      <c r="F28" s="8">
        <v>2</v>
      </c>
      <c r="G28" s="7"/>
      <c r="H28" s="8">
        <v>1</v>
      </c>
      <c r="I28" s="8">
        <v>3</v>
      </c>
      <c r="J28" s="8" t="s">
        <v>143</v>
      </c>
      <c r="K28" s="26" t="str">
        <f t="shared" si="0"/>
        <v>Pendiente</v>
      </c>
      <c r="L28" s="14" t="s">
        <v>282</v>
      </c>
      <c r="M28" s="14" t="s">
        <v>259</v>
      </c>
    </row>
    <row r="29" spans="1:13" ht="39.6" customHeight="1" x14ac:dyDescent="0.3">
      <c r="A29" s="17">
        <v>23</v>
      </c>
      <c r="B29" s="14" t="s">
        <v>275</v>
      </c>
      <c r="C29" s="25" t="s">
        <v>327</v>
      </c>
      <c r="D29" s="14" t="s">
        <v>328</v>
      </c>
      <c r="E29" s="8" t="s">
        <v>217</v>
      </c>
      <c r="F29" s="8" t="s">
        <v>329</v>
      </c>
      <c r="G29" s="7"/>
      <c r="H29" s="8" t="s">
        <v>219</v>
      </c>
      <c r="I29" s="8" t="s">
        <v>330</v>
      </c>
      <c r="J29" s="8" t="s">
        <v>219</v>
      </c>
      <c r="K29" s="26" t="str">
        <f t="shared" ref="K29:K37" si="1">IF(G29="","Pendiente","OK")</f>
        <v>Pendiente</v>
      </c>
      <c r="L29" s="14" t="s">
        <v>331</v>
      </c>
      <c r="M29" s="14" t="s">
        <v>259</v>
      </c>
    </row>
    <row r="30" spans="1:13" ht="39.6" customHeight="1" x14ac:dyDescent="0.3">
      <c r="A30" s="17">
        <v>24</v>
      </c>
      <c r="B30" s="14" t="s">
        <v>283</v>
      </c>
      <c r="C30" s="25" t="s">
        <v>332</v>
      </c>
      <c r="D30" s="14" t="s">
        <v>328</v>
      </c>
      <c r="E30" s="8" t="s">
        <v>217</v>
      </c>
      <c r="F30" s="8" t="s">
        <v>329</v>
      </c>
      <c r="G30" s="7"/>
      <c r="H30" s="8" t="s">
        <v>219</v>
      </c>
      <c r="I30" s="8" t="s">
        <v>330</v>
      </c>
      <c r="J30" s="8" t="s">
        <v>219</v>
      </c>
      <c r="K30" s="26" t="str">
        <f t="shared" si="1"/>
        <v>Pendiente</v>
      </c>
      <c r="L30" s="14" t="s">
        <v>331</v>
      </c>
      <c r="M30" s="14" t="s">
        <v>259</v>
      </c>
    </row>
    <row r="31" spans="1:13" ht="39.6" customHeight="1" x14ac:dyDescent="0.3">
      <c r="A31" s="17">
        <v>25</v>
      </c>
      <c r="B31" s="14" t="s">
        <v>292</v>
      </c>
      <c r="C31" s="25" t="s">
        <v>333</v>
      </c>
      <c r="D31" s="14" t="s">
        <v>328</v>
      </c>
      <c r="E31" s="8" t="s">
        <v>217</v>
      </c>
      <c r="F31" s="8" t="s">
        <v>329</v>
      </c>
      <c r="G31" s="7"/>
      <c r="H31" s="8" t="s">
        <v>219</v>
      </c>
      <c r="I31" s="8" t="s">
        <v>330</v>
      </c>
      <c r="J31" s="8" t="s">
        <v>219</v>
      </c>
      <c r="K31" s="26" t="str">
        <f t="shared" si="1"/>
        <v>Pendiente</v>
      </c>
      <c r="L31" s="14" t="s">
        <v>331</v>
      </c>
      <c r="M31" s="14" t="s">
        <v>259</v>
      </c>
    </row>
    <row r="32" spans="1:13" ht="39.6" customHeight="1" x14ac:dyDescent="0.3">
      <c r="A32" s="17">
        <v>26</v>
      </c>
      <c r="B32" s="14" t="s">
        <v>297</v>
      </c>
      <c r="C32" s="25" t="s">
        <v>334</v>
      </c>
      <c r="D32" s="14" t="s">
        <v>328</v>
      </c>
      <c r="E32" s="8" t="s">
        <v>217</v>
      </c>
      <c r="F32" s="8" t="s">
        <v>329</v>
      </c>
      <c r="G32" s="7"/>
      <c r="H32" s="8" t="s">
        <v>219</v>
      </c>
      <c r="I32" s="8" t="s">
        <v>330</v>
      </c>
      <c r="J32" s="8" t="s">
        <v>219</v>
      </c>
      <c r="K32" s="26" t="str">
        <f t="shared" si="1"/>
        <v>Pendiente</v>
      </c>
      <c r="L32" s="14" t="s">
        <v>331</v>
      </c>
      <c r="M32" s="14" t="s">
        <v>259</v>
      </c>
    </row>
    <row r="33" spans="1:13" ht="39.6" customHeight="1" x14ac:dyDescent="0.3">
      <c r="A33" s="17">
        <v>27</v>
      </c>
      <c r="B33" s="14" t="s">
        <v>302</v>
      </c>
      <c r="C33" s="25" t="s">
        <v>335</v>
      </c>
      <c r="D33" s="14" t="s">
        <v>328</v>
      </c>
      <c r="E33" s="8" t="s">
        <v>217</v>
      </c>
      <c r="F33" s="8" t="s">
        <v>329</v>
      </c>
      <c r="G33" s="7"/>
      <c r="H33" s="8" t="s">
        <v>219</v>
      </c>
      <c r="I33" s="8" t="s">
        <v>330</v>
      </c>
      <c r="J33" s="8" t="s">
        <v>219</v>
      </c>
      <c r="K33" s="26" t="str">
        <f t="shared" si="1"/>
        <v>Pendiente</v>
      </c>
      <c r="L33" s="14" t="s">
        <v>331</v>
      </c>
      <c r="M33" s="14" t="s">
        <v>259</v>
      </c>
    </row>
    <row r="34" spans="1:13" ht="39.6" customHeight="1" x14ac:dyDescent="0.3">
      <c r="A34" s="17">
        <v>28</v>
      </c>
      <c r="B34" s="14" t="s">
        <v>307</v>
      </c>
      <c r="C34" s="25" t="s">
        <v>336</v>
      </c>
      <c r="D34" s="14" t="s">
        <v>328</v>
      </c>
      <c r="E34" s="8" t="s">
        <v>217</v>
      </c>
      <c r="F34" s="8" t="s">
        <v>329</v>
      </c>
      <c r="G34" s="7"/>
      <c r="H34" s="8" t="s">
        <v>219</v>
      </c>
      <c r="I34" s="8" t="s">
        <v>330</v>
      </c>
      <c r="J34" s="8" t="s">
        <v>219</v>
      </c>
      <c r="K34" s="26" t="str">
        <f t="shared" si="1"/>
        <v>Pendiente</v>
      </c>
      <c r="L34" s="14" t="s">
        <v>331</v>
      </c>
      <c r="M34" s="14" t="s">
        <v>259</v>
      </c>
    </row>
    <row r="35" spans="1:13" ht="39.6" customHeight="1" x14ac:dyDescent="0.3">
      <c r="A35" s="17">
        <v>29</v>
      </c>
      <c r="B35" s="14" t="s">
        <v>313</v>
      </c>
      <c r="C35" s="25" t="s">
        <v>337</v>
      </c>
      <c r="D35" s="14" t="s">
        <v>328</v>
      </c>
      <c r="E35" s="8" t="s">
        <v>217</v>
      </c>
      <c r="F35" s="8" t="s">
        <v>329</v>
      </c>
      <c r="G35" s="7"/>
      <c r="H35" s="8" t="s">
        <v>219</v>
      </c>
      <c r="I35" s="8" t="s">
        <v>330</v>
      </c>
      <c r="J35" s="8" t="s">
        <v>219</v>
      </c>
      <c r="K35" s="26" t="str">
        <f t="shared" si="1"/>
        <v>Pendiente</v>
      </c>
      <c r="L35" s="14" t="s">
        <v>331</v>
      </c>
      <c r="M35" s="14" t="s">
        <v>259</v>
      </c>
    </row>
    <row r="36" spans="1:13" ht="39.6" customHeight="1" x14ac:dyDescent="0.3">
      <c r="A36" s="17">
        <v>30</v>
      </c>
      <c r="B36" s="14" t="s">
        <v>319</v>
      </c>
      <c r="C36" s="25" t="s">
        <v>338</v>
      </c>
      <c r="D36" s="14" t="s">
        <v>328</v>
      </c>
      <c r="E36" s="8" t="s">
        <v>217</v>
      </c>
      <c r="F36" s="8" t="s">
        <v>329</v>
      </c>
      <c r="G36" s="7"/>
      <c r="H36" s="8" t="s">
        <v>219</v>
      </c>
      <c r="I36" s="8" t="s">
        <v>330</v>
      </c>
      <c r="J36" s="8" t="s">
        <v>219</v>
      </c>
      <c r="K36" s="26" t="str">
        <f t="shared" si="1"/>
        <v>Pendiente</v>
      </c>
      <c r="L36" s="14" t="s">
        <v>331</v>
      </c>
      <c r="M36" s="14" t="s">
        <v>259</v>
      </c>
    </row>
    <row r="37" spans="1:13" ht="39.6" customHeight="1" x14ac:dyDescent="0.3">
      <c r="A37" s="17">
        <v>31</v>
      </c>
      <c r="B37" s="14" t="s">
        <v>322</v>
      </c>
      <c r="C37" s="25" t="s">
        <v>339</v>
      </c>
      <c r="D37" s="14" t="s">
        <v>328</v>
      </c>
      <c r="E37" s="8" t="s">
        <v>217</v>
      </c>
      <c r="F37" s="8" t="s">
        <v>329</v>
      </c>
      <c r="G37" s="7"/>
      <c r="H37" s="8" t="s">
        <v>219</v>
      </c>
      <c r="I37" s="8" t="s">
        <v>330</v>
      </c>
      <c r="J37" s="8" t="s">
        <v>219</v>
      </c>
      <c r="K37" s="26" t="str">
        <f t="shared" si="1"/>
        <v>Pendiente</v>
      </c>
      <c r="L37" s="14" t="s">
        <v>331</v>
      </c>
      <c r="M37" s="14" t="s">
        <v>259</v>
      </c>
    </row>
    <row r="38" spans="1:13" x14ac:dyDescent="0.3">
      <c r="A38" s="23" t="s">
        <v>340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 ht="30" customHeight="1" x14ac:dyDescent="0.3">
      <c r="A39" s="17">
        <v>32</v>
      </c>
      <c r="B39" s="14" t="s">
        <v>341</v>
      </c>
      <c r="C39" s="25" t="s">
        <v>342</v>
      </c>
      <c r="D39" s="14" t="s">
        <v>343</v>
      </c>
      <c r="E39" s="8" t="s">
        <v>344</v>
      </c>
      <c r="F39" s="8" t="s">
        <v>345</v>
      </c>
      <c r="G39" s="7"/>
      <c r="H39" s="8">
        <v>0</v>
      </c>
      <c r="I39" s="8">
        <v>1000</v>
      </c>
      <c r="J39" s="8" t="s">
        <v>143</v>
      </c>
      <c r="K39" s="26" t="str">
        <f>IF(G39="","Pendiente",IF(AND(ISNUMBER(G39),G39&gt;=H39,G39&lt;=I39),"OK","Fuera de rango"))</f>
        <v>Pendiente</v>
      </c>
      <c r="L39" s="14" t="s">
        <v>346</v>
      </c>
      <c r="M39" s="14" t="s">
        <v>347</v>
      </c>
    </row>
    <row r="40" spans="1:13" ht="39.6" customHeight="1" x14ac:dyDescent="0.3">
      <c r="A40" s="17">
        <v>33</v>
      </c>
      <c r="B40" s="14" t="s">
        <v>341</v>
      </c>
      <c r="C40" s="25" t="s">
        <v>348</v>
      </c>
      <c r="D40" s="14" t="s">
        <v>349</v>
      </c>
      <c r="E40" s="8" t="s">
        <v>217</v>
      </c>
      <c r="F40" s="8" t="s">
        <v>350</v>
      </c>
      <c r="G40" s="7"/>
      <c r="H40" s="8" t="s">
        <v>219</v>
      </c>
      <c r="I40" s="8" t="s">
        <v>351</v>
      </c>
      <c r="J40" s="8" t="s">
        <v>219</v>
      </c>
      <c r="K40" s="26" t="str">
        <f>IF(G40="","Pendiente","OK")</f>
        <v>Pendiente</v>
      </c>
      <c r="L40" s="14" t="s">
        <v>352</v>
      </c>
      <c r="M40" s="14" t="s">
        <v>353</v>
      </c>
    </row>
    <row r="41" spans="1:13" ht="30" customHeight="1" x14ac:dyDescent="0.3">
      <c r="A41" s="17">
        <v>34</v>
      </c>
      <c r="B41" s="14" t="s">
        <v>341</v>
      </c>
      <c r="C41" s="25" t="s">
        <v>354</v>
      </c>
      <c r="D41" s="14" t="s">
        <v>355</v>
      </c>
      <c r="E41" s="8" t="s">
        <v>217</v>
      </c>
      <c r="F41" s="8" t="s">
        <v>356</v>
      </c>
      <c r="G41" s="7"/>
      <c r="H41" s="8" t="s">
        <v>219</v>
      </c>
      <c r="I41" s="8" t="s">
        <v>357</v>
      </c>
      <c r="J41" s="8" t="s">
        <v>219</v>
      </c>
      <c r="K41" s="26" t="str">
        <f>IF(G41="","Pendiente","OK")</f>
        <v>Pendiente</v>
      </c>
      <c r="L41" s="14" t="s">
        <v>358</v>
      </c>
      <c r="M41" s="14" t="s">
        <v>353</v>
      </c>
    </row>
    <row r="42" spans="1:13" ht="30" customHeight="1" x14ac:dyDescent="0.3">
      <c r="A42" s="17">
        <v>35</v>
      </c>
      <c r="B42" s="14" t="s">
        <v>341</v>
      </c>
      <c r="C42" s="25" t="s">
        <v>359</v>
      </c>
      <c r="D42" s="14" t="s">
        <v>360</v>
      </c>
      <c r="E42" s="8" t="s">
        <v>237</v>
      </c>
      <c r="F42" s="8">
        <v>1</v>
      </c>
      <c r="G42" s="7"/>
      <c r="H42" s="8">
        <v>0</v>
      </c>
      <c r="I42" s="8">
        <v>100</v>
      </c>
      <c r="J42" s="8" t="s">
        <v>143</v>
      </c>
      <c r="K42" s="26" t="str">
        <f>IF(G42="","Pendiente",IF(AND(ISNUMBER(G42),G42&gt;=H42,G42&lt;=I42),"OK","Fuera de rango"))</f>
        <v>Pendiente</v>
      </c>
      <c r="L42" s="14" t="s">
        <v>317</v>
      </c>
      <c r="M42" s="14" t="s">
        <v>353</v>
      </c>
    </row>
    <row r="43" spans="1:13" ht="30" customHeight="1" x14ac:dyDescent="0.3">
      <c r="A43" s="17">
        <v>36</v>
      </c>
      <c r="B43" s="14" t="s">
        <v>341</v>
      </c>
      <c r="C43" s="25" t="s">
        <v>361</v>
      </c>
      <c r="D43" s="14" t="s">
        <v>362</v>
      </c>
      <c r="E43" s="8" t="s">
        <v>181</v>
      </c>
      <c r="F43" s="28">
        <v>0.34722222222222221</v>
      </c>
      <c r="G43" s="29"/>
      <c r="H43" s="28">
        <v>0.25</v>
      </c>
      <c r="I43" s="28">
        <v>0.83333333333333337</v>
      </c>
      <c r="J43" s="8" t="s">
        <v>143</v>
      </c>
      <c r="K43" s="26" t="str">
        <f>IF(G43="","Pendiente",IF(AND(ISNUMBER(G43),G43&gt;=H43,G43&lt;=I43),"OK","Fuera de rango"))</f>
        <v>Pendiente</v>
      </c>
      <c r="L43" s="14" t="s">
        <v>363</v>
      </c>
      <c r="M43" s="14" t="s">
        <v>353</v>
      </c>
    </row>
    <row r="44" spans="1:13" ht="39.6" customHeight="1" x14ac:dyDescent="0.3">
      <c r="A44" s="17">
        <v>37</v>
      </c>
      <c r="B44" s="14" t="s">
        <v>341</v>
      </c>
      <c r="C44" s="25" t="s">
        <v>364</v>
      </c>
      <c r="D44" s="14" t="s">
        <v>365</v>
      </c>
      <c r="E44" s="8" t="s">
        <v>181</v>
      </c>
      <c r="F44" s="28">
        <v>0.34722222222222221</v>
      </c>
      <c r="G44" s="29"/>
      <c r="H44" s="28">
        <v>0.25</v>
      </c>
      <c r="I44" s="28">
        <v>0.58333333333333337</v>
      </c>
      <c r="J44" s="8" t="s">
        <v>143</v>
      </c>
      <c r="K44" s="26" t="str">
        <f>IF(G44="","Pendiente",IF(AND(ISNUMBER(G44),G44&gt;=H44,G44&lt;=I44),"OK","Fuera de rango"))</f>
        <v>Pendiente</v>
      </c>
      <c r="L44" s="14" t="s">
        <v>366</v>
      </c>
      <c r="M44" s="14" t="s">
        <v>367</v>
      </c>
    </row>
    <row r="45" spans="1:13" ht="39.6" customHeight="1" x14ac:dyDescent="0.3">
      <c r="A45" s="17">
        <v>38</v>
      </c>
      <c r="B45" s="14" t="s">
        <v>341</v>
      </c>
      <c r="C45" s="25" t="s">
        <v>368</v>
      </c>
      <c r="D45" s="14" t="s">
        <v>369</v>
      </c>
      <c r="E45" s="8" t="s">
        <v>181</v>
      </c>
      <c r="F45" s="28">
        <v>0.625</v>
      </c>
      <c r="G45" s="29"/>
      <c r="H45" s="28">
        <v>0.41666666666666669</v>
      </c>
      <c r="I45" s="28">
        <v>0.83333333333333337</v>
      </c>
      <c r="J45" s="8" t="s">
        <v>143</v>
      </c>
      <c r="K45" s="26" t="str">
        <f>IF(G45="","Pendiente",IF(AND(ISNUMBER(G45),G45&gt;=H45,G45&lt;=I45),"OK","Fuera de rango"))</f>
        <v>Pendiente</v>
      </c>
      <c r="L45" s="14" t="s">
        <v>370</v>
      </c>
      <c r="M45" s="14" t="s">
        <v>367</v>
      </c>
    </row>
    <row r="46" spans="1:13" ht="30" customHeight="1" x14ac:dyDescent="0.3">
      <c r="A46" s="17">
        <v>39</v>
      </c>
      <c r="B46" s="14" t="s">
        <v>341</v>
      </c>
      <c r="C46" s="25" t="s">
        <v>371</v>
      </c>
      <c r="D46" s="14" t="s">
        <v>291</v>
      </c>
      <c r="E46" s="8" t="s">
        <v>281</v>
      </c>
      <c r="F46" s="8">
        <v>2</v>
      </c>
      <c r="G46" s="7"/>
      <c r="H46" s="8">
        <v>1</v>
      </c>
      <c r="I46" s="8">
        <v>3</v>
      </c>
      <c r="J46" s="8" t="s">
        <v>225</v>
      </c>
      <c r="K46" s="26" t="str">
        <f>IF(G46="","Pendiente",IF(AND(ISNUMBER(G46),G46&gt;=H46,G46&lt;=I46),"OK","Fuera de rango"))</f>
        <v>Pendiente</v>
      </c>
      <c r="L46" s="14" t="s">
        <v>282</v>
      </c>
      <c r="M46" s="14" t="s">
        <v>353</v>
      </c>
    </row>
    <row r="47" spans="1:13" ht="30" customHeight="1" x14ac:dyDescent="0.3">
      <c r="A47" s="17">
        <v>40</v>
      </c>
      <c r="B47" s="14" t="s">
        <v>341</v>
      </c>
      <c r="C47" s="25" t="s">
        <v>372</v>
      </c>
      <c r="D47" s="14" t="s">
        <v>373</v>
      </c>
      <c r="E47" s="8" t="s">
        <v>374</v>
      </c>
      <c r="F47" s="8" t="s">
        <v>375</v>
      </c>
      <c r="G47" s="7"/>
      <c r="H47" s="8" t="s">
        <v>272</v>
      </c>
      <c r="I47" s="8" t="s">
        <v>272</v>
      </c>
      <c r="J47" s="8" t="s">
        <v>272</v>
      </c>
      <c r="K47" s="26" t="str">
        <f>IF(G47="","Pendiente","OK")</f>
        <v>Pendiente</v>
      </c>
      <c r="L47" s="14" t="s">
        <v>376</v>
      </c>
      <c r="M47" s="14" t="s">
        <v>353</v>
      </c>
    </row>
    <row r="48" spans="1:13" ht="30" customHeight="1" x14ac:dyDescent="0.3">
      <c r="A48" s="17">
        <v>41</v>
      </c>
      <c r="B48" s="14" t="s">
        <v>341</v>
      </c>
      <c r="C48" s="25" t="s">
        <v>377</v>
      </c>
      <c r="D48" s="14" t="s">
        <v>378</v>
      </c>
      <c r="E48" s="8" t="s">
        <v>271</v>
      </c>
      <c r="F48" s="8" t="s">
        <v>379</v>
      </c>
      <c r="G48" s="7"/>
      <c r="H48" s="8" t="s">
        <v>272</v>
      </c>
      <c r="I48" s="8" t="s">
        <v>272</v>
      </c>
      <c r="J48" s="8" t="s">
        <v>272</v>
      </c>
      <c r="K48" s="26" t="str">
        <f>IF(G48="","Pendiente","OK")</f>
        <v>Pendiente</v>
      </c>
      <c r="L48" s="14" t="s">
        <v>380</v>
      </c>
      <c r="M48" s="14" t="s">
        <v>353</v>
      </c>
    </row>
  </sheetData>
  <conditionalFormatting sqref="K6:K48">
    <cfRule type="cellIs" dxfId="23" priority="1" operator="equal">
      <formula>"OK"</formula>
    </cfRule>
    <cfRule type="cellIs" dxfId="22" priority="2" operator="equal">
      <formula>"Fuera de rango"</formula>
    </cfRule>
    <cfRule type="cellIs" dxfId="21" priority="3" operator="equal">
      <formula>"Pendiente"</formula>
    </cfRule>
  </conditionalFormatting>
  <dataValidations count="21">
    <dataValidation type="time" allowBlank="1" showErrorMessage="1" errorTitle="Fuera de rango" error="Escriba una hora entre 06:00 y 12:00 (formato hh:mm, ej. 08:15)." sqref="G6" xr:uid="{00000000-0002-0000-0400-000000000000}">
      <formula1>0.25</formula1>
      <formula2>0.5</formula2>
    </dataValidation>
    <dataValidation type="time" allowBlank="1" showErrorMessage="1" errorTitle="Fuera de rango" error="Escriba una hora entre 12:00 y 20:00 (formato hh:mm, ej. 08:15)." sqref="G7" xr:uid="{00000000-0002-0000-0400-000001000000}">
      <formula1>0.5</formula1>
      <formula2>0.833333333333333</formula2>
    </dataValidation>
    <dataValidation type="decimal" allowBlank="1" showErrorMessage="1" errorTitle="Fuera de rango" error="Escriba un valor entre 5 y 240 (minutos)." sqref="G8" xr:uid="{00000000-0002-0000-0400-000002000000}">
      <formula1>5</formula1>
      <formula2>240</formula2>
    </dataValidation>
    <dataValidation type="time" allowBlank="1" showErrorMessage="1" errorTitle="Fuera de rango" error="Escriba una hora entre 07:00 y 10:00 (formato hh:mm, ej. 08:15)." sqref="G11" xr:uid="{00000000-0002-0000-0400-000003000000}">
      <formula1>0.291666666666666</formula1>
      <formula2>0.416666666666666</formula2>
    </dataValidation>
    <dataValidation type="decimal" allowBlank="1" showErrorMessage="1" errorTitle="Fuera de rango" error="Escriba un valor entre 1 y 3 (1 a 3)." sqref="G12 G46 G28 G25:G26 G23 G21 G19 G17 G15" xr:uid="{00000000-0002-0000-0400-000004000000}">
      <formula1>1</formula1>
      <formula2>3</formula2>
    </dataValidation>
    <dataValidation type="decimal" allowBlank="1" showErrorMessage="1" errorTitle="Fuera de rango" error="Escriba un valor entre 1 y 10 (minutos)." sqref="G13" xr:uid="{00000000-0002-0000-0400-000005000000}">
      <formula1>1</formula1>
      <formula2>10</formula2>
    </dataValidation>
    <dataValidation type="decimal" allowBlank="1" showErrorMessage="1" errorTitle="Fuera de rango" error="Escriba un valor entre 20 y 90 (minutos)." sqref="G14" xr:uid="{00000000-0002-0000-0400-000006000000}">
      <formula1>20</formula1>
      <formula2>90</formula2>
    </dataValidation>
    <dataValidation type="decimal" allowBlank="1" showErrorMessage="1" errorTitle="Fuera de rango" error="Escriba un valor entre 50 y 100 (%)." sqref="G16" xr:uid="{00000000-0002-0000-0400-000008000000}">
      <formula1>50</formula1>
      <formula2>100</formula2>
    </dataValidation>
    <dataValidation type="decimal" allowBlank="1" showErrorMessage="1" errorTitle="Fuera de rango" error="Escriba un valor entre 30 y 80 (%)." sqref="G18" xr:uid="{00000000-0002-0000-0400-00000A000000}">
      <formula1>30</formula1>
      <formula2>80</formula2>
    </dataValidation>
    <dataValidation type="decimal" allowBlank="1" showErrorMessage="1" errorTitle="Fuera de rango" error="Escriba un valor entre 15 y 180 (minutos)." sqref="G20" xr:uid="{00000000-0002-0000-0400-00000C000000}">
      <formula1>15</formula1>
      <formula2>180</formula2>
    </dataValidation>
    <dataValidation type="decimal" allowBlank="1" showErrorMessage="1" errorTitle="Fuera de rango" error="Escriba un valor entre 0.5 y 20 (km)." sqref="G22" xr:uid="{00000000-0002-0000-0400-00000E000000}">
      <formula1>0.5</formula1>
      <formula2>20</formula2>
    </dataValidation>
    <dataValidation type="decimal" allowBlank="1" showErrorMessage="1" errorTitle="Fuera de rango" error="Escriba un valor entre 1 y 10 (pedidos)." sqref="G24" xr:uid="{00000000-0002-0000-0400-000010000000}">
      <formula1>1</formula1>
      <formula2>10</formula2>
    </dataValidation>
    <dataValidation type="time" allowBlank="1" showErrorMessage="1" errorTitle="Fuera de rango" error="Escriba una hora entre 12:00 y 17:00 (formato hh:mm, ej. 08:15)." sqref="G27" xr:uid="{00000000-0002-0000-0400-000013000000}">
      <formula1>0.5</formula1>
      <formula2>0.708333333333333</formula2>
    </dataValidation>
    <dataValidation type="list" allowBlank="1" showErrorMessage="1" errorTitle="Valor no válido" error="Elija una opción de la lista." sqref="G29:G37" xr:uid="{00000000-0002-0000-0400-000015000000}">
      <formula1>"Sí,No"</formula1>
    </dataValidation>
    <dataValidation type="decimal" allowBlank="1" showErrorMessage="1" errorTitle="Fuera de rango" error="Escriba un valor entre 0 y 1000 (número)." sqref="G39" xr:uid="{00000000-0002-0000-0400-00001E000000}">
      <formula1>0</formula1>
      <formula2>1000</formula2>
    </dataValidation>
    <dataValidation type="list" allowBlank="1" showErrorMessage="1" errorTitle="Valor no válido" error="Elija una opción de la lista." sqref="G40" xr:uid="{00000000-0002-0000-0400-00001F000000}">
      <formula1>"mayorIgual,menor,ritmo"</formula1>
    </dataValidation>
    <dataValidation type="list" allowBlank="1" showErrorMessage="1" errorTitle="Valor no válido" error="Elija una opción de la lista." sqref="G41" xr:uid="{00000000-0002-0000-0400-000020000000}">
      <formula1>"clientes,unidades,monto,impactos"</formula1>
    </dataValidation>
    <dataValidation type="decimal" allowBlank="1" showErrorMessage="1" errorTitle="Fuera de rango" error="Escriba un valor entre 0 y 100 (unidades)." sqref="G42" xr:uid="{00000000-0002-0000-0400-000021000000}">
      <formula1>0</formula1>
      <formula2>100</formula2>
    </dataValidation>
    <dataValidation type="time" allowBlank="1" showErrorMessage="1" errorTitle="Fuera de rango" error="Escriba una hora entre 06:00 y 20:00 (formato hh:mm, ej. 08:15)." sqref="G43" xr:uid="{00000000-0002-0000-0400-000022000000}">
      <formula1>0.25</formula1>
      <formula2>0.833333333333333</formula2>
    </dataValidation>
    <dataValidation type="time" allowBlank="1" showErrorMessage="1" errorTitle="Fuera de rango" error="Escriba una hora entre 06:00 y 14:00 (formato hh:mm, ej. 08:15)." sqref="G44" xr:uid="{00000000-0002-0000-0400-000023000000}">
      <formula1>0.25</formula1>
      <formula2>0.583333333333333</formula2>
    </dataValidation>
    <dataValidation type="time" allowBlank="1" showErrorMessage="1" errorTitle="Fuera de rango" error="Escriba una hora entre 10:00 y 20:00 (formato hh:mm, ej. 08:15)." sqref="G45" xr:uid="{00000000-0002-0000-0400-000024000000}">
      <formula1>0.416666666666666</formula1>
      <formula2>0.833333333333333</formula2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2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381</v>
      </c>
    </row>
    <row r="2" spans="1:13" x14ac:dyDescent="0.3">
      <c r="A2" s="2" t="s">
        <v>382</v>
      </c>
    </row>
    <row r="3" spans="1:13" x14ac:dyDescent="0.3">
      <c r="A3" s="22" t="s">
        <v>383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x14ac:dyDescent="0.3">
      <c r="A6" s="23" t="s">
        <v>384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39.6" customHeight="1" x14ac:dyDescent="0.3">
      <c r="A7" s="17">
        <v>1</v>
      </c>
      <c r="B7" s="14" t="s">
        <v>385</v>
      </c>
      <c r="C7" s="25" t="s">
        <v>386</v>
      </c>
      <c r="D7" s="14" t="s">
        <v>387</v>
      </c>
      <c r="E7" s="8" t="s">
        <v>266</v>
      </c>
      <c r="F7" s="8">
        <v>30</v>
      </c>
      <c r="G7" s="7"/>
      <c r="H7" s="8">
        <v>1</v>
      </c>
      <c r="I7" s="8">
        <v>240</v>
      </c>
      <c r="J7" s="8" t="s">
        <v>143</v>
      </c>
      <c r="K7" s="26" t="str">
        <f>IF(G7="","Pendiente",IF(AND(ISNUMBER(G7),G7&gt;=H7,G7&lt;=I7),"OK","Fuera de rango"))</f>
        <v>Pendiente</v>
      </c>
      <c r="L7" s="14" t="s">
        <v>388</v>
      </c>
      <c r="M7" s="14" t="s">
        <v>389</v>
      </c>
    </row>
    <row r="8" spans="1:13" ht="39.6" customHeight="1" x14ac:dyDescent="0.3">
      <c r="A8" s="17">
        <v>2</v>
      </c>
      <c r="B8" s="14" t="s">
        <v>385</v>
      </c>
      <c r="C8" s="25" t="s">
        <v>390</v>
      </c>
      <c r="D8" s="14" t="s">
        <v>391</v>
      </c>
      <c r="E8" s="8" t="s">
        <v>266</v>
      </c>
      <c r="F8" s="8">
        <v>45</v>
      </c>
      <c r="G8" s="7"/>
      <c r="H8" s="8">
        <v>1</v>
      </c>
      <c r="I8" s="8">
        <v>480</v>
      </c>
      <c r="J8" s="8" t="s">
        <v>143</v>
      </c>
      <c r="K8" s="26" t="str">
        <f>IF(G8="","Pendiente",IF(AND(ISNUMBER(G8),G8&gt;=H8,G8&lt;=I8),"OK","Fuera de rango"))</f>
        <v>Pendiente</v>
      </c>
      <c r="L8" s="14" t="s">
        <v>392</v>
      </c>
      <c r="M8" s="14" t="s">
        <v>389</v>
      </c>
    </row>
    <row r="9" spans="1:13" ht="30" customHeight="1" x14ac:dyDescent="0.3">
      <c r="A9" s="17">
        <v>3</v>
      </c>
      <c r="B9" s="14" t="s">
        <v>385</v>
      </c>
      <c r="C9" s="25" t="s">
        <v>393</v>
      </c>
      <c r="D9" s="14" t="s">
        <v>394</v>
      </c>
      <c r="E9" s="8" t="s">
        <v>395</v>
      </c>
      <c r="F9" s="8">
        <v>48</v>
      </c>
      <c r="G9" s="7"/>
      <c r="H9" s="8">
        <v>1</v>
      </c>
      <c r="I9" s="8">
        <v>720</v>
      </c>
      <c r="J9" s="8" t="s">
        <v>225</v>
      </c>
      <c r="K9" s="26" t="str">
        <f>IF(G9="","Pendiente",IF(AND(ISNUMBER(G9),G9&gt;=H9,G9&lt;=I9),"OK","Fuera de rango"))</f>
        <v>Pendiente</v>
      </c>
      <c r="L9" s="14" t="s">
        <v>396</v>
      </c>
      <c r="M9" s="14" t="s">
        <v>397</v>
      </c>
    </row>
    <row r="10" spans="1:13" x14ac:dyDescent="0.3">
      <c r="A10" s="23" t="s">
        <v>398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39.6" customHeight="1" x14ac:dyDescent="0.3">
      <c r="A11" s="17">
        <v>4</v>
      </c>
      <c r="B11" s="14" t="s">
        <v>399</v>
      </c>
      <c r="C11" s="25" t="s">
        <v>400</v>
      </c>
      <c r="D11" s="14" t="s">
        <v>401</v>
      </c>
      <c r="E11" s="8" t="s">
        <v>224</v>
      </c>
      <c r="F11" s="8">
        <v>400</v>
      </c>
      <c r="G11" s="7"/>
      <c r="H11" s="8">
        <v>1</v>
      </c>
      <c r="I11" s="8">
        <v>5000</v>
      </c>
      <c r="J11" s="8" t="s">
        <v>143</v>
      </c>
      <c r="K11" s="26" t="str">
        <f>IF(G11="","Pendiente",IF(AND(ISNUMBER(G11),G11&gt;=H11,G11&lt;=I11),"OK","Fuera de rango"))</f>
        <v>Pendiente</v>
      </c>
      <c r="L11" s="14" t="s">
        <v>402</v>
      </c>
      <c r="M11" s="14" t="s">
        <v>389</v>
      </c>
    </row>
    <row r="12" spans="1:13" ht="39.6" customHeight="1" x14ac:dyDescent="0.3">
      <c r="A12" s="17">
        <v>5</v>
      </c>
      <c r="B12" s="14" t="s">
        <v>399</v>
      </c>
      <c r="C12" s="25" t="s">
        <v>403</v>
      </c>
      <c r="D12" s="14" t="s">
        <v>404</v>
      </c>
      <c r="E12" s="8" t="s">
        <v>224</v>
      </c>
      <c r="F12" s="8">
        <v>1000</v>
      </c>
      <c r="G12" s="7"/>
      <c r="H12" s="8">
        <v>1</v>
      </c>
      <c r="I12" s="8">
        <v>10000</v>
      </c>
      <c r="J12" s="8" t="s">
        <v>143</v>
      </c>
      <c r="K12" s="26" t="str">
        <f>IF(G12="","Pendiente",IF(AND(ISNUMBER(G12),G12&gt;=H12,G12&lt;=I12),"OK","Fuera de rango"))</f>
        <v>Pendiente</v>
      </c>
      <c r="L12" s="14" t="s">
        <v>392</v>
      </c>
      <c r="M12" s="14" t="s">
        <v>389</v>
      </c>
    </row>
  </sheetData>
  <conditionalFormatting sqref="K6:K12">
    <cfRule type="cellIs" dxfId="20" priority="1" operator="equal">
      <formula>"OK"</formula>
    </cfRule>
    <cfRule type="cellIs" dxfId="19" priority="2" operator="equal">
      <formula>"Fuera de rango"</formula>
    </cfRule>
    <cfRule type="cellIs" dxfId="18" priority="3" operator="equal">
      <formula>"Pendiente"</formula>
    </cfRule>
  </conditionalFormatting>
  <dataValidations count="5">
    <dataValidation type="decimal" allowBlank="1" showErrorMessage="1" errorTitle="Fuera de rango" error="Escriba un valor entre 1 y 240 (minutos)." sqref="G7" xr:uid="{00000000-0002-0000-0500-000000000000}">
      <formula1>1</formula1>
      <formula2>240</formula2>
    </dataValidation>
    <dataValidation type="decimal" allowBlank="1" showErrorMessage="1" errorTitle="Fuera de rango" error="Escriba un valor entre 1 y 480 (minutos)." sqref="G8" xr:uid="{00000000-0002-0000-0500-000001000000}">
      <formula1>1</formula1>
      <formula2>480</formula2>
    </dataValidation>
    <dataValidation type="decimal" allowBlank="1" showErrorMessage="1" errorTitle="Fuera de rango" error="Escriba un valor entre 1 y 720 (horas)." sqref="G9" xr:uid="{00000000-0002-0000-0500-000002000000}">
      <formula1>1</formula1>
      <formula2>720</formula2>
    </dataValidation>
    <dataValidation type="decimal" allowBlank="1" showErrorMessage="1" errorTitle="Fuera de rango" error="Escriba un valor entre 1 y 5000 (metros)." sqref="G11" xr:uid="{00000000-0002-0000-0500-000003000000}">
      <formula1>1</formula1>
      <formula2>5000</formula2>
    </dataValidation>
    <dataValidation type="decimal" allowBlank="1" showErrorMessage="1" errorTitle="Fuera de rango" error="Escriba un valor entre 1 y 10000 (metros)." sqref="G12" xr:uid="{00000000-0002-0000-0500-000004000000}">
      <formula1>1</formula1>
      <formula2>10000</formula2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405</v>
      </c>
    </row>
    <row r="2" spans="1:13" x14ac:dyDescent="0.3">
      <c r="A2" s="2" t="s">
        <v>406</v>
      </c>
    </row>
    <row r="3" spans="1:13" x14ac:dyDescent="0.3">
      <c r="A3" s="22" t="s">
        <v>407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ht="39.6" customHeight="1" x14ac:dyDescent="0.3">
      <c r="A6" s="17">
        <v>1</v>
      </c>
      <c r="B6" s="14" t="s">
        <v>408</v>
      </c>
      <c r="C6" s="25" t="s">
        <v>409</v>
      </c>
      <c r="D6" s="14" t="s">
        <v>410</v>
      </c>
      <c r="E6" s="8" t="s">
        <v>181</v>
      </c>
      <c r="F6" s="28">
        <v>0.33333333333333331</v>
      </c>
      <c r="G6" s="29"/>
      <c r="H6" s="28">
        <v>0.25</v>
      </c>
      <c r="I6" s="28">
        <v>0.5</v>
      </c>
      <c r="J6" s="8" t="s">
        <v>143</v>
      </c>
      <c r="K6" s="26" t="str">
        <f>IF(G6="","Pendiente",IF(AND(ISNUMBER(G6),G6&gt;=H6,G6&lt;=I6),"OK","Fuera de rango"))</f>
        <v>Pendiente</v>
      </c>
      <c r="L6" s="14" t="s">
        <v>411</v>
      </c>
      <c r="M6" s="14" t="s">
        <v>412</v>
      </c>
    </row>
    <row r="7" spans="1:13" ht="39.6" customHeight="1" x14ac:dyDescent="0.3">
      <c r="A7" s="17">
        <v>2</v>
      </c>
      <c r="B7" s="14" t="s">
        <v>408</v>
      </c>
      <c r="C7" s="25" t="s">
        <v>413</v>
      </c>
      <c r="D7" s="14" t="s">
        <v>414</v>
      </c>
      <c r="E7" s="8" t="s">
        <v>181</v>
      </c>
      <c r="F7" s="28">
        <v>0.34722222222222221</v>
      </c>
      <c r="G7" s="29"/>
      <c r="H7" s="28">
        <v>0.25</v>
      </c>
      <c r="I7" s="28">
        <v>0.5</v>
      </c>
      <c r="J7" s="8" t="s">
        <v>143</v>
      </c>
      <c r="K7" s="26" t="str">
        <f>IF(G7="","Pendiente",IF(AND(ISNUMBER(G7),G7&gt;=H7,G7&lt;=I7),"OK","Fuera de rango"))</f>
        <v>Pendiente</v>
      </c>
      <c r="L7" s="14" t="s">
        <v>258</v>
      </c>
      <c r="M7" s="14" t="s">
        <v>412</v>
      </c>
    </row>
  </sheetData>
  <conditionalFormatting sqref="K6:K7">
    <cfRule type="cellIs" dxfId="17" priority="1" operator="equal">
      <formula>"OK"</formula>
    </cfRule>
    <cfRule type="cellIs" dxfId="16" priority="2" operator="equal">
      <formula>"Fuera de rango"</formula>
    </cfRule>
    <cfRule type="cellIs" dxfId="15" priority="3" operator="equal">
      <formula>"Pendiente"</formula>
    </cfRule>
  </conditionalFormatting>
  <dataValidations count="1">
    <dataValidation type="time" allowBlank="1" showErrorMessage="1" errorTitle="Fuera de rango" error="Escriba una hora entre 06:00 y 12:00 (formato hh:mm, ej. 08:15)." sqref="G6:G7" xr:uid="{00000000-0002-0000-0600-000000000000}">
      <formula1>0.25</formula1>
      <formula2>0.5</formula2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45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415</v>
      </c>
    </row>
    <row r="2" spans="1:13" x14ac:dyDescent="0.3">
      <c r="A2" s="2" t="s">
        <v>416</v>
      </c>
    </row>
    <row r="3" spans="1:13" x14ac:dyDescent="0.3">
      <c r="A3" s="22" t="s">
        <v>417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x14ac:dyDescent="0.3">
      <c r="A6" s="23" t="s">
        <v>418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39.6" customHeight="1" x14ac:dyDescent="0.3">
      <c r="A7" s="17">
        <v>1</v>
      </c>
      <c r="B7" s="14" t="s">
        <v>419</v>
      </c>
      <c r="C7" s="25" t="s">
        <v>420</v>
      </c>
      <c r="D7" s="14" t="s">
        <v>421</v>
      </c>
      <c r="E7" s="8" t="s">
        <v>142</v>
      </c>
      <c r="F7" s="8">
        <v>50</v>
      </c>
      <c r="G7" s="7"/>
      <c r="H7" s="8">
        <v>0</v>
      </c>
      <c r="I7" s="8">
        <v>100</v>
      </c>
      <c r="J7" s="8" t="s">
        <v>225</v>
      </c>
      <c r="K7" s="26" t="str">
        <f>IF(G7="","Pendiente",IF(AND(ISNUMBER(G7),G7&gt;=H7,G7&lt;=I7),"OK","Fuera de rango"))</f>
        <v>Pendiente</v>
      </c>
      <c r="L7" s="14" t="s">
        <v>422</v>
      </c>
      <c r="M7" s="14" t="s">
        <v>423</v>
      </c>
    </row>
    <row r="8" spans="1:13" ht="39.6" customHeight="1" x14ac:dyDescent="0.3">
      <c r="A8" s="17">
        <v>2</v>
      </c>
      <c r="B8" s="14" t="s">
        <v>419</v>
      </c>
      <c r="C8" s="25" t="s">
        <v>424</v>
      </c>
      <c r="D8" s="14" t="s">
        <v>425</v>
      </c>
      <c r="E8" s="8" t="s">
        <v>142</v>
      </c>
      <c r="F8" s="8">
        <v>35</v>
      </c>
      <c r="G8" s="7"/>
      <c r="H8" s="8">
        <v>0</v>
      </c>
      <c r="I8" s="8">
        <v>100</v>
      </c>
      <c r="J8" s="8" t="s">
        <v>225</v>
      </c>
      <c r="K8" s="26" t="str">
        <f>IF(G8="","Pendiente",IF(AND(ISNUMBER(G8),G8&gt;=H8,G8&lt;=I8),"OK","Fuera de rango"))</f>
        <v>Pendiente</v>
      </c>
      <c r="L8" s="14" t="s">
        <v>422</v>
      </c>
      <c r="M8" s="14" t="s">
        <v>423</v>
      </c>
    </row>
    <row r="9" spans="1:13" ht="39.6" customHeight="1" x14ac:dyDescent="0.3">
      <c r="A9" s="17">
        <v>3</v>
      </c>
      <c r="B9" s="14" t="s">
        <v>419</v>
      </c>
      <c r="C9" s="25" t="s">
        <v>426</v>
      </c>
      <c r="D9" s="14" t="s">
        <v>427</v>
      </c>
      <c r="E9" s="8" t="s">
        <v>142</v>
      </c>
      <c r="F9" s="8">
        <v>15</v>
      </c>
      <c r="G9" s="7"/>
      <c r="H9" s="8">
        <v>0</v>
      </c>
      <c r="I9" s="8">
        <v>100</v>
      </c>
      <c r="J9" s="8" t="s">
        <v>225</v>
      </c>
      <c r="K9" s="26" t="str">
        <f>IF(G9="","Pendiente",IF(AND(ISNUMBER(G9),G9&gt;=H9,G9&lt;=I9),"OK","Fuera de rango"))</f>
        <v>Pendiente</v>
      </c>
      <c r="L9" s="14" t="s">
        <v>422</v>
      </c>
      <c r="M9" s="14" t="s">
        <v>423</v>
      </c>
    </row>
    <row r="10" spans="1:13" ht="30" customHeight="1" x14ac:dyDescent="0.3">
      <c r="A10" s="19"/>
      <c r="B10" s="27"/>
      <c r="C10" s="27" t="s">
        <v>428</v>
      </c>
      <c r="D10" s="27" t="s">
        <v>429</v>
      </c>
      <c r="E10" s="19" t="s">
        <v>142</v>
      </c>
      <c r="F10" s="19">
        <v>100</v>
      </c>
      <c r="G10" s="19">
        <f>SUM(G7:G9)</f>
        <v>0</v>
      </c>
      <c r="H10" s="19">
        <v>100</v>
      </c>
      <c r="I10" s="19">
        <v>100</v>
      </c>
      <c r="J10" s="19" t="s">
        <v>166</v>
      </c>
      <c r="K10" s="19" t="str">
        <f>IF(COUNT(G7:G9)=0,"Pendiente",IF(ROUND(G10,4)=100,"OK","Fuera de rango"))</f>
        <v>Pendiente</v>
      </c>
      <c r="L10" s="27" t="s">
        <v>167</v>
      </c>
      <c r="M10" s="27"/>
    </row>
    <row r="11" spans="1:13" x14ac:dyDescent="0.3">
      <c r="A11" s="23" t="s">
        <v>430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ht="39.6" customHeight="1" x14ac:dyDescent="0.3">
      <c r="A12" s="17">
        <v>4</v>
      </c>
      <c r="B12" s="14" t="s">
        <v>419</v>
      </c>
      <c r="C12" s="25" t="s">
        <v>431</v>
      </c>
      <c r="D12" s="14" t="s">
        <v>432</v>
      </c>
      <c r="E12" s="8" t="s">
        <v>142</v>
      </c>
      <c r="F12" s="8">
        <v>12</v>
      </c>
      <c r="G12" s="7"/>
      <c r="H12" s="8">
        <v>0</v>
      </c>
      <c r="I12" s="8">
        <v>100</v>
      </c>
      <c r="J12" s="8" t="s">
        <v>225</v>
      </c>
      <c r="K12" s="26" t="str">
        <f t="shared" ref="K12:K20" si="0">IF(G12="","Pendiente",IF(AND(ISNUMBER(G12),G12&gt;=H12,G12&lt;=I12),"OK","Fuera de rango"))</f>
        <v>Pendiente</v>
      </c>
      <c r="L12" s="14" t="s">
        <v>422</v>
      </c>
      <c r="M12" s="14" t="s">
        <v>423</v>
      </c>
    </row>
    <row r="13" spans="1:13" ht="39.6" customHeight="1" x14ac:dyDescent="0.3">
      <c r="A13" s="17">
        <v>5</v>
      </c>
      <c r="B13" s="14" t="s">
        <v>419</v>
      </c>
      <c r="C13" s="25" t="s">
        <v>433</v>
      </c>
      <c r="D13" s="14" t="s">
        <v>432</v>
      </c>
      <c r="E13" s="8" t="s">
        <v>142</v>
      </c>
      <c r="F13" s="8">
        <v>15</v>
      </c>
      <c r="G13" s="7"/>
      <c r="H13" s="8">
        <v>0</v>
      </c>
      <c r="I13" s="8">
        <v>100</v>
      </c>
      <c r="J13" s="8" t="s">
        <v>225</v>
      </c>
      <c r="K13" s="26" t="str">
        <f t="shared" si="0"/>
        <v>Pendiente</v>
      </c>
      <c r="L13" s="14" t="s">
        <v>422</v>
      </c>
      <c r="M13" s="14" t="s">
        <v>423</v>
      </c>
    </row>
    <row r="14" spans="1:13" ht="39.6" customHeight="1" x14ac:dyDescent="0.3">
      <c r="A14" s="17">
        <v>6</v>
      </c>
      <c r="B14" s="14" t="s">
        <v>419</v>
      </c>
      <c r="C14" s="25" t="s">
        <v>434</v>
      </c>
      <c r="D14" s="14" t="s">
        <v>432</v>
      </c>
      <c r="E14" s="8" t="s">
        <v>142</v>
      </c>
      <c r="F14" s="8">
        <v>8</v>
      </c>
      <c r="G14" s="7"/>
      <c r="H14" s="8">
        <v>0</v>
      </c>
      <c r="I14" s="8">
        <v>100</v>
      </c>
      <c r="J14" s="8" t="s">
        <v>225</v>
      </c>
      <c r="K14" s="26" t="str">
        <f t="shared" si="0"/>
        <v>Pendiente</v>
      </c>
      <c r="L14" s="14" t="s">
        <v>422</v>
      </c>
      <c r="M14" s="14" t="s">
        <v>423</v>
      </c>
    </row>
    <row r="15" spans="1:13" ht="39.6" customHeight="1" x14ac:dyDescent="0.3">
      <c r="A15" s="17">
        <v>7</v>
      </c>
      <c r="B15" s="14" t="s">
        <v>419</v>
      </c>
      <c r="C15" s="25" t="s">
        <v>435</v>
      </c>
      <c r="D15" s="14" t="s">
        <v>432</v>
      </c>
      <c r="E15" s="8" t="s">
        <v>142</v>
      </c>
      <c r="F15" s="8">
        <v>5</v>
      </c>
      <c r="G15" s="7"/>
      <c r="H15" s="8">
        <v>0</v>
      </c>
      <c r="I15" s="8">
        <v>100</v>
      </c>
      <c r="J15" s="8" t="s">
        <v>225</v>
      </c>
      <c r="K15" s="26" t="str">
        <f t="shared" si="0"/>
        <v>Pendiente</v>
      </c>
      <c r="L15" s="14" t="s">
        <v>422</v>
      </c>
      <c r="M15" s="14" t="s">
        <v>423</v>
      </c>
    </row>
    <row r="16" spans="1:13" ht="39.6" customHeight="1" x14ac:dyDescent="0.3">
      <c r="A16" s="17">
        <v>8</v>
      </c>
      <c r="B16" s="14" t="s">
        <v>419</v>
      </c>
      <c r="C16" s="25" t="s">
        <v>436</v>
      </c>
      <c r="D16" s="14" t="s">
        <v>432</v>
      </c>
      <c r="E16" s="8" t="s">
        <v>142</v>
      </c>
      <c r="F16" s="8">
        <v>5</v>
      </c>
      <c r="G16" s="7"/>
      <c r="H16" s="8">
        <v>0</v>
      </c>
      <c r="I16" s="8">
        <v>100</v>
      </c>
      <c r="J16" s="8" t="s">
        <v>225</v>
      </c>
      <c r="K16" s="26" t="str">
        <f t="shared" si="0"/>
        <v>Pendiente</v>
      </c>
      <c r="L16" s="14" t="s">
        <v>422</v>
      </c>
      <c r="M16" s="14" t="s">
        <v>423</v>
      </c>
    </row>
    <row r="17" spans="1:13" ht="39.6" customHeight="1" x14ac:dyDescent="0.3">
      <c r="A17" s="17">
        <v>9</v>
      </c>
      <c r="B17" s="14" t="s">
        <v>419</v>
      </c>
      <c r="C17" s="25" t="s">
        <v>437</v>
      </c>
      <c r="D17" s="14" t="s">
        <v>432</v>
      </c>
      <c r="E17" s="8" t="s">
        <v>142</v>
      </c>
      <c r="F17" s="8">
        <v>22</v>
      </c>
      <c r="G17" s="7"/>
      <c r="H17" s="8">
        <v>0</v>
      </c>
      <c r="I17" s="8">
        <v>100</v>
      </c>
      <c r="J17" s="8" t="s">
        <v>225</v>
      </c>
      <c r="K17" s="26" t="str">
        <f t="shared" si="0"/>
        <v>Pendiente</v>
      </c>
      <c r="L17" s="14" t="s">
        <v>422</v>
      </c>
      <c r="M17" s="14" t="s">
        <v>423</v>
      </c>
    </row>
    <row r="18" spans="1:13" ht="39.6" customHeight="1" x14ac:dyDescent="0.3">
      <c r="A18" s="17">
        <v>10</v>
      </c>
      <c r="B18" s="14" t="s">
        <v>419</v>
      </c>
      <c r="C18" s="25" t="s">
        <v>438</v>
      </c>
      <c r="D18" s="14" t="s">
        <v>432</v>
      </c>
      <c r="E18" s="8" t="s">
        <v>142</v>
      </c>
      <c r="F18" s="8">
        <v>20</v>
      </c>
      <c r="G18" s="7"/>
      <c r="H18" s="8">
        <v>0</v>
      </c>
      <c r="I18" s="8">
        <v>100</v>
      </c>
      <c r="J18" s="8" t="s">
        <v>225</v>
      </c>
      <c r="K18" s="26" t="str">
        <f t="shared" si="0"/>
        <v>Pendiente</v>
      </c>
      <c r="L18" s="14" t="s">
        <v>422</v>
      </c>
      <c r="M18" s="14" t="s">
        <v>423</v>
      </c>
    </row>
    <row r="19" spans="1:13" ht="39.6" customHeight="1" x14ac:dyDescent="0.3">
      <c r="A19" s="17">
        <v>11</v>
      </c>
      <c r="B19" s="14" t="s">
        <v>419</v>
      </c>
      <c r="C19" s="25" t="s">
        <v>439</v>
      </c>
      <c r="D19" s="14" t="s">
        <v>432</v>
      </c>
      <c r="E19" s="8" t="s">
        <v>142</v>
      </c>
      <c r="F19" s="8">
        <v>8</v>
      </c>
      <c r="G19" s="7"/>
      <c r="H19" s="8">
        <v>0</v>
      </c>
      <c r="I19" s="8">
        <v>100</v>
      </c>
      <c r="J19" s="8" t="s">
        <v>225</v>
      </c>
      <c r="K19" s="26" t="str">
        <f t="shared" si="0"/>
        <v>Pendiente</v>
      </c>
      <c r="L19" s="14" t="s">
        <v>422</v>
      </c>
      <c r="M19" s="14" t="s">
        <v>423</v>
      </c>
    </row>
    <row r="20" spans="1:13" ht="39.6" customHeight="1" x14ac:dyDescent="0.3">
      <c r="A20" s="17">
        <v>12</v>
      </c>
      <c r="B20" s="14" t="s">
        <v>419</v>
      </c>
      <c r="C20" s="25" t="s">
        <v>440</v>
      </c>
      <c r="D20" s="14" t="s">
        <v>432</v>
      </c>
      <c r="E20" s="8" t="s">
        <v>142</v>
      </c>
      <c r="F20" s="8">
        <v>5</v>
      </c>
      <c r="G20" s="7"/>
      <c r="H20" s="8">
        <v>0</v>
      </c>
      <c r="I20" s="8">
        <v>100</v>
      </c>
      <c r="J20" s="8" t="s">
        <v>225</v>
      </c>
      <c r="K20" s="26" t="str">
        <f t="shared" si="0"/>
        <v>Pendiente</v>
      </c>
      <c r="L20" s="14" t="s">
        <v>422</v>
      </c>
      <c r="M20" s="14" t="s">
        <v>423</v>
      </c>
    </row>
    <row r="21" spans="1:13" ht="30" customHeight="1" x14ac:dyDescent="0.3">
      <c r="A21" s="19"/>
      <c r="B21" s="27"/>
      <c r="C21" s="27" t="s">
        <v>441</v>
      </c>
      <c r="D21" s="27" t="s">
        <v>429</v>
      </c>
      <c r="E21" s="19" t="s">
        <v>142</v>
      </c>
      <c r="F21" s="19">
        <v>100</v>
      </c>
      <c r="G21" s="19">
        <f>SUM(G12:G20)</f>
        <v>0</v>
      </c>
      <c r="H21" s="19">
        <v>100</v>
      </c>
      <c r="I21" s="19">
        <v>100</v>
      </c>
      <c r="J21" s="19" t="s">
        <v>166</v>
      </c>
      <c r="K21" s="19" t="str">
        <f>IF(COUNT(G12:G20)=0,"Pendiente",IF(ROUND(G21,4)=100,"OK","Fuera de rango"))</f>
        <v>Pendiente</v>
      </c>
      <c r="L21" s="27" t="s">
        <v>167</v>
      </c>
      <c r="M21" s="27"/>
    </row>
    <row r="22" spans="1:13" x14ac:dyDescent="0.3">
      <c r="A22" s="23" t="s">
        <v>442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ht="39.6" customHeight="1" x14ac:dyDescent="0.3">
      <c r="A23" s="17">
        <v>13</v>
      </c>
      <c r="B23" s="14" t="s">
        <v>419</v>
      </c>
      <c r="C23" s="25" t="s">
        <v>443</v>
      </c>
      <c r="D23" s="14" t="s">
        <v>444</v>
      </c>
      <c r="E23" s="8" t="s">
        <v>142</v>
      </c>
      <c r="F23" s="8">
        <v>10</v>
      </c>
      <c r="G23" s="7"/>
      <c r="H23" s="8">
        <v>0</v>
      </c>
      <c r="I23" s="8">
        <v>100</v>
      </c>
      <c r="J23" s="8" t="s">
        <v>225</v>
      </c>
      <c r="K23" s="26" t="str">
        <f t="shared" ref="K23:K29" si="1">IF(G23="","Pendiente",IF(AND(ISNUMBER(G23),G23&gt;=H23,G23&lt;=I23),"OK","Fuera de rango"))</f>
        <v>Pendiente</v>
      </c>
      <c r="L23" s="14" t="s">
        <v>422</v>
      </c>
      <c r="M23" s="14" t="s">
        <v>423</v>
      </c>
    </row>
    <row r="24" spans="1:13" ht="39.6" customHeight="1" x14ac:dyDescent="0.3">
      <c r="A24" s="17">
        <v>14</v>
      </c>
      <c r="B24" s="14" t="s">
        <v>419</v>
      </c>
      <c r="C24" s="25" t="s">
        <v>445</v>
      </c>
      <c r="D24" s="14" t="s">
        <v>444</v>
      </c>
      <c r="E24" s="8" t="s">
        <v>142</v>
      </c>
      <c r="F24" s="8">
        <v>20</v>
      </c>
      <c r="G24" s="7"/>
      <c r="H24" s="8">
        <v>0</v>
      </c>
      <c r="I24" s="8">
        <v>100</v>
      </c>
      <c r="J24" s="8" t="s">
        <v>225</v>
      </c>
      <c r="K24" s="26" t="str">
        <f t="shared" si="1"/>
        <v>Pendiente</v>
      </c>
      <c r="L24" s="14" t="s">
        <v>422</v>
      </c>
      <c r="M24" s="14" t="s">
        <v>423</v>
      </c>
    </row>
    <row r="25" spans="1:13" ht="39.6" customHeight="1" x14ac:dyDescent="0.3">
      <c r="A25" s="17">
        <v>15</v>
      </c>
      <c r="B25" s="14" t="s">
        <v>419</v>
      </c>
      <c r="C25" s="25" t="s">
        <v>446</v>
      </c>
      <c r="D25" s="14" t="s">
        <v>444</v>
      </c>
      <c r="E25" s="8" t="s">
        <v>142</v>
      </c>
      <c r="F25" s="8">
        <v>15</v>
      </c>
      <c r="G25" s="7"/>
      <c r="H25" s="8">
        <v>0</v>
      </c>
      <c r="I25" s="8">
        <v>100</v>
      </c>
      <c r="J25" s="8" t="s">
        <v>225</v>
      </c>
      <c r="K25" s="26" t="str">
        <f t="shared" si="1"/>
        <v>Pendiente</v>
      </c>
      <c r="L25" s="14" t="s">
        <v>422</v>
      </c>
      <c r="M25" s="14" t="s">
        <v>423</v>
      </c>
    </row>
    <row r="26" spans="1:13" ht="39.6" customHeight="1" x14ac:dyDescent="0.3">
      <c r="A26" s="17">
        <v>16</v>
      </c>
      <c r="B26" s="14" t="s">
        <v>419</v>
      </c>
      <c r="C26" s="25" t="s">
        <v>447</v>
      </c>
      <c r="D26" s="14" t="s">
        <v>444</v>
      </c>
      <c r="E26" s="8" t="s">
        <v>142</v>
      </c>
      <c r="F26" s="8">
        <v>20</v>
      </c>
      <c r="G26" s="7"/>
      <c r="H26" s="8">
        <v>0</v>
      </c>
      <c r="I26" s="8">
        <v>100</v>
      </c>
      <c r="J26" s="8" t="s">
        <v>225</v>
      </c>
      <c r="K26" s="26" t="str">
        <f t="shared" si="1"/>
        <v>Pendiente</v>
      </c>
      <c r="L26" s="14" t="s">
        <v>422</v>
      </c>
      <c r="M26" s="14" t="s">
        <v>423</v>
      </c>
    </row>
    <row r="27" spans="1:13" ht="39.6" customHeight="1" x14ac:dyDescent="0.3">
      <c r="A27" s="17">
        <v>17</v>
      </c>
      <c r="B27" s="14" t="s">
        <v>419</v>
      </c>
      <c r="C27" s="25" t="s">
        <v>448</v>
      </c>
      <c r="D27" s="14" t="s">
        <v>444</v>
      </c>
      <c r="E27" s="8" t="s">
        <v>142</v>
      </c>
      <c r="F27" s="8">
        <v>15</v>
      </c>
      <c r="G27" s="7"/>
      <c r="H27" s="8">
        <v>0</v>
      </c>
      <c r="I27" s="8">
        <v>100</v>
      </c>
      <c r="J27" s="8" t="s">
        <v>225</v>
      </c>
      <c r="K27" s="26" t="str">
        <f t="shared" si="1"/>
        <v>Pendiente</v>
      </c>
      <c r="L27" s="14" t="s">
        <v>422</v>
      </c>
      <c r="M27" s="14" t="s">
        <v>423</v>
      </c>
    </row>
    <row r="28" spans="1:13" ht="39.6" customHeight="1" x14ac:dyDescent="0.3">
      <c r="A28" s="17">
        <v>18</v>
      </c>
      <c r="B28" s="14" t="s">
        <v>419</v>
      </c>
      <c r="C28" s="25" t="s">
        <v>449</v>
      </c>
      <c r="D28" s="14" t="s">
        <v>444</v>
      </c>
      <c r="E28" s="8" t="s">
        <v>142</v>
      </c>
      <c r="F28" s="8">
        <v>10</v>
      </c>
      <c r="G28" s="7"/>
      <c r="H28" s="8">
        <v>0</v>
      </c>
      <c r="I28" s="8">
        <v>100</v>
      </c>
      <c r="J28" s="8" t="s">
        <v>225</v>
      </c>
      <c r="K28" s="26" t="str">
        <f t="shared" si="1"/>
        <v>Pendiente</v>
      </c>
      <c r="L28" s="14" t="s">
        <v>422</v>
      </c>
      <c r="M28" s="14" t="s">
        <v>423</v>
      </c>
    </row>
    <row r="29" spans="1:13" ht="39.6" customHeight="1" x14ac:dyDescent="0.3">
      <c r="A29" s="17">
        <v>19</v>
      </c>
      <c r="B29" s="14" t="s">
        <v>419</v>
      </c>
      <c r="C29" s="25" t="s">
        <v>450</v>
      </c>
      <c r="D29" s="14" t="s">
        <v>444</v>
      </c>
      <c r="E29" s="8" t="s">
        <v>142</v>
      </c>
      <c r="F29" s="8">
        <v>10</v>
      </c>
      <c r="G29" s="7"/>
      <c r="H29" s="8">
        <v>0</v>
      </c>
      <c r="I29" s="8">
        <v>100</v>
      </c>
      <c r="J29" s="8" t="s">
        <v>225</v>
      </c>
      <c r="K29" s="26" t="str">
        <f t="shared" si="1"/>
        <v>Pendiente</v>
      </c>
      <c r="L29" s="14" t="s">
        <v>422</v>
      </c>
      <c r="M29" s="14" t="s">
        <v>423</v>
      </c>
    </row>
    <row r="30" spans="1:13" ht="30" customHeight="1" x14ac:dyDescent="0.3">
      <c r="A30" s="19"/>
      <c r="B30" s="27"/>
      <c r="C30" s="27" t="s">
        <v>451</v>
      </c>
      <c r="D30" s="27" t="s">
        <v>429</v>
      </c>
      <c r="E30" s="19" t="s">
        <v>142</v>
      </c>
      <c r="F30" s="19">
        <v>100</v>
      </c>
      <c r="G30" s="19">
        <f>SUM(G23:G29)</f>
        <v>0</v>
      </c>
      <c r="H30" s="19">
        <v>100</v>
      </c>
      <c r="I30" s="19">
        <v>100</v>
      </c>
      <c r="J30" s="19" t="s">
        <v>166</v>
      </c>
      <c r="K30" s="19" t="str">
        <f>IF(COUNT(G23:G29)=0,"Pendiente",IF(ROUND(G30,4)=100,"OK","Fuera de rango"))</f>
        <v>Pendiente</v>
      </c>
      <c r="L30" s="27" t="s">
        <v>167</v>
      </c>
      <c r="M30" s="27"/>
    </row>
    <row r="31" spans="1:13" x14ac:dyDescent="0.3">
      <c r="A31" s="23" t="s">
        <v>452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ht="52.8" customHeight="1" x14ac:dyDescent="0.3">
      <c r="A32" s="17">
        <v>20</v>
      </c>
      <c r="B32" s="14" t="s">
        <v>419</v>
      </c>
      <c r="C32" s="25" t="s">
        <v>453</v>
      </c>
      <c r="D32" s="14" t="s">
        <v>454</v>
      </c>
      <c r="E32" s="8" t="s">
        <v>271</v>
      </c>
      <c r="F32" s="8" t="s">
        <v>455</v>
      </c>
      <c r="G32" s="7"/>
      <c r="H32" s="8" t="s">
        <v>272</v>
      </c>
      <c r="I32" s="8" t="s">
        <v>272</v>
      </c>
      <c r="J32" s="8" t="s">
        <v>272</v>
      </c>
      <c r="K32" s="26" t="str">
        <f>IF(G32="","Pendiente","OK")</f>
        <v>Pendiente</v>
      </c>
      <c r="L32" s="14" t="s">
        <v>456</v>
      </c>
      <c r="M32" s="14" t="s">
        <v>457</v>
      </c>
    </row>
    <row r="33" spans="1:13" x14ac:dyDescent="0.3">
      <c r="A33" s="23" t="s">
        <v>458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ht="39.6" customHeight="1" x14ac:dyDescent="0.3">
      <c r="A34" s="17">
        <v>21</v>
      </c>
      <c r="B34" s="14" t="s">
        <v>459</v>
      </c>
      <c r="C34" s="25" t="s">
        <v>460</v>
      </c>
      <c r="D34" s="14" t="s">
        <v>461</v>
      </c>
      <c r="E34" s="8" t="s">
        <v>142</v>
      </c>
      <c r="F34" s="8">
        <v>90</v>
      </c>
      <c r="G34" s="7"/>
      <c r="H34" s="8">
        <v>50</v>
      </c>
      <c r="I34" s="8">
        <v>150</v>
      </c>
      <c r="J34" s="8" t="s">
        <v>143</v>
      </c>
      <c r="K34" s="26" t="str">
        <f>IF(G34="","Pendiente",IF(AND(ISNUMBER(G34),G34&gt;=H34,G34&lt;=I34),"OK","Fuera de rango"))</f>
        <v>Pendiente</v>
      </c>
      <c r="L34" s="14" t="s">
        <v>462</v>
      </c>
      <c r="M34" s="14" t="s">
        <v>463</v>
      </c>
    </row>
    <row r="35" spans="1:13" ht="39.6" customHeight="1" x14ac:dyDescent="0.3">
      <c r="A35" s="17">
        <v>22</v>
      </c>
      <c r="B35" s="14" t="s">
        <v>459</v>
      </c>
      <c r="C35" s="25" t="s">
        <v>464</v>
      </c>
      <c r="D35" s="14" t="s">
        <v>465</v>
      </c>
      <c r="E35" s="8" t="s">
        <v>142</v>
      </c>
      <c r="F35" s="8">
        <v>80</v>
      </c>
      <c r="G35" s="7"/>
      <c r="H35" s="8">
        <v>50</v>
      </c>
      <c r="I35" s="8">
        <v>150</v>
      </c>
      <c r="J35" s="8" t="s">
        <v>143</v>
      </c>
      <c r="K35" s="26" t="str">
        <f>IF(G35="","Pendiente",IF(AND(ISNUMBER(G35),G35&gt;=H35,G35&lt;=I35),"OK","Fuera de rango"))</f>
        <v>Pendiente</v>
      </c>
      <c r="L35" s="14" t="s">
        <v>466</v>
      </c>
      <c r="M35" s="14" t="s">
        <v>463</v>
      </c>
    </row>
    <row r="36" spans="1:13" ht="39.6" customHeight="1" x14ac:dyDescent="0.3">
      <c r="A36" s="17">
        <v>23</v>
      </c>
      <c r="B36" s="14" t="s">
        <v>459</v>
      </c>
      <c r="C36" s="25" t="s">
        <v>467</v>
      </c>
      <c r="D36" s="14" t="s">
        <v>468</v>
      </c>
      <c r="E36" s="8" t="s">
        <v>316</v>
      </c>
      <c r="F36" s="8">
        <v>42</v>
      </c>
      <c r="G36" s="7"/>
      <c r="H36" s="8">
        <v>0</v>
      </c>
      <c r="I36" s="8">
        <v>1000</v>
      </c>
      <c r="J36" s="8" t="s">
        <v>143</v>
      </c>
      <c r="K36" s="26" t="str">
        <f>IF(G36="","Pendiente",IF(AND(ISNUMBER(G36),G36&gt;=H36,G36&lt;=I36),"OK","Fuera de rango"))</f>
        <v>Pendiente</v>
      </c>
      <c r="L36" s="14" t="s">
        <v>469</v>
      </c>
      <c r="M36" s="14" t="s">
        <v>463</v>
      </c>
    </row>
    <row r="37" spans="1:13" ht="39.6" customHeight="1" x14ac:dyDescent="0.3">
      <c r="A37" s="17">
        <v>24</v>
      </c>
      <c r="B37" s="14" t="s">
        <v>459</v>
      </c>
      <c r="C37" s="25" t="s">
        <v>470</v>
      </c>
      <c r="D37" s="14" t="s">
        <v>471</v>
      </c>
      <c r="E37" s="8" t="s">
        <v>237</v>
      </c>
      <c r="F37" s="8">
        <v>10</v>
      </c>
      <c r="G37" s="7"/>
      <c r="H37" s="8">
        <v>0</v>
      </c>
      <c r="I37" s="8">
        <v>1000</v>
      </c>
      <c r="J37" s="8" t="s">
        <v>143</v>
      </c>
      <c r="K37" s="26" t="str">
        <f>IF(G37="","Pendiente",IF(AND(ISNUMBER(G37),G37&gt;=H37,G37&lt;=I37),"OK","Fuera de rango"))</f>
        <v>Pendiente</v>
      </c>
      <c r="L37" s="14" t="s">
        <v>472</v>
      </c>
      <c r="M37" s="14" t="s">
        <v>463</v>
      </c>
    </row>
    <row r="38" spans="1:13" ht="39.6" customHeight="1" x14ac:dyDescent="0.3">
      <c r="A38" s="17">
        <v>25</v>
      </c>
      <c r="B38" s="14" t="s">
        <v>459</v>
      </c>
      <c r="C38" s="25" t="s">
        <v>473</v>
      </c>
      <c r="D38" s="14" t="s">
        <v>474</v>
      </c>
      <c r="E38" s="8" t="s">
        <v>271</v>
      </c>
      <c r="F38" s="8" t="s">
        <v>475</v>
      </c>
      <c r="G38" s="7"/>
      <c r="H38" s="8" t="s">
        <v>272</v>
      </c>
      <c r="I38" s="8" t="s">
        <v>272</v>
      </c>
      <c r="J38" s="8" t="s">
        <v>272</v>
      </c>
      <c r="K38" s="26" t="str">
        <f>IF(G38="","Pendiente","OK")</f>
        <v>Pendiente</v>
      </c>
      <c r="L38" s="14" t="s">
        <v>476</v>
      </c>
      <c r="M38" s="14" t="s">
        <v>463</v>
      </c>
    </row>
    <row r="39" spans="1:13" x14ac:dyDescent="0.3">
      <c r="A39" s="23" t="s">
        <v>477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3" ht="30" customHeight="1" x14ac:dyDescent="0.3">
      <c r="A40" s="17">
        <v>26</v>
      </c>
      <c r="B40" s="14" t="s">
        <v>478</v>
      </c>
      <c r="C40" s="25" t="s">
        <v>479</v>
      </c>
      <c r="D40" s="14" t="s">
        <v>480</v>
      </c>
      <c r="E40" s="8" t="s">
        <v>217</v>
      </c>
      <c r="F40" s="8" t="s">
        <v>481</v>
      </c>
      <c r="G40" s="7"/>
      <c r="H40" s="8" t="s">
        <v>219</v>
      </c>
      <c r="I40" s="8" t="s">
        <v>482</v>
      </c>
      <c r="J40" s="8" t="s">
        <v>219</v>
      </c>
      <c r="K40" s="26" t="str">
        <f t="shared" ref="K40:K45" si="2">IF(G40="","Pendiente","OK")</f>
        <v>Pendiente</v>
      </c>
      <c r="L40" s="14" t="s">
        <v>483</v>
      </c>
      <c r="M40" s="14" t="s">
        <v>484</v>
      </c>
    </row>
    <row r="41" spans="1:13" ht="30" customHeight="1" x14ac:dyDescent="0.3">
      <c r="A41" s="17">
        <v>27</v>
      </c>
      <c r="B41" s="14" t="s">
        <v>478</v>
      </c>
      <c r="C41" s="25" t="s">
        <v>485</v>
      </c>
      <c r="D41" s="14" t="s">
        <v>480</v>
      </c>
      <c r="E41" s="8" t="s">
        <v>217</v>
      </c>
      <c r="F41" s="8" t="s">
        <v>486</v>
      </c>
      <c r="G41" s="7"/>
      <c r="H41" s="8" t="s">
        <v>219</v>
      </c>
      <c r="I41" s="8" t="s">
        <v>482</v>
      </c>
      <c r="J41" s="8" t="s">
        <v>219</v>
      </c>
      <c r="K41" s="26" t="str">
        <f t="shared" si="2"/>
        <v>Pendiente</v>
      </c>
      <c r="L41" s="14" t="s">
        <v>483</v>
      </c>
      <c r="M41" s="14" t="s">
        <v>484</v>
      </c>
    </row>
    <row r="42" spans="1:13" ht="30" customHeight="1" x14ac:dyDescent="0.3">
      <c r="A42" s="17">
        <v>28</v>
      </c>
      <c r="B42" s="14" t="s">
        <v>478</v>
      </c>
      <c r="C42" s="25" t="s">
        <v>487</v>
      </c>
      <c r="D42" s="14" t="s">
        <v>480</v>
      </c>
      <c r="E42" s="8" t="s">
        <v>217</v>
      </c>
      <c r="F42" s="8" t="s">
        <v>486</v>
      </c>
      <c r="G42" s="7"/>
      <c r="H42" s="8" t="s">
        <v>219</v>
      </c>
      <c r="I42" s="8" t="s">
        <v>482</v>
      </c>
      <c r="J42" s="8" t="s">
        <v>219</v>
      </c>
      <c r="K42" s="26" t="str">
        <f t="shared" si="2"/>
        <v>Pendiente</v>
      </c>
      <c r="L42" s="14" t="s">
        <v>483</v>
      </c>
      <c r="M42" s="14" t="s">
        <v>484</v>
      </c>
    </row>
    <row r="43" spans="1:13" ht="30" customHeight="1" x14ac:dyDescent="0.3">
      <c r="A43" s="17">
        <v>29</v>
      </c>
      <c r="B43" s="14" t="s">
        <v>478</v>
      </c>
      <c r="C43" s="25" t="s">
        <v>488</v>
      </c>
      <c r="D43" s="14" t="s">
        <v>480</v>
      </c>
      <c r="E43" s="8" t="s">
        <v>217</v>
      </c>
      <c r="F43" s="8" t="s">
        <v>489</v>
      </c>
      <c r="G43" s="7"/>
      <c r="H43" s="8" t="s">
        <v>219</v>
      </c>
      <c r="I43" s="8" t="s">
        <v>482</v>
      </c>
      <c r="J43" s="8" t="s">
        <v>219</v>
      </c>
      <c r="K43" s="26" t="str">
        <f t="shared" si="2"/>
        <v>Pendiente</v>
      </c>
      <c r="L43" s="14" t="s">
        <v>483</v>
      </c>
      <c r="M43" s="14" t="s">
        <v>484</v>
      </c>
    </row>
    <row r="44" spans="1:13" ht="30" customHeight="1" x14ac:dyDescent="0.3">
      <c r="A44" s="17">
        <v>30</v>
      </c>
      <c r="B44" s="14" t="s">
        <v>478</v>
      </c>
      <c r="C44" s="25" t="s">
        <v>490</v>
      </c>
      <c r="D44" s="14" t="s">
        <v>480</v>
      </c>
      <c r="E44" s="8" t="s">
        <v>217</v>
      </c>
      <c r="F44" s="8" t="s">
        <v>481</v>
      </c>
      <c r="G44" s="7"/>
      <c r="H44" s="8" t="s">
        <v>219</v>
      </c>
      <c r="I44" s="8" t="s">
        <v>482</v>
      </c>
      <c r="J44" s="8" t="s">
        <v>219</v>
      </c>
      <c r="K44" s="26" t="str">
        <f t="shared" si="2"/>
        <v>Pendiente</v>
      </c>
      <c r="L44" s="14" t="s">
        <v>483</v>
      </c>
      <c r="M44" s="14" t="s">
        <v>484</v>
      </c>
    </row>
    <row r="45" spans="1:13" ht="30" customHeight="1" x14ac:dyDescent="0.3">
      <c r="A45" s="17">
        <v>31</v>
      </c>
      <c r="B45" s="14" t="s">
        <v>478</v>
      </c>
      <c r="C45" s="25" t="s">
        <v>491</v>
      </c>
      <c r="D45" s="14" t="s">
        <v>480</v>
      </c>
      <c r="E45" s="8" t="s">
        <v>217</v>
      </c>
      <c r="F45" s="8" t="s">
        <v>481</v>
      </c>
      <c r="G45" s="7"/>
      <c r="H45" s="8" t="s">
        <v>219</v>
      </c>
      <c r="I45" s="8" t="s">
        <v>482</v>
      </c>
      <c r="J45" s="8" t="s">
        <v>219</v>
      </c>
      <c r="K45" s="26" t="str">
        <f t="shared" si="2"/>
        <v>Pendiente</v>
      </c>
      <c r="L45" s="14" t="s">
        <v>483</v>
      </c>
      <c r="M45" s="14" t="s">
        <v>484</v>
      </c>
    </row>
  </sheetData>
  <conditionalFormatting sqref="K6:K45">
    <cfRule type="cellIs" dxfId="14" priority="1" operator="equal">
      <formula>"OK"</formula>
    </cfRule>
    <cfRule type="cellIs" dxfId="13" priority="2" operator="equal">
      <formula>"Fuera de rango"</formula>
    </cfRule>
    <cfRule type="cellIs" dxfId="12" priority="3" operator="equal">
      <formula>"Pendiente"</formula>
    </cfRule>
  </conditionalFormatting>
  <dataValidations count="5">
    <dataValidation type="decimal" allowBlank="1" showErrorMessage="1" errorTitle="Fuera de rango" error="Escriba un valor entre 0 y 100 (%)." sqref="G23:G29 G12:G20 G7:G9" xr:uid="{00000000-0002-0000-0700-000000000000}">
      <formula1>0</formula1>
      <formula2>100</formula2>
    </dataValidation>
    <dataValidation type="decimal" allowBlank="1" showErrorMessage="1" errorTitle="Fuera de rango" error="Escriba un valor entre 50 y 150 (%)." sqref="G34:G35" xr:uid="{00000000-0002-0000-0700-000013000000}">
      <formula1>50</formula1>
      <formula2>150</formula2>
    </dataValidation>
    <dataValidation type="decimal" allowBlank="1" showErrorMessage="1" errorTitle="Fuera de rango" error="Escriba un valor entre 0 y 1000 (pedidos)." sqref="G36" xr:uid="{00000000-0002-0000-0700-000015000000}">
      <formula1>0</formula1>
      <formula2>1000</formula2>
    </dataValidation>
    <dataValidation type="decimal" allowBlank="1" showErrorMessage="1" errorTitle="Fuera de rango" error="Escriba un valor entre 0 y 1000 (unidades)." sqref="G37" xr:uid="{00000000-0002-0000-0700-000016000000}">
      <formula1>0</formula1>
      <formula2>1000</formula2>
    </dataValidation>
    <dataValidation type="list" allowBlank="1" showErrorMessage="1" errorTitle="Valor no válido" error="Elija una opción de la lista." sqref="G40:G45" xr:uid="{00000000-0002-0000-0700-000017000000}">
      <formula1>"Virtual,Presencial,Auditoría"</formula1>
    </dataValidation>
  </dataValidation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492</v>
      </c>
    </row>
    <row r="2" spans="1:13" x14ac:dyDescent="0.3">
      <c r="A2" s="2" t="s">
        <v>493</v>
      </c>
    </row>
    <row r="3" spans="1:13" x14ac:dyDescent="0.3">
      <c r="A3" s="22" t="s">
        <v>494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x14ac:dyDescent="0.3">
      <c r="A6" s="23" t="s">
        <v>495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39.6" customHeight="1" x14ac:dyDescent="0.3">
      <c r="A7" s="17">
        <v>1</v>
      </c>
      <c r="B7" s="14" t="s">
        <v>496</v>
      </c>
      <c r="C7" s="25" t="s">
        <v>497</v>
      </c>
      <c r="D7" s="14" t="s">
        <v>498</v>
      </c>
      <c r="E7" s="8" t="s">
        <v>499</v>
      </c>
      <c r="F7" s="8">
        <v>1</v>
      </c>
      <c r="G7" s="7"/>
      <c r="H7" s="8">
        <v>0.5</v>
      </c>
      <c r="I7" s="8">
        <v>2</v>
      </c>
      <c r="J7" s="8" t="s">
        <v>143</v>
      </c>
      <c r="K7" s="26" t="str">
        <f t="shared" ref="K7:K14" si="0">IF(G7="","Pendiente",IF(AND(ISNUMBER(G7),G7&gt;=H7,G7&lt;=I7),"OK","Fuera de rango"))</f>
        <v>Pendiente</v>
      </c>
      <c r="L7" s="14" t="s">
        <v>500</v>
      </c>
      <c r="M7" s="14" t="s">
        <v>501</v>
      </c>
    </row>
    <row r="8" spans="1:13" ht="39.6" customHeight="1" x14ac:dyDescent="0.3">
      <c r="A8" s="17">
        <v>2</v>
      </c>
      <c r="B8" s="14" t="s">
        <v>496</v>
      </c>
      <c r="C8" s="25" t="s">
        <v>502</v>
      </c>
      <c r="D8" s="14" t="s">
        <v>503</v>
      </c>
      <c r="E8" s="8" t="s">
        <v>504</v>
      </c>
      <c r="F8" s="8" t="s">
        <v>505</v>
      </c>
      <c r="G8" s="7"/>
      <c r="H8" s="8">
        <v>0</v>
      </c>
      <c r="I8" s="8">
        <v>1000000000</v>
      </c>
      <c r="J8" s="8" t="s">
        <v>143</v>
      </c>
      <c r="K8" s="26" t="str">
        <f t="shared" si="0"/>
        <v>Pendiente</v>
      </c>
      <c r="L8" s="14" t="s">
        <v>506</v>
      </c>
      <c r="M8" s="14" t="s">
        <v>501</v>
      </c>
    </row>
    <row r="9" spans="1:13" ht="39.6" customHeight="1" x14ac:dyDescent="0.3">
      <c r="A9" s="17">
        <v>3</v>
      </c>
      <c r="B9" s="14" t="s">
        <v>496</v>
      </c>
      <c r="C9" s="25" t="s">
        <v>507</v>
      </c>
      <c r="D9" s="14" t="s">
        <v>508</v>
      </c>
      <c r="E9" s="8" t="s">
        <v>142</v>
      </c>
      <c r="F9" s="8">
        <v>0</v>
      </c>
      <c r="G9" s="7"/>
      <c r="H9" s="8">
        <v>0</v>
      </c>
      <c r="I9" s="8">
        <v>150</v>
      </c>
      <c r="J9" s="8" t="s">
        <v>143</v>
      </c>
      <c r="K9" s="26" t="str">
        <f t="shared" si="0"/>
        <v>Pendiente</v>
      </c>
      <c r="L9" s="14" t="s">
        <v>509</v>
      </c>
      <c r="M9" s="14" t="s">
        <v>501</v>
      </c>
    </row>
    <row r="10" spans="1:13" ht="39.6" customHeight="1" x14ac:dyDescent="0.3">
      <c r="A10" s="17">
        <v>4</v>
      </c>
      <c r="B10" s="14" t="s">
        <v>496</v>
      </c>
      <c r="C10" s="25" t="s">
        <v>510</v>
      </c>
      <c r="D10" s="14" t="s">
        <v>511</v>
      </c>
      <c r="E10" s="8" t="s">
        <v>499</v>
      </c>
      <c r="F10" s="8">
        <v>1</v>
      </c>
      <c r="G10" s="7"/>
      <c r="H10" s="8">
        <v>0.5</v>
      </c>
      <c r="I10" s="8">
        <v>2</v>
      </c>
      <c r="J10" s="8" t="s">
        <v>143</v>
      </c>
      <c r="K10" s="26" t="str">
        <f t="shared" si="0"/>
        <v>Pendiente</v>
      </c>
      <c r="L10" s="14" t="s">
        <v>512</v>
      </c>
      <c r="M10" s="14" t="s">
        <v>501</v>
      </c>
    </row>
    <row r="11" spans="1:13" ht="39.6" customHeight="1" x14ac:dyDescent="0.3">
      <c r="A11" s="17">
        <v>5</v>
      </c>
      <c r="B11" s="14" t="s">
        <v>496</v>
      </c>
      <c r="C11" s="25" t="s">
        <v>513</v>
      </c>
      <c r="D11" s="14" t="s">
        <v>514</v>
      </c>
      <c r="E11" s="8" t="s">
        <v>142</v>
      </c>
      <c r="F11" s="8">
        <v>50</v>
      </c>
      <c r="G11" s="7"/>
      <c r="H11" s="8">
        <v>10</v>
      </c>
      <c r="I11" s="8">
        <v>200</v>
      </c>
      <c r="J11" s="8" t="s">
        <v>143</v>
      </c>
      <c r="K11" s="26" t="str">
        <f t="shared" si="0"/>
        <v>Pendiente</v>
      </c>
      <c r="L11" s="14" t="s">
        <v>515</v>
      </c>
      <c r="M11" s="14" t="s">
        <v>501</v>
      </c>
    </row>
    <row r="12" spans="1:13" ht="39.6" customHeight="1" x14ac:dyDescent="0.3">
      <c r="A12" s="17">
        <v>6</v>
      </c>
      <c r="B12" s="14" t="s">
        <v>496</v>
      </c>
      <c r="C12" s="25" t="s">
        <v>516</v>
      </c>
      <c r="D12" s="14" t="s">
        <v>517</v>
      </c>
      <c r="E12" s="8" t="s">
        <v>231</v>
      </c>
      <c r="F12" s="8" t="s">
        <v>518</v>
      </c>
      <c r="G12" s="7"/>
      <c r="H12" s="8">
        <v>0</v>
      </c>
      <c r="I12" s="8">
        <v>1000000000</v>
      </c>
      <c r="J12" s="8" t="s">
        <v>143</v>
      </c>
      <c r="K12" s="26" t="str">
        <f t="shared" si="0"/>
        <v>Pendiente</v>
      </c>
      <c r="L12" s="14" t="s">
        <v>519</v>
      </c>
      <c r="M12" s="14" t="s">
        <v>501</v>
      </c>
    </row>
    <row r="13" spans="1:13" ht="39.6" customHeight="1" x14ac:dyDescent="0.3">
      <c r="A13" s="17">
        <v>7</v>
      </c>
      <c r="B13" s="14" t="s">
        <v>496</v>
      </c>
      <c r="C13" s="25" t="s">
        <v>520</v>
      </c>
      <c r="D13" s="14" t="s">
        <v>521</v>
      </c>
      <c r="E13" s="8" t="s">
        <v>231</v>
      </c>
      <c r="F13" s="8" t="s">
        <v>518</v>
      </c>
      <c r="G13" s="7"/>
      <c r="H13" s="8">
        <v>0</v>
      </c>
      <c r="I13" s="8">
        <v>1000000000</v>
      </c>
      <c r="J13" s="8" t="s">
        <v>143</v>
      </c>
      <c r="K13" s="26" t="str">
        <f t="shared" si="0"/>
        <v>Pendiente</v>
      </c>
      <c r="L13" s="14" t="s">
        <v>522</v>
      </c>
      <c r="M13" s="14" t="s">
        <v>501</v>
      </c>
    </row>
    <row r="14" spans="1:13" ht="39.6" customHeight="1" x14ac:dyDescent="0.3">
      <c r="A14" s="17">
        <v>8</v>
      </c>
      <c r="B14" s="14" t="s">
        <v>496</v>
      </c>
      <c r="C14" s="25" t="s">
        <v>523</v>
      </c>
      <c r="D14" s="14" t="s">
        <v>524</v>
      </c>
      <c r="E14" s="8" t="s">
        <v>142</v>
      </c>
      <c r="F14" s="8">
        <v>5</v>
      </c>
      <c r="G14" s="7"/>
      <c r="H14" s="8">
        <v>0</v>
      </c>
      <c r="I14" s="8">
        <v>20</v>
      </c>
      <c r="J14" s="8" t="s">
        <v>143</v>
      </c>
      <c r="K14" s="26" t="str">
        <f t="shared" si="0"/>
        <v>Pendiente</v>
      </c>
      <c r="L14" s="14" t="s">
        <v>525</v>
      </c>
      <c r="M14" s="14" t="s">
        <v>501</v>
      </c>
    </row>
    <row r="15" spans="1:13" x14ac:dyDescent="0.3">
      <c r="A15" s="23" t="s">
        <v>526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52.8" customHeight="1" x14ac:dyDescent="0.3">
      <c r="A16" s="17">
        <v>9</v>
      </c>
      <c r="B16" s="14" t="s">
        <v>527</v>
      </c>
      <c r="C16" s="25" t="s">
        <v>528</v>
      </c>
      <c r="D16" s="14" t="s">
        <v>529</v>
      </c>
      <c r="E16" s="8" t="s">
        <v>142</v>
      </c>
      <c r="F16" s="8" t="s">
        <v>505</v>
      </c>
      <c r="G16" s="7"/>
      <c r="H16" s="8">
        <v>0</v>
      </c>
      <c r="I16" s="8">
        <v>100</v>
      </c>
      <c r="J16" s="8" t="s">
        <v>143</v>
      </c>
      <c r="K16" s="26" t="str">
        <f t="shared" ref="K16:K21" si="1">IF(G16="","Pendiente",IF(AND(ISNUMBER(G16),G16&gt;=H16,G16&lt;=I16),"OK","Fuera de rango"))</f>
        <v>Pendiente</v>
      </c>
      <c r="L16" s="14" t="s">
        <v>530</v>
      </c>
      <c r="M16" s="14" t="s">
        <v>531</v>
      </c>
    </row>
    <row r="17" spans="1:13" ht="30" customHeight="1" x14ac:dyDescent="0.3">
      <c r="A17" s="17">
        <v>10</v>
      </c>
      <c r="B17" s="14" t="s">
        <v>527</v>
      </c>
      <c r="C17" s="25" t="s">
        <v>532</v>
      </c>
      <c r="D17" s="14" t="s">
        <v>533</v>
      </c>
      <c r="E17" s="8" t="s">
        <v>142</v>
      </c>
      <c r="F17" s="8" t="s">
        <v>505</v>
      </c>
      <c r="G17" s="7"/>
      <c r="H17" s="8">
        <v>0</v>
      </c>
      <c r="I17" s="8">
        <v>100</v>
      </c>
      <c r="J17" s="8" t="s">
        <v>143</v>
      </c>
      <c r="K17" s="26" t="str">
        <f t="shared" si="1"/>
        <v>Pendiente</v>
      </c>
      <c r="L17" s="14" t="s">
        <v>534</v>
      </c>
      <c r="M17" s="14" t="s">
        <v>535</v>
      </c>
    </row>
    <row r="18" spans="1:13" ht="30" customHeight="1" x14ac:dyDescent="0.3">
      <c r="A18" s="17">
        <v>11</v>
      </c>
      <c r="B18" s="14" t="s">
        <v>527</v>
      </c>
      <c r="C18" s="25" t="s">
        <v>536</v>
      </c>
      <c r="D18" s="14" t="s">
        <v>537</v>
      </c>
      <c r="E18" s="8" t="s">
        <v>142</v>
      </c>
      <c r="F18" s="8" t="s">
        <v>505</v>
      </c>
      <c r="G18" s="7"/>
      <c r="H18" s="8">
        <v>0</v>
      </c>
      <c r="I18" s="8">
        <v>100</v>
      </c>
      <c r="J18" s="8" t="s">
        <v>143</v>
      </c>
      <c r="K18" s="26" t="str">
        <f t="shared" si="1"/>
        <v>Pendiente</v>
      </c>
      <c r="L18" s="14" t="s">
        <v>534</v>
      </c>
      <c r="M18" s="14" t="s">
        <v>535</v>
      </c>
    </row>
    <row r="19" spans="1:13" ht="39.6" customHeight="1" x14ac:dyDescent="0.3">
      <c r="A19" s="17">
        <v>12</v>
      </c>
      <c r="B19" s="14" t="s">
        <v>538</v>
      </c>
      <c r="C19" s="25" t="s">
        <v>539</v>
      </c>
      <c r="D19" s="14" t="s">
        <v>540</v>
      </c>
      <c r="E19" s="8" t="s">
        <v>142</v>
      </c>
      <c r="F19" s="8" t="s">
        <v>375</v>
      </c>
      <c r="G19" s="7"/>
      <c r="H19" s="8">
        <v>50</v>
      </c>
      <c r="I19" s="8">
        <v>100</v>
      </c>
      <c r="J19" s="8" t="s">
        <v>143</v>
      </c>
      <c r="K19" s="26" t="str">
        <f t="shared" si="1"/>
        <v>Pendiente</v>
      </c>
      <c r="L19" s="14" t="s">
        <v>541</v>
      </c>
      <c r="M19" s="14" t="s">
        <v>542</v>
      </c>
    </row>
    <row r="20" spans="1:13" ht="30" customHeight="1" x14ac:dyDescent="0.3">
      <c r="A20" s="17">
        <v>13</v>
      </c>
      <c r="B20" s="14" t="s">
        <v>538</v>
      </c>
      <c r="C20" s="25" t="s">
        <v>543</v>
      </c>
      <c r="D20" s="14" t="s">
        <v>544</v>
      </c>
      <c r="E20" s="8" t="s">
        <v>142</v>
      </c>
      <c r="F20" s="8" t="s">
        <v>375</v>
      </c>
      <c r="G20" s="7"/>
      <c r="H20" s="8">
        <v>100</v>
      </c>
      <c r="I20" s="8">
        <v>300</v>
      </c>
      <c r="J20" s="8" t="s">
        <v>143</v>
      </c>
      <c r="K20" s="26" t="str">
        <f t="shared" si="1"/>
        <v>Pendiente</v>
      </c>
      <c r="L20" s="14" t="s">
        <v>545</v>
      </c>
      <c r="M20" s="14" t="s">
        <v>546</v>
      </c>
    </row>
    <row r="21" spans="1:13" ht="39.6" customHeight="1" x14ac:dyDescent="0.3">
      <c r="A21" s="17">
        <v>14</v>
      </c>
      <c r="B21" s="14" t="s">
        <v>547</v>
      </c>
      <c r="C21" s="25" t="s">
        <v>548</v>
      </c>
      <c r="D21" s="14" t="s">
        <v>549</v>
      </c>
      <c r="E21" s="8" t="s">
        <v>550</v>
      </c>
      <c r="F21" s="8" t="s">
        <v>505</v>
      </c>
      <c r="G21" s="7"/>
      <c r="H21" s="8">
        <v>0</v>
      </c>
      <c r="I21" s="8">
        <v>1000000000</v>
      </c>
      <c r="J21" s="8" t="s">
        <v>143</v>
      </c>
      <c r="K21" s="26" t="str">
        <f t="shared" si="1"/>
        <v>Pendiente</v>
      </c>
      <c r="L21" s="14" t="s">
        <v>551</v>
      </c>
      <c r="M21" s="14" t="s">
        <v>552</v>
      </c>
    </row>
  </sheetData>
  <conditionalFormatting sqref="K6:K21">
    <cfRule type="cellIs" dxfId="11" priority="1" operator="equal">
      <formula>"OK"</formula>
    </cfRule>
    <cfRule type="cellIs" dxfId="10" priority="2" operator="equal">
      <formula>"Fuera de rango"</formula>
    </cfRule>
    <cfRule type="cellIs" dxfId="9" priority="3" operator="equal">
      <formula>"Pendiente"</formula>
    </cfRule>
  </conditionalFormatting>
  <dataValidations count="10">
    <dataValidation type="decimal" allowBlank="1" showErrorMessage="1" errorTitle="Fuera de rango" error="Escriba un valor entre 0.5 y 2.0 (factor)." sqref="G7 G10" xr:uid="{00000000-0002-0000-0800-000000000000}">
      <formula1>0.5</formula1>
      <formula2>2</formula2>
    </dataValidation>
    <dataValidation type="decimal" allowBlank="1" showErrorMessage="1" errorTitle="Fuera de rango" error="Escriba un valor entre 0 y 1000000000 (RD$/mes)." sqref="G8" xr:uid="{00000000-0002-0000-0800-000001000000}">
      <formula1>0</formula1>
      <formula2>1000000000</formula2>
    </dataValidation>
    <dataValidation type="decimal" allowBlank="1" showErrorMessage="1" errorTitle="Fuera de rango" error="Escriba un valor entre 0 y 150 (%)." sqref="G9" xr:uid="{00000000-0002-0000-0800-000002000000}">
      <formula1>0</formula1>
      <formula2>150</formula2>
    </dataValidation>
    <dataValidation type="decimal" allowBlank="1" showErrorMessage="1" errorTitle="Fuera de rango" error="Escriba un valor entre 10 y 200 (%)." sqref="G11" xr:uid="{00000000-0002-0000-0800-000004000000}">
      <formula1>10</formula1>
      <formula2>200</formula2>
    </dataValidation>
    <dataValidation type="decimal" allowBlank="1" showErrorMessage="1" errorTitle="Fuera de rango" error="Escriba un valor entre 0 y 1000000000 (RD$)." sqref="G12:G13" xr:uid="{00000000-0002-0000-0800-000005000000}">
      <formula1>0</formula1>
      <formula2>1000000000</formula2>
    </dataValidation>
    <dataValidation type="decimal" allowBlank="1" showErrorMessage="1" errorTitle="Fuera de rango" error="Escriba un valor entre 0 y 20 (%)." sqref="G14" xr:uid="{00000000-0002-0000-0800-000007000000}">
      <formula1>0</formula1>
      <formula2>20</formula2>
    </dataValidation>
    <dataValidation type="decimal" allowBlank="1" showErrorMessage="1" errorTitle="Fuera de rango" error="Escriba un valor entre 0 y 100 (%)." sqref="G16:G18" xr:uid="{00000000-0002-0000-0800-000008000000}">
      <formula1>0</formula1>
      <formula2>100</formula2>
    </dataValidation>
    <dataValidation type="decimal" allowBlank="1" showErrorMessage="1" errorTitle="Fuera de rango" error="Escriba un valor entre 50 y 100 (%)." sqref="G19" xr:uid="{00000000-0002-0000-0800-00000B000000}">
      <formula1>50</formula1>
      <formula2>100</formula2>
    </dataValidation>
    <dataValidation type="decimal" allowBlank="1" showErrorMessage="1" errorTitle="Fuera de rango" error="Escriba un valor entre 100 y 300 (%)." sqref="G20" xr:uid="{00000000-0002-0000-0800-00000C000000}">
      <formula1>100</formula1>
      <formula2>300</formula2>
    </dataValidation>
    <dataValidation type="decimal" allowBlank="1" showErrorMessage="1" errorTitle="Fuera de rango" error="Escriba un valor entre 0 y 1000000000 (RD$ o cantidad)." sqref="G21" xr:uid="{00000000-0002-0000-0800-00000D000000}">
      <formula1>0</formula1>
      <formula2>1000000000</formula2>
    </dataValidation>
  </dataValidation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5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3" width="28" customWidth="1"/>
    <col min="4" max="4" width="17" customWidth="1"/>
    <col min="5" max="5" width="13" customWidth="1"/>
    <col min="6" max="6" width="11" customWidth="1"/>
    <col min="7" max="8" width="16" customWidth="1"/>
    <col min="9" max="9" width="14" customWidth="1"/>
    <col min="10" max="10" width="20" customWidth="1"/>
  </cols>
  <sheetData>
    <row r="1" spans="1:10" ht="21" x14ac:dyDescent="0.4">
      <c r="A1" s="1" t="s">
        <v>553</v>
      </c>
    </row>
    <row r="2" spans="1:10" x14ac:dyDescent="0.3">
      <c r="A2" s="2" t="s">
        <v>554</v>
      </c>
    </row>
    <row r="3" spans="1:10" x14ac:dyDescent="0.3">
      <c r="A3" s="22" t="s">
        <v>555</v>
      </c>
    </row>
    <row r="5" spans="1:10" ht="42" customHeight="1" x14ac:dyDescent="0.3">
      <c r="A5" s="12" t="s">
        <v>129</v>
      </c>
      <c r="B5" s="12" t="s">
        <v>556</v>
      </c>
      <c r="C5" s="12" t="s">
        <v>557</v>
      </c>
      <c r="D5" s="12" t="s">
        <v>558</v>
      </c>
      <c r="E5" s="12" t="s">
        <v>559</v>
      </c>
      <c r="F5" s="12" t="s">
        <v>560</v>
      </c>
      <c r="G5" s="12" t="s">
        <v>561</v>
      </c>
      <c r="H5" s="12" t="s">
        <v>562</v>
      </c>
      <c r="I5" s="12" t="s">
        <v>136</v>
      </c>
      <c r="J5" s="12" t="s">
        <v>563</v>
      </c>
    </row>
    <row r="6" spans="1:10" x14ac:dyDescent="0.3">
      <c r="A6" s="8">
        <v>1</v>
      </c>
      <c r="B6" s="6" t="s">
        <v>564</v>
      </c>
      <c r="C6" s="6" t="s">
        <v>565</v>
      </c>
      <c r="D6" s="8" t="s">
        <v>566</v>
      </c>
      <c r="E6" s="8" t="s">
        <v>567</v>
      </c>
      <c r="F6" s="30">
        <v>0.15</v>
      </c>
      <c r="G6" s="31"/>
      <c r="H6" s="7"/>
      <c r="I6" s="26" t="str">
        <f t="shared" ref="I6:I48" si="0">IF(AND(G6="",H6=""),"Pendiente",IF(AND(OR(G6="",AND(ISNUMBER(G6),G6&gt;=0,G6&lt;=1)),OR(H6="",H6="Ideal",H6="Obligatorio")),"OK","Fuera de rango"))</f>
        <v>Pendiente</v>
      </c>
      <c r="J6" s="8" t="s">
        <v>568</v>
      </c>
    </row>
    <row r="7" spans="1:10" x14ac:dyDescent="0.3">
      <c r="A7" s="8">
        <v>2</v>
      </c>
      <c r="B7" s="6" t="s">
        <v>569</v>
      </c>
      <c r="C7" s="6" t="s">
        <v>570</v>
      </c>
      <c r="D7" s="8" t="s">
        <v>566</v>
      </c>
      <c r="E7" s="8" t="s">
        <v>567</v>
      </c>
      <c r="F7" s="30">
        <v>0.1</v>
      </c>
      <c r="G7" s="31"/>
      <c r="H7" s="7"/>
      <c r="I7" s="26" t="str">
        <f t="shared" si="0"/>
        <v>Pendiente</v>
      </c>
      <c r="J7" s="8" t="s">
        <v>568</v>
      </c>
    </row>
    <row r="8" spans="1:10" x14ac:dyDescent="0.3">
      <c r="A8" s="8">
        <v>3</v>
      </c>
      <c r="B8" s="6" t="s">
        <v>571</v>
      </c>
      <c r="C8" s="6" t="s">
        <v>572</v>
      </c>
      <c r="D8" s="8" t="s">
        <v>566</v>
      </c>
      <c r="E8" s="8" t="s">
        <v>567</v>
      </c>
      <c r="F8" s="30">
        <v>0.22</v>
      </c>
      <c r="G8" s="31"/>
      <c r="H8" s="7"/>
      <c r="I8" s="26" t="str">
        <f t="shared" si="0"/>
        <v>Pendiente</v>
      </c>
      <c r="J8" s="8" t="s">
        <v>568</v>
      </c>
    </row>
    <row r="9" spans="1:10" x14ac:dyDescent="0.3">
      <c r="A9" s="8">
        <v>4</v>
      </c>
      <c r="B9" s="6" t="s">
        <v>571</v>
      </c>
      <c r="C9" s="6" t="s">
        <v>573</v>
      </c>
      <c r="D9" s="8" t="s">
        <v>566</v>
      </c>
      <c r="E9" s="8" t="s">
        <v>574</v>
      </c>
      <c r="F9" s="30">
        <v>0.3</v>
      </c>
      <c r="G9" s="31"/>
      <c r="H9" s="7"/>
      <c r="I9" s="26" t="str">
        <f t="shared" si="0"/>
        <v>Pendiente</v>
      </c>
      <c r="J9" s="8" t="s">
        <v>568</v>
      </c>
    </row>
    <row r="10" spans="1:10" x14ac:dyDescent="0.3">
      <c r="A10" s="8">
        <v>5</v>
      </c>
      <c r="B10" s="6" t="s">
        <v>575</v>
      </c>
      <c r="C10" s="6" t="s">
        <v>576</v>
      </c>
      <c r="D10" s="8" t="s">
        <v>566</v>
      </c>
      <c r="E10" s="8" t="s">
        <v>574</v>
      </c>
      <c r="F10" s="30">
        <v>0.4</v>
      </c>
      <c r="G10" s="31"/>
      <c r="H10" s="7"/>
      <c r="I10" s="26" t="str">
        <f t="shared" si="0"/>
        <v>Pendiente</v>
      </c>
      <c r="J10" s="8" t="s">
        <v>568</v>
      </c>
    </row>
    <row r="11" spans="1:10" x14ac:dyDescent="0.3">
      <c r="A11" s="8">
        <v>6</v>
      </c>
      <c r="B11" s="6" t="s">
        <v>575</v>
      </c>
      <c r="C11" s="6" t="s">
        <v>577</v>
      </c>
      <c r="D11" s="8" t="s">
        <v>566</v>
      </c>
      <c r="E11" s="8" t="s">
        <v>567</v>
      </c>
      <c r="F11" s="30">
        <v>0.02</v>
      </c>
      <c r="G11" s="31"/>
      <c r="H11" s="7"/>
      <c r="I11" s="26" t="str">
        <f t="shared" si="0"/>
        <v>Pendiente</v>
      </c>
      <c r="J11" s="8" t="s">
        <v>568</v>
      </c>
    </row>
    <row r="12" spans="1:10" x14ac:dyDescent="0.3">
      <c r="A12" s="8">
        <v>7</v>
      </c>
      <c r="B12" s="6" t="s">
        <v>575</v>
      </c>
      <c r="C12" s="6" t="s">
        <v>578</v>
      </c>
      <c r="D12" s="8" t="s">
        <v>566</v>
      </c>
      <c r="E12" s="8" t="s">
        <v>567</v>
      </c>
      <c r="F12" s="30">
        <v>0.3</v>
      </c>
      <c r="G12" s="31"/>
      <c r="H12" s="7"/>
      <c r="I12" s="26" t="str">
        <f t="shared" si="0"/>
        <v>Pendiente</v>
      </c>
      <c r="J12" s="8" t="s">
        <v>568</v>
      </c>
    </row>
    <row r="13" spans="1:10" x14ac:dyDescent="0.3">
      <c r="A13" s="8">
        <v>8</v>
      </c>
      <c r="B13" s="6" t="s">
        <v>575</v>
      </c>
      <c r="C13" s="6" t="s">
        <v>579</v>
      </c>
      <c r="D13" s="8" t="s">
        <v>566</v>
      </c>
      <c r="E13" s="8" t="s">
        <v>567</v>
      </c>
      <c r="F13" s="30">
        <v>0.05</v>
      </c>
      <c r="G13" s="31"/>
      <c r="H13" s="7"/>
      <c r="I13" s="26" t="str">
        <f t="shared" si="0"/>
        <v>Pendiente</v>
      </c>
      <c r="J13" s="8" t="s">
        <v>568</v>
      </c>
    </row>
    <row r="14" spans="1:10" x14ac:dyDescent="0.3">
      <c r="A14" s="8">
        <v>9</v>
      </c>
      <c r="B14" s="6" t="s">
        <v>575</v>
      </c>
      <c r="C14" s="6" t="s">
        <v>580</v>
      </c>
      <c r="D14" s="8" t="s">
        <v>566</v>
      </c>
      <c r="E14" s="8" t="s">
        <v>567</v>
      </c>
      <c r="F14" s="30">
        <v>0.1</v>
      </c>
      <c r="G14" s="31"/>
      <c r="H14" s="7"/>
      <c r="I14" s="26" t="str">
        <f t="shared" si="0"/>
        <v>Pendiente</v>
      </c>
      <c r="J14" s="8" t="s">
        <v>568</v>
      </c>
    </row>
    <row r="15" spans="1:10" x14ac:dyDescent="0.3">
      <c r="A15" s="8">
        <v>10</v>
      </c>
      <c r="B15" s="6" t="s">
        <v>575</v>
      </c>
      <c r="C15" s="6" t="s">
        <v>581</v>
      </c>
      <c r="D15" s="8" t="s">
        <v>566</v>
      </c>
      <c r="E15" s="8" t="s">
        <v>567</v>
      </c>
      <c r="F15" s="30">
        <v>0.08</v>
      </c>
      <c r="G15" s="31"/>
      <c r="H15" s="7"/>
      <c r="I15" s="26" t="str">
        <f t="shared" si="0"/>
        <v>Pendiente</v>
      </c>
      <c r="J15" s="8" t="s">
        <v>568</v>
      </c>
    </row>
    <row r="16" spans="1:10" x14ac:dyDescent="0.3">
      <c r="A16" s="8">
        <v>11</v>
      </c>
      <c r="B16" s="6" t="s">
        <v>575</v>
      </c>
      <c r="C16" s="6" t="s">
        <v>582</v>
      </c>
      <c r="D16" s="8" t="s">
        <v>566</v>
      </c>
      <c r="E16" s="8" t="s">
        <v>574</v>
      </c>
      <c r="F16" s="30">
        <v>0.15</v>
      </c>
      <c r="G16" s="31"/>
      <c r="H16" s="7"/>
      <c r="I16" s="26" t="str">
        <f t="shared" si="0"/>
        <v>Pendiente</v>
      </c>
      <c r="J16" s="8" t="s">
        <v>568</v>
      </c>
    </row>
    <row r="17" spans="1:10" x14ac:dyDescent="0.3">
      <c r="A17" s="8">
        <v>12</v>
      </c>
      <c r="B17" s="6" t="s">
        <v>575</v>
      </c>
      <c r="C17" s="6" t="s">
        <v>583</v>
      </c>
      <c r="D17" s="8" t="s">
        <v>566</v>
      </c>
      <c r="E17" s="8" t="s">
        <v>567</v>
      </c>
      <c r="F17" s="30">
        <v>0.26</v>
      </c>
      <c r="G17" s="31"/>
      <c r="H17" s="7"/>
      <c r="I17" s="26" t="str">
        <f t="shared" si="0"/>
        <v>Pendiente</v>
      </c>
      <c r="J17" s="8" t="s">
        <v>568</v>
      </c>
    </row>
    <row r="18" spans="1:10" x14ac:dyDescent="0.3">
      <c r="A18" s="8">
        <v>13</v>
      </c>
      <c r="B18" s="6" t="s">
        <v>584</v>
      </c>
      <c r="C18" s="6" t="s">
        <v>585</v>
      </c>
      <c r="D18" s="8" t="s">
        <v>566</v>
      </c>
      <c r="E18" s="8" t="s">
        <v>567</v>
      </c>
      <c r="F18" s="30">
        <v>0.02</v>
      </c>
      <c r="G18" s="31"/>
      <c r="H18" s="7"/>
      <c r="I18" s="26" t="str">
        <f t="shared" si="0"/>
        <v>Pendiente</v>
      </c>
      <c r="J18" s="8" t="s">
        <v>568</v>
      </c>
    </row>
    <row r="19" spans="1:10" x14ac:dyDescent="0.3">
      <c r="A19" s="8">
        <v>14</v>
      </c>
      <c r="B19" s="6" t="s">
        <v>584</v>
      </c>
      <c r="C19" s="6" t="s">
        <v>586</v>
      </c>
      <c r="D19" s="8" t="s">
        <v>566</v>
      </c>
      <c r="E19" s="8" t="s">
        <v>567</v>
      </c>
      <c r="F19" s="30">
        <v>0.15</v>
      </c>
      <c r="G19" s="31"/>
      <c r="H19" s="7"/>
      <c r="I19" s="26" t="str">
        <f t="shared" si="0"/>
        <v>Pendiente</v>
      </c>
      <c r="J19" s="8" t="s">
        <v>568</v>
      </c>
    </row>
    <row r="20" spans="1:10" x14ac:dyDescent="0.3">
      <c r="A20" s="8">
        <v>15</v>
      </c>
      <c r="B20" s="6" t="s">
        <v>587</v>
      </c>
      <c r="C20" s="6" t="s">
        <v>588</v>
      </c>
      <c r="D20" s="8" t="s">
        <v>566</v>
      </c>
      <c r="E20" s="8" t="s">
        <v>574</v>
      </c>
      <c r="F20" s="30">
        <v>0.14000000000000001</v>
      </c>
      <c r="G20" s="31"/>
      <c r="H20" s="7"/>
      <c r="I20" s="26" t="str">
        <f t="shared" si="0"/>
        <v>Pendiente</v>
      </c>
      <c r="J20" s="8" t="s">
        <v>568</v>
      </c>
    </row>
    <row r="21" spans="1:10" x14ac:dyDescent="0.3">
      <c r="A21" s="8">
        <v>16</v>
      </c>
      <c r="B21" s="6" t="s">
        <v>587</v>
      </c>
      <c r="C21" s="6" t="s">
        <v>589</v>
      </c>
      <c r="D21" s="8" t="s">
        <v>566</v>
      </c>
      <c r="E21" s="8" t="s">
        <v>574</v>
      </c>
      <c r="F21" s="30">
        <v>0.18</v>
      </c>
      <c r="G21" s="31"/>
      <c r="H21" s="7"/>
      <c r="I21" s="26" t="str">
        <f t="shared" si="0"/>
        <v>Pendiente</v>
      </c>
      <c r="J21" s="8" t="s">
        <v>568</v>
      </c>
    </row>
    <row r="22" spans="1:10" x14ac:dyDescent="0.3">
      <c r="A22" s="8">
        <v>17</v>
      </c>
      <c r="B22" s="6" t="s">
        <v>587</v>
      </c>
      <c r="C22" s="6" t="s">
        <v>590</v>
      </c>
      <c r="D22" s="8" t="s">
        <v>566</v>
      </c>
      <c r="E22" s="8" t="s">
        <v>567</v>
      </c>
      <c r="F22" s="30">
        <v>0.01</v>
      </c>
      <c r="G22" s="31"/>
      <c r="H22" s="7"/>
      <c r="I22" s="26" t="str">
        <f t="shared" si="0"/>
        <v>Pendiente</v>
      </c>
      <c r="J22" s="8" t="s">
        <v>568</v>
      </c>
    </row>
    <row r="23" spans="1:10" x14ac:dyDescent="0.3">
      <c r="A23" s="8">
        <v>18</v>
      </c>
      <c r="B23" s="6" t="s">
        <v>587</v>
      </c>
      <c r="C23" s="6" t="s">
        <v>591</v>
      </c>
      <c r="D23" s="8" t="s">
        <v>566</v>
      </c>
      <c r="E23" s="8" t="s">
        <v>574</v>
      </c>
      <c r="F23" s="30">
        <v>0.6</v>
      </c>
      <c r="G23" s="31"/>
      <c r="H23" s="7"/>
      <c r="I23" s="26" t="str">
        <f t="shared" si="0"/>
        <v>Pendiente</v>
      </c>
      <c r="J23" s="8" t="s">
        <v>568</v>
      </c>
    </row>
    <row r="24" spans="1:10" x14ac:dyDescent="0.3">
      <c r="A24" s="8">
        <v>19</v>
      </c>
      <c r="B24" s="6" t="s">
        <v>587</v>
      </c>
      <c r="C24" s="6" t="s">
        <v>592</v>
      </c>
      <c r="D24" s="8" t="s">
        <v>566</v>
      </c>
      <c r="E24" s="8" t="s">
        <v>567</v>
      </c>
      <c r="F24" s="30">
        <v>0.16</v>
      </c>
      <c r="G24" s="31"/>
      <c r="H24" s="7"/>
      <c r="I24" s="26" t="str">
        <f t="shared" si="0"/>
        <v>Pendiente</v>
      </c>
      <c r="J24" s="8" t="s">
        <v>568</v>
      </c>
    </row>
    <row r="25" spans="1:10" x14ac:dyDescent="0.3">
      <c r="A25" s="8">
        <v>20</v>
      </c>
      <c r="B25" s="6" t="s">
        <v>587</v>
      </c>
      <c r="C25" s="6" t="s">
        <v>593</v>
      </c>
      <c r="D25" s="8" t="s">
        <v>566</v>
      </c>
      <c r="E25" s="8" t="s">
        <v>567</v>
      </c>
      <c r="F25" s="30">
        <v>0.01</v>
      </c>
      <c r="G25" s="31"/>
      <c r="H25" s="7"/>
      <c r="I25" s="26" t="str">
        <f t="shared" si="0"/>
        <v>Pendiente</v>
      </c>
      <c r="J25" s="8" t="s">
        <v>568</v>
      </c>
    </row>
    <row r="26" spans="1:10" x14ac:dyDescent="0.3">
      <c r="A26" s="8">
        <v>21</v>
      </c>
      <c r="B26" s="6" t="s">
        <v>594</v>
      </c>
      <c r="C26" s="6" t="s">
        <v>595</v>
      </c>
      <c r="D26" s="8" t="s">
        <v>566</v>
      </c>
      <c r="E26" s="8" t="s">
        <v>567</v>
      </c>
      <c r="F26" s="30">
        <v>0.1</v>
      </c>
      <c r="G26" s="31"/>
      <c r="H26" s="7"/>
      <c r="I26" s="26" t="str">
        <f t="shared" si="0"/>
        <v>Pendiente</v>
      </c>
      <c r="J26" s="8" t="s">
        <v>568</v>
      </c>
    </row>
    <row r="27" spans="1:10" x14ac:dyDescent="0.3">
      <c r="A27" s="8">
        <v>22</v>
      </c>
      <c r="B27" s="6" t="s">
        <v>596</v>
      </c>
      <c r="C27" s="6" t="s">
        <v>597</v>
      </c>
      <c r="D27" s="8" t="s">
        <v>566</v>
      </c>
      <c r="E27" s="8" t="s">
        <v>567</v>
      </c>
      <c r="F27" s="30">
        <v>0.18</v>
      </c>
      <c r="G27" s="31"/>
      <c r="H27" s="7"/>
      <c r="I27" s="26" t="str">
        <f t="shared" si="0"/>
        <v>Pendiente</v>
      </c>
      <c r="J27" s="8" t="s">
        <v>568</v>
      </c>
    </row>
    <row r="28" spans="1:10" x14ac:dyDescent="0.3">
      <c r="A28" s="8">
        <v>23</v>
      </c>
      <c r="B28" s="6" t="s">
        <v>596</v>
      </c>
      <c r="C28" s="6" t="s">
        <v>598</v>
      </c>
      <c r="D28" s="8" t="s">
        <v>566</v>
      </c>
      <c r="E28" s="8" t="s">
        <v>567</v>
      </c>
      <c r="F28" s="30">
        <v>0.05</v>
      </c>
      <c r="G28" s="31"/>
      <c r="H28" s="7"/>
      <c r="I28" s="26" t="str">
        <f t="shared" si="0"/>
        <v>Pendiente</v>
      </c>
      <c r="J28" s="8" t="s">
        <v>568</v>
      </c>
    </row>
    <row r="29" spans="1:10" x14ac:dyDescent="0.3">
      <c r="A29" s="8">
        <v>24</v>
      </c>
      <c r="B29" s="6" t="s">
        <v>599</v>
      </c>
      <c r="C29" s="6" t="s">
        <v>600</v>
      </c>
      <c r="D29" s="8" t="s">
        <v>566</v>
      </c>
      <c r="E29" s="8" t="s">
        <v>567</v>
      </c>
      <c r="F29" s="30">
        <v>0.02</v>
      </c>
      <c r="G29" s="31"/>
      <c r="H29" s="7"/>
      <c r="I29" s="26" t="str">
        <f t="shared" si="0"/>
        <v>Pendiente</v>
      </c>
      <c r="J29" s="8" t="s">
        <v>568</v>
      </c>
    </row>
    <row r="30" spans="1:10" x14ac:dyDescent="0.3">
      <c r="A30" s="8">
        <v>25</v>
      </c>
      <c r="B30" s="6" t="s">
        <v>601</v>
      </c>
      <c r="C30" s="6" t="s">
        <v>602</v>
      </c>
      <c r="D30" s="8" t="s">
        <v>566</v>
      </c>
      <c r="E30" s="8" t="s">
        <v>567</v>
      </c>
      <c r="F30" s="30">
        <v>0.72</v>
      </c>
      <c r="G30" s="31"/>
      <c r="H30" s="7"/>
      <c r="I30" s="26" t="str">
        <f t="shared" si="0"/>
        <v>Pendiente</v>
      </c>
      <c r="J30" s="8" t="s">
        <v>568</v>
      </c>
    </row>
    <row r="31" spans="1:10" x14ac:dyDescent="0.3">
      <c r="A31" s="8">
        <v>26</v>
      </c>
      <c r="B31" s="6" t="s">
        <v>601</v>
      </c>
      <c r="C31" s="6" t="s">
        <v>603</v>
      </c>
      <c r="D31" s="8" t="s">
        <v>566</v>
      </c>
      <c r="E31" s="8" t="s">
        <v>567</v>
      </c>
      <c r="F31" s="30">
        <v>0.28000000000000003</v>
      </c>
      <c r="G31" s="31"/>
      <c r="H31" s="7"/>
      <c r="I31" s="26" t="str">
        <f t="shared" si="0"/>
        <v>Pendiente</v>
      </c>
      <c r="J31" s="8" t="s">
        <v>568</v>
      </c>
    </row>
    <row r="32" spans="1:10" x14ac:dyDescent="0.3">
      <c r="A32" s="8">
        <v>27</v>
      </c>
      <c r="B32" s="6" t="s">
        <v>601</v>
      </c>
      <c r="C32" s="6" t="s">
        <v>604</v>
      </c>
      <c r="D32" s="8" t="s">
        <v>566</v>
      </c>
      <c r="E32" s="8" t="s">
        <v>567</v>
      </c>
      <c r="F32" s="30">
        <v>0.1</v>
      </c>
      <c r="G32" s="31"/>
      <c r="H32" s="7"/>
      <c r="I32" s="26" t="str">
        <f t="shared" si="0"/>
        <v>Pendiente</v>
      </c>
      <c r="J32" s="8" t="s">
        <v>568</v>
      </c>
    </row>
    <row r="33" spans="1:10" x14ac:dyDescent="0.3">
      <c r="A33" s="8">
        <v>28</v>
      </c>
      <c r="B33" s="6" t="s">
        <v>601</v>
      </c>
      <c r="C33" s="6" t="s">
        <v>605</v>
      </c>
      <c r="D33" s="8" t="s">
        <v>566</v>
      </c>
      <c r="E33" s="8" t="s">
        <v>567</v>
      </c>
      <c r="F33" s="30">
        <v>0.7</v>
      </c>
      <c r="G33" s="31"/>
      <c r="H33" s="7"/>
      <c r="I33" s="26" t="str">
        <f t="shared" si="0"/>
        <v>Pendiente</v>
      </c>
      <c r="J33" s="8" t="s">
        <v>568</v>
      </c>
    </row>
    <row r="34" spans="1:10" x14ac:dyDescent="0.3">
      <c r="A34" s="8">
        <v>29</v>
      </c>
      <c r="B34" s="6" t="s">
        <v>601</v>
      </c>
      <c r="C34" s="6" t="s">
        <v>606</v>
      </c>
      <c r="D34" s="8" t="s">
        <v>566</v>
      </c>
      <c r="E34" s="8" t="s">
        <v>567</v>
      </c>
      <c r="F34" s="30">
        <v>0.03</v>
      </c>
      <c r="G34" s="31"/>
      <c r="H34" s="7"/>
      <c r="I34" s="26" t="str">
        <f t="shared" si="0"/>
        <v>Pendiente</v>
      </c>
      <c r="J34" s="8" t="s">
        <v>568</v>
      </c>
    </row>
    <row r="35" spans="1:10" x14ac:dyDescent="0.3">
      <c r="A35" s="8">
        <v>30</v>
      </c>
      <c r="B35" s="6" t="s">
        <v>601</v>
      </c>
      <c r="C35" s="6" t="s">
        <v>607</v>
      </c>
      <c r="D35" s="8" t="s">
        <v>566</v>
      </c>
      <c r="E35" s="8" t="s">
        <v>567</v>
      </c>
      <c r="F35" s="30">
        <v>0.12</v>
      </c>
      <c r="G35" s="31"/>
      <c r="H35" s="7"/>
      <c r="I35" s="26" t="str">
        <f t="shared" si="0"/>
        <v>Pendiente</v>
      </c>
      <c r="J35" s="8" t="s">
        <v>568</v>
      </c>
    </row>
    <row r="36" spans="1:10" x14ac:dyDescent="0.3">
      <c r="A36" s="8">
        <v>31</v>
      </c>
      <c r="B36" s="6" t="s">
        <v>608</v>
      </c>
      <c r="C36" s="6" t="s">
        <v>609</v>
      </c>
      <c r="D36" s="8" t="s">
        <v>566</v>
      </c>
      <c r="E36" s="8" t="s">
        <v>567</v>
      </c>
      <c r="F36" s="30">
        <v>0.1</v>
      </c>
      <c r="G36" s="31"/>
      <c r="H36" s="7"/>
      <c r="I36" s="26" t="str">
        <f t="shared" si="0"/>
        <v>Pendiente</v>
      </c>
      <c r="J36" s="8" t="s">
        <v>568</v>
      </c>
    </row>
    <row r="37" spans="1:10" x14ac:dyDescent="0.3">
      <c r="A37" s="8">
        <v>32</v>
      </c>
      <c r="B37" s="13"/>
      <c r="C37" s="13"/>
      <c r="D37" s="7">
        <v>2000</v>
      </c>
      <c r="E37" s="7"/>
      <c r="F37" s="31"/>
      <c r="G37" s="31"/>
      <c r="H37" s="7"/>
      <c r="I37" s="26" t="str">
        <f t="shared" si="0"/>
        <v>Pendiente</v>
      </c>
      <c r="J37" s="8" t="s">
        <v>568</v>
      </c>
    </row>
    <row r="38" spans="1:10" x14ac:dyDescent="0.3">
      <c r="A38" s="8">
        <v>33</v>
      </c>
      <c r="B38" s="13"/>
      <c r="C38" s="13"/>
      <c r="D38" s="7">
        <v>2000</v>
      </c>
      <c r="E38" s="7"/>
      <c r="F38" s="31"/>
      <c r="G38" s="31"/>
      <c r="H38" s="7"/>
      <c r="I38" s="26" t="str">
        <f t="shared" si="0"/>
        <v>Pendiente</v>
      </c>
      <c r="J38" s="8" t="s">
        <v>568</v>
      </c>
    </row>
    <row r="39" spans="1:10" x14ac:dyDescent="0.3">
      <c r="A39" s="8">
        <v>34</v>
      </c>
      <c r="B39" s="13"/>
      <c r="C39" s="13"/>
      <c r="D39" s="7">
        <v>2000</v>
      </c>
      <c r="E39" s="7"/>
      <c r="F39" s="31"/>
      <c r="G39" s="31"/>
      <c r="H39" s="7"/>
      <c r="I39" s="26" t="str">
        <f t="shared" si="0"/>
        <v>Pendiente</v>
      </c>
      <c r="J39" s="8" t="s">
        <v>568</v>
      </c>
    </row>
    <row r="40" spans="1:10" x14ac:dyDescent="0.3">
      <c r="A40" s="8">
        <v>35</v>
      </c>
      <c r="B40" s="13"/>
      <c r="C40" s="13"/>
      <c r="D40" s="7">
        <v>2000</v>
      </c>
      <c r="E40" s="7"/>
      <c r="F40" s="31"/>
      <c r="G40" s="31"/>
      <c r="H40" s="7"/>
      <c r="I40" s="26" t="str">
        <f t="shared" si="0"/>
        <v>Pendiente</v>
      </c>
      <c r="J40" s="8" t="s">
        <v>568</v>
      </c>
    </row>
    <row r="41" spans="1:10" x14ac:dyDescent="0.3">
      <c r="A41" s="8">
        <v>36</v>
      </c>
      <c r="B41" s="13"/>
      <c r="C41" s="13"/>
      <c r="D41" s="7">
        <v>2000</v>
      </c>
      <c r="E41" s="7"/>
      <c r="F41" s="31"/>
      <c r="G41" s="31"/>
      <c r="H41" s="7"/>
      <c r="I41" s="26" t="str">
        <f t="shared" si="0"/>
        <v>Pendiente</v>
      </c>
      <c r="J41" s="8" t="s">
        <v>568</v>
      </c>
    </row>
    <row r="42" spans="1:10" x14ac:dyDescent="0.3">
      <c r="A42" s="8">
        <v>37</v>
      </c>
      <c r="B42" s="13"/>
      <c r="C42" s="13"/>
      <c r="D42" s="7">
        <v>2000</v>
      </c>
      <c r="E42" s="7"/>
      <c r="F42" s="31"/>
      <c r="G42" s="31"/>
      <c r="H42" s="7"/>
      <c r="I42" s="26" t="str">
        <f t="shared" si="0"/>
        <v>Pendiente</v>
      </c>
      <c r="J42" s="8" t="s">
        <v>568</v>
      </c>
    </row>
    <row r="43" spans="1:10" x14ac:dyDescent="0.3">
      <c r="A43" s="8">
        <v>38</v>
      </c>
      <c r="B43" s="13"/>
      <c r="C43" s="13"/>
      <c r="D43" s="7">
        <v>2000</v>
      </c>
      <c r="E43" s="7"/>
      <c r="F43" s="31"/>
      <c r="G43" s="31"/>
      <c r="H43" s="7"/>
      <c r="I43" s="26" t="str">
        <f t="shared" si="0"/>
        <v>Pendiente</v>
      </c>
      <c r="J43" s="8" t="s">
        <v>568</v>
      </c>
    </row>
    <row r="44" spans="1:10" x14ac:dyDescent="0.3">
      <c r="A44" s="8">
        <v>39</v>
      </c>
      <c r="B44" s="13"/>
      <c r="C44" s="13"/>
      <c r="D44" s="7">
        <v>2000</v>
      </c>
      <c r="E44" s="7"/>
      <c r="F44" s="31"/>
      <c r="G44" s="31"/>
      <c r="H44" s="7"/>
      <c r="I44" s="26" t="str">
        <f t="shared" si="0"/>
        <v>Pendiente</v>
      </c>
      <c r="J44" s="8" t="s">
        <v>568</v>
      </c>
    </row>
    <row r="45" spans="1:10" x14ac:dyDescent="0.3">
      <c r="A45" s="8">
        <v>40</v>
      </c>
      <c r="B45" s="13"/>
      <c r="C45" s="13"/>
      <c r="D45" s="7">
        <v>2000</v>
      </c>
      <c r="E45" s="7"/>
      <c r="F45" s="31"/>
      <c r="G45" s="31"/>
      <c r="H45" s="7"/>
      <c r="I45" s="26" t="str">
        <f t="shared" si="0"/>
        <v>Pendiente</v>
      </c>
      <c r="J45" s="8" t="s">
        <v>568</v>
      </c>
    </row>
    <row r="46" spans="1:10" x14ac:dyDescent="0.3">
      <c r="A46" s="8">
        <v>41</v>
      </c>
      <c r="B46" s="13"/>
      <c r="C46" s="13"/>
      <c r="D46" s="7">
        <v>2000</v>
      </c>
      <c r="E46" s="7"/>
      <c r="F46" s="31"/>
      <c r="G46" s="31"/>
      <c r="H46" s="7"/>
      <c r="I46" s="26" t="str">
        <f t="shared" si="0"/>
        <v>Pendiente</v>
      </c>
      <c r="J46" s="8" t="s">
        <v>568</v>
      </c>
    </row>
    <row r="47" spans="1:10" x14ac:dyDescent="0.3">
      <c r="A47" s="8">
        <v>42</v>
      </c>
      <c r="B47" s="13"/>
      <c r="C47" s="13"/>
      <c r="D47" s="7">
        <v>2000</v>
      </c>
      <c r="E47" s="7"/>
      <c r="F47" s="31"/>
      <c r="G47" s="31"/>
      <c r="H47" s="7"/>
      <c r="I47" s="26" t="str">
        <f t="shared" si="0"/>
        <v>Pendiente</v>
      </c>
      <c r="J47" s="8" t="s">
        <v>568</v>
      </c>
    </row>
    <row r="48" spans="1:10" x14ac:dyDescent="0.3">
      <c r="A48" s="8">
        <v>43</v>
      </c>
      <c r="B48" s="13"/>
      <c r="C48" s="13"/>
      <c r="D48" s="7">
        <v>2000</v>
      </c>
      <c r="E48" s="7"/>
      <c r="F48" s="31"/>
      <c r="G48" s="31"/>
      <c r="H48" s="7"/>
      <c r="I48" s="26" t="str">
        <f t="shared" si="0"/>
        <v>Pendiente</v>
      </c>
      <c r="J48" s="8" t="s">
        <v>568</v>
      </c>
    </row>
    <row r="50" spans="2:2" x14ac:dyDescent="0.3">
      <c r="B50" s="2" t="s">
        <v>610</v>
      </c>
    </row>
  </sheetData>
  <conditionalFormatting sqref="I6:I48">
    <cfRule type="cellIs" dxfId="8" priority="1" operator="equal">
      <formula>"OK"</formula>
    </cfRule>
    <cfRule type="cellIs" dxfId="7" priority="2" operator="equal">
      <formula>"Fuera de rango"</formula>
    </cfRule>
    <cfRule type="cellIs" dxfId="6" priority="3" operator="equal">
      <formula>"Pendiente"</formula>
    </cfRule>
  </conditionalFormatting>
  <dataValidations count="2">
    <dataValidation type="decimal" allowBlank="1" showErrorMessage="1" errorTitle="Fuera de rango" error="Escriba un porcentaje entre 0% y 100% (ej. 25%)." sqref="G6:G48" xr:uid="{00000000-0002-0000-0900-000000000000}">
      <formula1>0</formula1>
      <formula2>1</formula2>
    </dataValidation>
    <dataValidation type="list" allowBlank="1" showErrorMessage="1" errorTitle="Valor no válido" error="Elija Ideal u Obligatorio." sqref="H6:H48" xr:uid="{00000000-0002-0000-0900-000001000000}">
      <formula1>"Ideal,Obligatorio"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9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611</v>
      </c>
    </row>
    <row r="2" spans="1:13" x14ac:dyDescent="0.3">
      <c r="A2" s="2" t="s">
        <v>612</v>
      </c>
    </row>
    <row r="3" spans="1:13" x14ac:dyDescent="0.3">
      <c r="A3" s="22" t="s">
        <v>613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ht="39.6" customHeight="1" x14ac:dyDescent="0.3">
      <c r="A6" s="17">
        <v>1</v>
      </c>
      <c r="B6" s="14" t="s">
        <v>614</v>
      </c>
      <c r="C6" s="25" t="s">
        <v>615</v>
      </c>
      <c r="D6" s="14" t="s">
        <v>616</v>
      </c>
      <c r="E6" s="8" t="s">
        <v>617</v>
      </c>
      <c r="F6" s="8" t="s">
        <v>618</v>
      </c>
      <c r="G6" s="7"/>
      <c r="H6" s="8" t="s">
        <v>272</v>
      </c>
      <c r="I6" s="8" t="s">
        <v>272</v>
      </c>
      <c r="J6" s="8" t="s">
        <v>272</v>
      </c>
      <c r="K6" s="26" t="str">
        <f>IF(G6="","Pendiente","OK")</f>
        <v>Pendiente</v>
      </c>
      <c r="L6" s="14" t="s">
        <v>619</v>
      </c>
      <c r="M6" s="14" t="s">
        <v>620</v>
      </c>
    </row>
    <row r="7" spans="1:13" ht="30" customHeight="1" x14ac:dyDescent="0.3">
      <c r="A7" s="17">
        <v>2</v>
      </c>
      <c r="B7" s="14" t="s">
        <v>614</v>
      </c>
      <c r="C7" s="25" t="s">
        <v>621</v>
      </c>
      <c r="D7" s="14" t="s">
        <v>622</v>
      </c>
      <c r="E7" s="8" t="s">
        <v>217</v>
      </c>
      <c r="F7" s="8" t="s">
        <v>329</v>
      </c>
      <c r="G7" s="7"/>
      <c r="H7" s="8" t="s">
        <v>219</v>
      </c>
      <c r="I7" s="8" t="s">
        <v>330</v>
      </c>
      <c r="J7" s="8" t="s">
        <v>219</v>
      </c>
      <c r="K7" s="26" t="str">
        <f>IF(G7="","Pendiente","OK")</f>
        <v>Pendiente</v>
      </c>
      <c r="L7" s="14" t="s">
        <v>331</v>
      </c>
      <c r="M7" s="14" t="s">
        <v>620</v>
      </c>
    </row>
    <row r="8" spans="1:13" ht="30" customHeight="1" x14ac:dyDescent="0.3">
      <c r="A8" s="17">
        <v>3</v>
      </c>
      <c r="B8" s="14" t="s">
        <v>623</v>
      </c>
      <c r="C8" s="25" t="s">
        <v>624</v>
      </c>
      <c r="D8" s="14" t="s">
        <v>625</v>
      </c>
      <c r="E8" s="8" t="s">
        <v>344</v>
      </c>
      <c r="F8" s="8">
        <v>587</v>
      </c>
      <c r="G8" s="7"/>
      <c r="H8" s="8">
        <v>1</v>
      </c>
      <c r="I8" s="8">
        <v>65535</v>
      </c>
      <c r="J8" s="8" t="s">
        <v>143</v>
      </c>
      <c r="K8" s="26" t="str">
        <f>IF(G8="","Pendiente",IF(AND(ISNUMBER(G8),G8&gt;=H8,G8&lt;=I8),"OK","Fuera de rango"))</f>
        <v>Pendiente</v>
      </c>
      <c r="L8" s="14" t="s">
        <v>626</v>
      </c>
      <c r="M8" s="14" t="s">
        <v>627</v>
      </c>
    </row>
    <row r="9" spans="1:13" ht="39.6" customHeight="1" x14ac:dyDescent="0.3">
      <c r="A9" s="17">
        <v>4</v>
      </c>
      <c r="B9" s="14" t="s">
        <v>628</v>
      </c>
      <c r="C9" s="25" t="s">
        <v>629</v>
      </c>
      <c r="D9" s="14" t="s">
        <v>630</v>
      </c>
      <c r="E9" s="8" t="s">
        <v>217</v>
      </c>
      <c r="F9" s="8" t="s">
        <v>329</v>
      </c>
      <c r="G9" s="7"/>
      <c r="H9" s="8" t="s">
        <v>219</v>
      </c>
      <c r="I9" s="8" t="s">
        <v>330</v>
      </c>
      <c r="J9" s="8" t="s">
        <v>219</v>
      </c>
      <c r="K9" s="26" t="str">
        <f>IF(G9="","Pendiente","OK")</f>
        <v>Pendiente</v>
      </c>
      <c r="L9" s="14" t="s">
        <v>331</v>
      </c>
      <c r="M9" s="14" t="s">
        <v>631</v>
      </c>
    </row>
  </sheetData>
  <conditionalFormatting sqref="K6:K9">
    <cfRule type="cellIs" dxfId="5" priority="1" operator="equal">
      <formula>"OK"</formula>
    </cfRule>
    <cfRule type="cellIs" dxfId="4" priority="2" operator="equal">
      <formula>"Fuera de rango"</formula>
    </cfRule>
    <cfRule type="cellIs" dxfId="3" priority="3" operator="equal">
      <formula>"Pendiente"</formula>
    </cfRule>
  </conditionalFormatting>
  <dataValidations count="2">
    <dataValidation type="list" allowBlank="1" showErrorMessage="1" errorTitle="Valor no válido" error="Elija una opción de la lista." sqref="G7 G9" xr:uid="{00000000-0002-0000-0A00-000000000000}">
      <formula1>"Sí,No"</formula1>
    </dataValidation>
    <dataValidation type="decimal" allowBlank="1" showErrorMessage="1" errorTitle="Fuera de rango" error="Escriba un valor entre 1 y 65535 (número)." sqref="G8" xr:uid="{00000000-0002-0000-0A00-000001000000}">
      <formula1>1</formula1>
      <formula2>65535</formula2>
    </dataValidation>
  </dataValidation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3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30" customWidth="1"/>
    <col min="4" max="4" width="44" customWidth="1"/>
    <col min="5" max="5" width="12" customWidth="1"/>
    <col min="6" max="6" width="13" customWidth="1"/>
    <col min="7" max="7" width="18" customWidth="1"/>
    <col min="8" max="9" width="10" customWidth="1"/>
    <col min="10" max="10" width="15" customWidth="1"/>
    <col min="11" max="11" width="14" customWidth="1"/>
    <col min="12" max="12" width="50" customWidth="1"/>
    <col min="13" max="13" width="36" customWidth="1"/>
  </cols>
  <sheetData>
    <row r="1" spans="1:13" ht="21" x14ac:dyDescent="0.4">
      <c r="A1" s="1" t="s">
        <v>632</v>
      </c>
    </row>
    <row r="2" spans="1:13" x14ac:dyDescent="0.3">
      <c r="A2" s="2" t="s">
        <v>633</v>
      </c>
    </row>
    <row r="3" spans="1:13" x14ac:dyDescent="0.3">
      <c r="A3" s="22" t="s">
        <v>634</v>
      </c>
    </row>
    <row r="5" spans="1:13" ht="42" customHeight="1" x14ac:dyDescent="0.3">
      <c r="A5" s="12" t="s">
        <v>129</v>
      </c>
      <c r="B5" s="12" t="s">
        <v>23</v>
      </c>
      <c r="C5" s="12" t="s">
        <v>130</v>
      </c>
      <c r="D5" s="12" t="s">
        <v>131</v>
      </c>
      <c r="E5" s="12" t="s">
        <v>27</v>
      </c>
      <c r="F5" s="12" t="s">
        <v>132</v>
      </c>
      <c r="G5" s="12" t="s">
        <v>133</v>
      </c>
      <c r="H5" s="12" t="s">
        <v>134</v>
      </c>
      <c r="I5" s="12" t="s">
        <v>135</v>
      </c>
      <c r="J5" s="12" t="s">
        <v>35</v>
      </c>
      <c r="K5" s="12" t="s">
        <v>136</v>
      </c>
      <c r="L5" s="12" t="s">
        <v>37</v>
      </c>
      <c r="M5" s="12" t="s">
        <v>137</v>
      </c>
    </row>
    <row r="6" spans="1:13" x14ac:dyDescent="0.3">
      <c r="A6" s="23" t="s">
        <v>635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66" customHeight="1" x14ac:dyDescent="0.3">
      <c r="A7" s="17">
        <v>1</v>
      </c>
      <c r="B7" s="14" t="s">
        <v>636</v>
      </c>
      <c r="C7" s="25" t="s">
        <v>637</v>
      </c>
      <c r="D7" s="14" t="s">
        <v>638</v>
      </c>
      <c r="E7" s="8" t="s">
        <v>142</v>
      </c>
      <c r="F7" s="8">
        <v>90</v>
      </c>
      <c r="G7" s="7"/>
      <c r="H7" s="8">
        <v>50</v>
      </c>
      <c r="I7" s="8">
        <v>150</v>
      </c>
      <c r="J7" s="8" t="s">
        <v>143</v>
      </c>
      <c r="K7" s="26" t="str">
        <f t="shared" ref="K7:K22" si="0">IF(G7="","Pendiente",IF(AND(ISNUMBER(G7),G7&gt;=H7,G7&lt;=I7),"OK","Fuera de rango"))</f>
        <v>Pendiente</v>
      </c>
      <c r="L7" s="14" t="s">
        <v>639</v>
      </c>
      <c r="M7" s="14" t="s">
        <v>640</v>
      </c>
    </row>
    <row r="8" spans="1:13" ht="52.8" customHeight="1" x14ac:dyDescent="0.3">
      <c r="A8" s="17">
        <v>2</v>
      </c>
      <c r="B8" s="14" t="s">
        <v>636</v>
      </c>
      <c r="C8" s="25" t="s">
        <v>641</v>
      </c>
      <c r="D8" s="14" t="s">
        <v>642</v>
      </c>
      <c r="E8" s="8" t="s">
        <v>142</v>
      </c>
      <c r="F8" s="8">
        <v>75</v>
      </c>
      <c r="G8" s="7"/>
      <c r="H8" s="8">
        <v>30</v>
      </c>
      <c r="I8" s="8">
        <v>150</v>
      </c>
      <c r="J8" s="8" t="s">
        <v>143</v>
      </c>
      <c r="K8" s="26" t="str">
        <f t="shared" si="0"/>
        <v>Pendiente</v>
      </c>
      <c r="L8" s="14" t="s">
        <v>643</v>
      </c>
      <c r="M8" s="14" t="s">
        <v>644</v>
      </c>
    </row>
    <row r="9" spans="1:13" ht="52.8" customHeight="1" x14ac:dyDescent="0.3">
      <c r="A9" s="17">
        <v>3</v>
      </c>
      <c r="B9" s="14" t="s">
        <v>645</v>
      </c>
      <c r="C9" s="25" t="s">
        <v>646</v>
      </c>
      <c r="D9" s="14" t="s">
        <v>647</v>
      </c>
      <c r="E9" s="8" t="s">
        <v>142</v>
      </c>
      <c r="F9" s="8">
        <v>90</v>
      </c>
      <c r="G9" s="7"/>
      <c r="H9" s="8">
        <v>50</v>
      </c>
      <c r="I9" s="8">
        <v>150</v>
      </c>
      <c r="J9" s="8" t="s">
        <v>143</v>
      </c>
      <c r="K9" s="26" t="str">
        <f t="shared" si="0"/>
        <v>Pendiente</v>
      </c>
      <c r="L9" s="14" t="s">
        <v>648</v>
      </c>
      <c r="M9" s="14" t="s">
        <v>649</v>
      </c>
    </row>
    <row r="10" spans="1:13" ht="52.8" customHeight="1" x14ac:dyDescent="0.3">
      <c r="A10" s="17">
        <v>4</v>
      </c>
      <c r="B10" s="14" t="s">
        <v>645</v>
      </c>
      <c r="C10" s="25" t="s">
        <v>650</v>
      </c>
      <c r="D10" s="14" t="s">
        <v>651</v>
      </c>
      <c r="E10" s="8" t="s">
        <v>142</v>
      </c>
      <c r="F10" s="8">
        <v>80</v>
      </c>
      <c r="G10" s="7"/>
      <c r="H10" s="8">
        <v>30</v>
      </c>
      <c r="I10" s="8">
        <v>150</v>
      </c>
      <c r="J10" s="8" t="s">
        <v>143</v>
      </c>
      <c r="K10" s="26" t="str">
        <f t="shared" si="0"/>
        <v>Pendiente</v>
      </c>
      <c r="L10" s="14" t="s">
        <v>652</v>
      </c>
      <c r="M10" s="14" t="s">
        <v>649</v>
      </c>
    </row>
    <row r="11" spans="1:13" ht="66" customHeight="1" x14ac:dyDescent="0.3">
      <c r="A11" s="17">
        <v>5</v>
      </c>
      <c r="B11" s="14" t="s">
        <v>653</v>
      </c>
      <c r="C11" s="25" t="s">
        <v>654</v>
      </c>
      <c r="D11" s="14" t="s">
        <v>655</v>
      </c>
      <c r="E11" s="8" t="s">
        <v>142</v>
      </c>
      <c r="F11" s="8">
        <v>75</v>
      </c>
      <c r="G11" s="7"/>
      <c r="H11" s="8">
        <v>30</v>
      </c>
      <c r="I11" s="8">
        <v>100</v>
      </c>
      <c r="J11" s="8" t="s">
        <v>143</v>
      </c>
      <c r="K11" s="26" t="str">
        <f t="shared" si="0"/>
        <v>Pendiente</v>
      </c>
      <c r="L11" s="14" t="s">
        <v>656</v>
      </c>
      <c r="M11" s="14" t="s">
        <v>657</v>
      </c>
    </row>
    <row r="12" spans="1:13" ht="66" customHeight="1" x14ac:dyDescent="0.3">
      <c r="A12" s="17">
        <v>6</v>
      </c>
      <c r="B12" s="14" t="s">
        <v>653</v>
      </c>
      <c r="C12" s="25" t="s">
        <v>658</v>
      </c>
      <c r="D12" s="14" t="s">
        <v>659</v>
      </c>
      <c r="E12" s="8" t="s">
        <v>142</v>
      </c>
      <c r="F12" s="8">
        <v>85</v>
      </c>
      <c r="G12" s="7"/>
      <c r="H12" s="8">
        <v>50</v>
      </c>
      <c r="I12" s="8">
        <v>100</v>
      </c>
      <c r="J12" s="8" t="s">
        <v>143</v>
      </c>
      <c r="K12" s="26" t="str">
        <f t="shared" si="0"/>
        <v>Pendiente</v>
      </c>
      <c r="L12" s="14" t="s">
        <v>660</v>
      </c>
      <c r="M12" s="14" t="s">
        <v>657</v>
      </c>
    </row>
    <row r="13" spans="1:13" ht="66" customHeight="1" x14ac:dyDescent="0.3">
      <c r="A13" s="17">
        <v>7</v>
      </c>
      <c r="B13" s="14" t="s">
        <v>653</v>
      </c>
      <c r="C13" s="25" t="s">
        <v>661</v>
      </c>
      <c r="D13" s="14" t="s">
        <v>662</v>
      </c>
      <c r="E13" s="8" t="s">
        <v>142</v>
      </c>
      <c r="F13" s="8">
        <v>95</v>
      </c>
      <c r="G13" s="7"/>
      <c r="H13" s="8">
        <v>70</v>
      </c>
      <c r="I13" s="8">
        <v>110</v>
      </c>
      <c r="J13" s="8" t="s">
        <v>143</v>
      </c>
      <c r="K13" s="26" t="str">
        <f t="shared" si="0"/>
        <v>Pendiente</v>
      </c>
      <c r="L13" s="14" t="s">
        <v>663</v>
      </c>
      <c r="M13" s="14" t="s">
        <v>657</v>
      </c>
    </row>
    <row r="14" spans="1:13" ht="66" customHeight="1" x14ac:dyDescent="0.3">
      <c r="A14" s="17">
        <v>8</v>
      </c>
      <c r="B14" s="14" t="s">
        <v>653</v>
      </c>
      <c r="C14" s="25" t="s">
        <v>664</v>
      </c>
      <c r="D14" s="14" t="s">
        <v>665</v>
      </c>
      <c r="E14" s="8" t="s">
        <v>142</v>
      </c>
      <c r="F14" s="8">
        <v>105</v>
      </c>
      <c r="G14" s="7"/>
      <c r="H14" s="8">
        <v>95</v>
      </c>
      <c r="I14" s="8">
        <v>150</v>
      </c>
      <c r="J14" s="8" t="s">
        <v>143</v>
      </c>
      <c r="K14" s="26" t="str">
        <f t="shared" si="0"/>
        <v>Pendiente</v>
      </c>
      <c r="L14" s="14" t="s">
        <v>663</v>
      </c>
      <c r="M14" s="14" t="s">
        <v>657</v>
      </c>
    </row>
    <row r="15" spans="1:13" ht="66" customHeight="1" x14ac:dyDescent="0.3">
      <c r="A15" s="17">
        <v>9</v>
      </c>
      <c r="B15" s="14" t="s">
        <v>653</v>
      </c>
      <c r="C15" s="25" t="s">
        <v>666</v>
      </c>
      <c r="D15" s="14" t="s">
        <v>667</v>
      </c>
      <c r="E15" s="8" t="s">
        <v>142</v>
      </c>
      <c r="F15" s="8">
        <v>60</v>
      </c>
      <c r="G15" s="7"/>
      <c r="H15" s="8">
        <v>30</v>
      </c>
      <c r="I15" s="8">
        <v>100</v>
      </c>
      <c r="J15" s="8" t="s">
        <v>143</v>
      </c>
      <c r="K15" s="26" t="str">
        <f t="shared" si="0"/>
        <v>Pendiente</v>
      </c>
      <c r="L15" s="14" t="s">
        <v>668</v>
      </c>
      <c r="M15" s="14" t="s">
        <v>657</v>
      </c>
    </row>
    <row r="16" spans="1:13" ht="52.8" customHeight="1" x14ac:dyDescent="0.3">
      <c r="A16" s="17">
        <v>10</v>
      </c>
      <c r="B16" s="14" t="s">
        <v>669</v>
      </c>
      <c r="C16" s="25" t="s">
        <v>670</v>
      </c>
      <c r="D16" s="14" t="s">
        <v>671</v>
      </c>
      <c r="E16" s="8" t="s">
        <v>142</v>
      </c>
      <c r="F16" s="8">
        <v>99</v>
      </c>
      <c r="G16" s="7"/>
      <c r="H16" s="8">
        <v>50</v>
      </c>
      <c r="I16" s="8">
        <v>100</v>
      </c>
      <c r="J16" s="8" t="s">
        <v>143</v>
      </c>
      <c r="K16" s="26" t="str">
        <f t="shared" si="0"/>
        <v>Pendiente</v>
      </c>
      <c r="L16" s="14" t="s">
        <v>672</v>
      </c>
      <c r="M16" s="14" t="s">
        <v>673</v>
      </c>
    </row>
    <row r="17" spans="1:13" ht="52.8" customHeight="1" x14ac:dyDescent="0.3">
      <c r="A17" s="17">
        <v>11</v>
      </c>
      <c r="B17" s="14" t="s">
        <v>669</v>
      </c>
      <c r="C17" s="25" t="s">
        <v>674</v>
      </c>
      <c r="D17" s="14" t="s">
        <v>675</v>
      </c>
      <c r="E17" s="8" t="s">
        <v>142</v>
      </c>
      <c r="F17" s="8">
        <v>89.99</v>
      </c>
      <c r="G17" s="7"/>
      <c r="H17" s="8">
        <v>50</v>
      </c>
      <c r="I17" s="8">
        <v>100</v>
      </c>
      <c r="J17" s="8" t="s">
        <v>143</v>
      </c>
      <c r="K17" s="26" t="str">
        <f t="shared" si="0"/>
        <v>Pendiente</v>
      </c>
      <c r="L17" s="14" t="s">
        <v>652</v>
      </c>
      <c r="M17" s="14" t="s">
        <v>673</v>
      </c>
    </row>
    <row r="18" spans="1:13" ht="52.8" customHeight="1" x14ac:dyDescent="0.3">
      <c r="A18" s="17">
        <v>12</v>
      </c>
      <c r="B18" s="14" t="s">
        <v>669</v>
      </c>
      <c r="C18" s="25" t="s">
        <v>676</v>
      </c>
      <c r="D18" s="14" t="s">
        <v>677</v>
      </c>
      <c r="E18" s="8" t="s">
        <v>142</v>
      </c>
      <c r="F18" s="8">
        <v>55</v>
      </c>
      <c r="G18" s="7"/>
      <c r="H18" s="8">
        <v>30</v>
      </c>
      <c r="I18" s="8">
        <v>100</v>
      </c>
      <c r="J18" s="8" t="s">
        <v>143</v>
      </c>
      <c r="K18" s="26" t="str">
        <f t="shared" si="0"/>
        <v>Pendiente</v>
      </c>
      <c r="L18" s="14" t="s">
        <v>678</v>
      </c>
      <c r="M18" s="14" t="s">
        <v>673</v>
      </c>
    </row>
    <row r="19" spans="1:13" ht="52.8" customHeight="1" x14ac:dyDescent="0.3">
      <c r="A19" s="17">
        <v>13</v>
      </c>
      <c r="B19" s="14" t="s">
        <v>669</v>
      </c>
      <c r="C19" s="25" t="s">
        <v>679</v>
      </c>
      <c r="D19" s="14" t="s">
        <v>680</v>
      </c>
      <c r="E19" s="8" t="s">
        <v>142</v>
      </c>
      <c r="F19" s="8">
        <v>45</v>
      </c>
      <c r="G19" s="7"/>
      <c r="H19" s="8">
        <v>20</v>
      </c>
      <c r="I19" s="8">
        <v>100</v>
      </c>
      <c r="J19" s="8" t="s">
        <v>143</v>
      </c>
      <c r="K19" s="26" t="str">
        <f t="shared" si="0"/>
        <v>Pendiente</v>
      </c>
      <c r="L19" s="14" t="s">
        <v>652</v>
      </c>
      <c r="M19" s="14" t="s">
        <v>673</v>
      </c>
    </row>
    <row r="20" spans="1:13" ht="52.8" customHeight="1" x14ac:dyDescent="0.3">
      <c r="A20" s="17">
        <v>14</v>
      </c>
      <c r="B20" s="14" t="s">
        <v>419</v>
      </c>
      <c r="C20" s="25" t="s">
        <v>681</v>
      </c>
      <c r="D20" s="14" t="s">
        <v>682</v>
      </c>
      <c r="E20" s="8" t="s">
        <v>206</v>
      </c>
      <c r="F20" s="8">
        <v>85</v>
      </c>
      <c r="G20" s="7"/>
      <c r="H20" s="8">
        <v>0</v>
      </c>
      <c r="I20" s="8">
        <v>100</v>
      </c>
      <c r="J20" s="8" t="s">
        <v>143</v>
      </c>
      <c r="K20" s="26" t="str">
        <f t="shared" si="0"/>
        <v>Pendiente</v>
      </c>
      <c r="L20" s="14" t="s">
        <v>683</v>
      </c>
      <c r="M20" s="14" t="s">
        <v>684</v>
      </c>
    </row>
    <row r="21" spans="1:13" ht="52.8" customHeight="1" x14ac:dyDescent="0.3">
      <c r="A21" s="17">
        <v>15</v>
      </c>
      <c r="B21" s="14" t="s">
        <v>419</v>
      </c>
      <c r="C21" s="25" t="s">
        <v>685</v>
      </c>
      <c r="D21" s="14" t="s">
        <v>686</v>
      </c>
      <c r="E21" s="8" t="s">
        <v>206</v>
      </c>
      <c r="F21" s="8">
        <v>70</v>
      </c>
      <c r="G21" s="7"/>
      <c r="H21" s="8">
        <v>0</v>
      </c>
      <c r="I21" s="8">
        <v>100</v>
      </c>
      <c r="J21" s="8" t="s">
        <v>143</v>
      </c>
      <c r="K21" s="26" t="str">
        <f t="shared" si="0"/>
        <v>Pendiente</v>
      </c>
      <c r="L21" s="14" t="s">
        <v>687</v>
      </c>
      <c r="M21" s="14" t="s">
        <v>684</v>
      </c>
    </row>
    <row r="22" spans="1:13" ht="52.8" customHeight="1" x14ac:dyDescent="0.3">
      <c r="A22" s="17">
        <v>16</v>
      </c>
      <c r="B22" s="14" t="s">
        <v>419</v>
      </c>
      <c r="C22" s="25" t="s">
        <v>688</v>
      </c>
      <c r="D22" s="14" t="s">
        <v>689</v>
      </c>
      <c r="E22" s="8" t="s">
        <v>206</v>
      </c>
      <c r="F22" s="8">
        <v>55</v>
      </c>
      <c r="G22" s="7"/>
      <c r="H22" s="8">
        <v>0</v>
      </c>
      <c r="I22" s="8">
        <v>100</v>
      </c>
      <c r="J22" s="8" t="s">
        <v>143</v>
      </c>
      <c r="K22" s="26" t="str">
        <f t="shared" si="0"/>
        <v>Pendiente</v>
      </c>
      <c r="L22" s="14" t="s">
        <v>690</v>
      </c>
      <c r="M22" s="14" t="s">
        <v>684</v>
      </c>
    </row>
    <row r="23" spans="1:13" x14ac:dyDescent="0.3">
      <c r="A23" s="23" t="s">
        <v>691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ht="52.8" customHeight="1" x14ac:dyDescent="0.3">
      <c r="A24" s="17">
        <v>17</v>
      </c>
      <c r="B24" s="14" t="s">
        <v>408</v>
      </c>
      <c r="C24" s="25" t="s">
        <v>692</v>
      </c>
      <c r="D24" s="14" t="s">
        <v>693</v>
      </c>
      <c r="E24" s="8" t="s">
        <v>142</v>
      </c>
      <c r="F24" s="8">
        <v>80</v>
      </c>
      <c r="G24" s="7"/>
      <c r="H24" s="8">
        <v>30</v>
      </c>
      <c r="I24" s="8">
        <v>100</v>
      </c>
      <c r="J24" s="8" t="s">
        <v>143</v>
      </c>
      <c r="K24" s="26" t="str">
        <f t="shared" ref="K24:K29" si="1">IF(G24="","Pendiente",IF(AND(ISNUMBER(G24),G24&gt;=H24,G24&lt;=I24),"OK","Fuera de rango"))</f>
        <v>Pendiente</v>
      </c>
      <c r="L24" s="14" t="s">
        <v>694</v>
      </c>
      <c r="M24" s="14" t="s">
        <v>695</v>
      </c>
    </row>
    <row r="25" spans="1:13" ht="52.8" customHeight="1" x14ac:dyDescent="0.3">
      <c r="A25" s="17">
        <v>18</v>
      </c>
      <c r="B25" s="14" t="s">
        <v>408</v>
      </c>
      <c r="C25" s="25" t="s">
        <v>696</v>
      </c>
      <c r="D25" s="14" t="s">
        <v>697</v>
      </c>
      <c r="E25" s="8" t="s">
        <v>142</v>
      </c>
      <c r="F25" s="8">
        <v>50</v>
      </c>
      <c r="G25" s="7"/>
      <c r="H25" s="8">
        <v>10</v>
      </c>
      <c r="I25" s="8">
        <v>100</v>
      </c>
      <c r="J25" s="8" t="s">
        <v>143</v>
      </c>
      <c r="K25" s="26" t="str">
        <f t="shared" si="1"/>
        <v>Pendiente</v>
      </c>
      <c r="L25" s="14" t="s">
        <v>652</v>
      </c>
      <c r="M25" s="14" t="s">
        <v>695</v>
      </c>
    </row>
    <row r="26" spans="1:13" ht="52.8" customHeight="1" x14ac:dyDescent="0.3">
      <c r="A26" s="17">
        <v>19</v>
      </c>
      <c r="B26" s="14" t="s">
        <v>408</v>
      </c>
      <c r="C26" s="25" t="s">
        <v>698</v>
      </c>
      <c r="D26" s="14" t="s">
        <v>699</v>
      </c>
      <c r="E26" s="8" t="s">
        <v>266</v>
      </c>
      <c r="F26" s="8">
        <v>15</v>
      </c>
      <c r="G26" s="7"/>
      <c r="H26" s="8">
        <v>5</v>
      </c>
      <c r="I26" s="8">
        <v>60</v>
      </c>
      <c r="J26" s="8" t="s">
        <v>143</v>
      </c>
      <c r="K26" s="26" t="str">
        <f t="shared" si="1"/>
        <v>Pendiente</v>
      </c>
      <c r="L26" s="14" t="s">
        <v>700</v>
      </c>
      <c r="M26" s="14" t="s">
        <v>695</v>
      </c>
    </row>
    <row r="27" spans="1:13" ht="52.8" customHeight="1" x14ac:dyDescent="0.3">
      <c r="A27" s="17">
        <v>20</v>
      </c>
      <c r="B27" s="14" t="s">
        <v>408</v>
      </c>
      <c r="C27" s="25" t="s">
        <v>701</v>
      </c>
      <c r="D27" s="14" t="s">
        <v>702</v>
      </c>
      <c r="E27" s="8" t="s">
        <v>266</v>
      </c>
      <c r="F27" s="8">
        <v>30</v>
      </c>
      <c r="G27" s="7"/>
      <c r="H27" s="8">
        <v>10</v>
      </c>
      <c r="I27" s="8">
        <v>120</v>
      </c>
      <c r="J27" s="8" t="s">
        <v>143</v>
      </c>
      <c r="K27" s="26" t="str">
        <f t="shared" si="1"/>
        <v>Pendiente</v>
      </c>
      <c r="L27" s="14" t="s">
        <v>703</v>
      </c>
      <c r="M27" s="14" t="s">
        <v>695</v>
      </c>
    </row>
    <row r="28" spans="1:13" ht="52.8" customHeight="1" x14ac:dyDescent="0.3">
      <c r="A28" s="17">
        <v>21</v>
      </c>
      <c r="B28" s="14" t="s">
        <v>408</v>
      </c>
      <c r="C28" s="25" t="s">
        <v>704</v>
      </c>
      <c r="D28" s="14" t="s">
        <v>705</v>
      </c>
      <c r="E28" s="8" t="s">
        <v>266</v>
      </c>
      <c r="F28" s="8">
        <v>2</v>
      </c>
      <c r="G28" s="7"/>
      <c r="H28" s="8">
        <v>1</v>
      </c>
      <c r="I28" s="8">
        <v>10</v>
      </c>
      <c r="J28" s="8" t="s">
        <v>143</v>
      </c>
      <c r="K28" s="26" t="str">
        <f t="shared" si="1"/>
        <v>Pendiente</v>
      </c>
      <c r="L28" s="14" t="s">
        <v>706</v>
      </c>
      <c r="M28" s="14" t="s">
        <v>695</v>
      </c>
    </row>
    <row r="29" spans="1:13" ht="52.8" customHeight="1" x14ac:dyDescent="0.3">
      <c r="A29" s="17">
        <v>22</v>
      </c>
      <c r="B29" s="14" t="s">
        <v>408</v>
      </c>
      <c r="C29" s="25" t="s">
        <v>707</v>
      </c>
      <c r="D29" s="14" t="s">
        <v>708</v>
      </c>
      <c r="E29" s="8" t="s">
        <v>266</v>
      </c>
      <c r="F29" s="8">
        <v>30</v>
      </c>
      <c r="G29" s="7"/>
      <c r="H29" s="8">
        <v>10</v>
      </c>
      <c r="I29" s="8">
        <v>180</v>
      </c>
      <c r="J29" s="8" t="s">
        <v>143</v>
      </c>
      <c r="K29" s="26" t="str">
        <f t="shared" si="1"/>
        <v>Pendiente</v>
      </c>
      <c r="L29" s="14" t="s">
        <v>709</v>
      </c>
      <c r="M29" s="14" t="s">
        <v>695</v>
      </c>
    </row>
    <row r="30" spans="1:13" x14ac:dyDescent="0.3">
      <c r="A30" s="23" t="s">
        <v>710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ht="52.8" customHeight="1" x14ac:dyDescent="0.3">
      <c r="A31" s="17">
        <v>23</v>
      </c>
      <c r="B31" s="14" t="s">
        <v>455</v>
      </c>
      <c r="C31" s="25" t="s">
        <v>711</v>
      </c>
      <c r="D31" s="14" t="s">
        <v>712</v>
      </c>
      <c r="E31" s="8" t="s">
        <v>142</v>
      </c>
      <c r="F31" s="8">
        <v>98</v>
      </c>
      <c r="G31" s="7"/>
      <c r="H31" s="8">
        <v>80</v>
      </c>
      <c r="I31" s="8">
        <v>100</v>
      </c>
      <c r="J31" s="8" t="s">
        <v>143</v>
      </c>
      <c r="K31" s="26" t="str">
        <f>IF(G31="","Pendiente",IF(AND(ISNUMBER(G31),G31&gt;=H31,G31&lt;=I31),"OK","Fuera de rango"))</f>
        <v>Pendiente</v>
      </c>
      <c r="L31" s="14" t="s">
        <v>713</v>
      </c>
      <c r="M31" s="14" t="s">
        <v>714</v>
      </c>
    </row>
    <row r="32" spans="1:13" ht="52.8" customHeight="1" x14ac:dyDescent="0.3">
      <c r="A32" s="17">
        <v>24</v>
      </c>
      <c r="B32" s="14" t="s">
        <v>455</v>
      </c>
      <c r="C32" s="25" t="s">
        <v>715</v>
      </c>
      <c r="D32" s="14" t="s">
        <v>716</v>
      </c>
      <c r="E32" s="8" t="s">
        <v>717</v>
      </c>
      <c r="F32" s="8">
        <v>4</v>
      </c>
      <c r="G32" s="7"/>
      <c r="H32" s="8">
        <v>2</v>
      </c>
      <c r="I32" s="8">
        <v>10</v>
      </c>
      <c r="J32" s="8" t="s">
        <v>143</v>
      </c>
      <c r="K32" s="26" t="str">
        <f>IF(G32="","Pendiente",IF(AND(ISNUMBER(G32),G32&gt;=H32,G32&lt;=I32),"OK","Fuera de rango"))</f>
        <v>Pendiente</v>
      </c>
      <c r="L32" s="14" t="s">
        <v>718</v>
      </c>
      <c r="M32" s="14" t="s">
        <v>714</v>
      </c>
    </row>
    <row r="33" spans="1:13" ht="52.8" customHeight="1" x14ac:dyDescent="0.3">
      <c r="A33" s="17">
        <v>25</v>
      </c>
      <c r="B33" s="14" t="s">
        <v>455</v>
      </c>
      <c r="C33" s="25" t="s">
        <v>719</v>
      </c>
      <c r="D33" s="14" t="s">
        <v>720</v>
      </c>
      <c r="E33" s="8" t="s">
        <v>717</v>
      </c>
      <c r="F33" s="8">
        <v>17</v>
      </c>
      <c r="G33" s="7"/>
      <c r="H33" s="8">
        <v>5</v>
      </c>
      <c r="I33" s="8">
        <v>40</v>
      </c>
      <c r="J33" s="8" t="s">
        <v>143</v>
      </c>
      <c r="K33" s="26" t="str">
        <f>IF(G33="","Pendiente",IF(AND(ISNUMBER(G33),G33&gt;=H33,G33&lt;=I33),"OK","Fuera de rango"))</f>
        <v>Pendiente</v>
      </c>
      <c r="L33" s="14" t="s">
        <v>721</v>
      </c>
      <c r="M33" s="14" t="s">
        <v>714</v>
      </c>
    </row>
    <row r="34" spans="1:13" ht="52.8" customHeight="1" x14ac:dyDescent="0.3">
      <c r="A34" s="17">
        <v>26</v>
      </c>
      <c r="B34" s="14" t="s">
        <v>455</v>
      </c>
      <c r="C34" s="25" t="s">
        <v>722</v>
      </c>
      <c r="D34" s="14" t="s">
        <v>723</v>
      </c>
      <c r="E34" s="8" t="s">
        <v>142</v>
      </c>
      <c r="F34" s="8">
        <v>25</v>
      </c>
      <c r="G34" s="7"/>
      <c r="H34" s="8">
        <v>5</v>
      </c>
      <c r="I34" s="8">
        <v>100</v>
      </c>
      <c r="J34" s="8" t="s">
        <v>143</v>
      </c>
      <c r="K34" s="26" t="str">
        <f>IF(G34="","Pendiente",IF(AND(ISNUMBER(G34),G34&gt;=H34,G34&lt;=I34),"OK","Fuera de rango"))</f>
        <v>Pendiente</v>
      </c>
      <c r="L34" s="14" t="s">
        <v>724</v>
      </c>
      <c r="M34" s="14" t="s">
        <v>714</v>
      </c>
    </row>
    <row r="35" spans="1:13" x14ac:dyDescent="0.3">
      <c r="A35" s="23" t="s">
        <v>725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52.8" customHeight="1" x14ac:dyDescent="0.3">
      <c r="A36" s="17">
        <v>27</v>
      </c>
      <c r="B36" s="14" t="s">
        <v>726</v>
      </c>
      <c r="C36" s="25" t="s">
        <v>727</v>
      </c>
      <c r="D36" s="14" t="s">
        <v>728</v>
      </c>
      <c r="E36" s="8" t="s">
        <v>729</v>
      </c>
      <c r="F36" s="8">
        <v>60</v>
      </c>
      <c r="G36" s="7"/>
      <c r="H36" s="8">
        <v>15</v>
      </c>
      <c r="I36" s="8">
        <v>600</v>
      </c>
      <c r="J36" s="8" t="s">
        <v>143</v>
      </c>
      <c r="K36" s="26" t="str">
        <f t="shared" ref="K36:K43" si="2">IF(G36="","Pendiente",IF(AND(ISNUMBER(G36),G36&gt;=H36,G36&lt;=I36),"OK","Fuera de rango"))</f>
        <v>Pendiente</v>
      </c>
      <c r="L36" s="14" t="s">
        <v>730</v>
      </c>
      <c r="M36" s="14" t="s">
        <v>695</v>
      </c>
    </row>
    <row r="37" spans="1:13" ht="52.8" customHeight="1" x14ac:dyDescent="0.3">
      <c r="A37" s="17">
        <v>28</v>
      </c>
      <c r="B37" s="14" t="s">
        <v>669</v>
      </c>
      <c r="C37" s="25" t="s">
        <v>727</v>
      </c>
      <c r="D37" s="14" t="s">
        <v>731</v>
      </c>
      <c r="E37" s="8" t="s">
        <v>729</v>
      </c>
      <c r="F37" s="8">
        <v>300</v>
      </c>
      <c r="G37" s="7"/>
      <c r="H37" s="8">
        <v>30</v>
      </c>
      <c r="I37" s="8">
        <v>1800</v>
      </c>
      <c r="J37" s="8" t="s">
        <v>143</v>
      </c>
      <c r="K37" s="26" t="str">
        <f t="shared" si="2"/>
        <v>Pendiente</v>
      </c>
      <c r="L37" s="14" t="s">
        <v>732</v>
      </c>
      <c r="M37" s="14" t="s">
        <v>673</v>
      </c>
    </row>
    <row r="38" spans="1:13" ht="52.8" customHeight="1" x14ac:dyDescent="0.3">
      <c r="A38" s="17">
        <v>29</v>
      </c>
      <c r="B38" s="14" t="s">
        <v>733</v>
      </c>
      <c r="C38" s="25" t="s">
        <v>727</v>
      </c>
      <c r="D38" s="14" t="s">
        <v>734</v>
      </c>
      <c r="E38" s="8" t="s">
        <v>729</v>
      </c>
      <c r="F38" s="8">
        <v>180</v>
      </c>
      <c r="G38" s="7"/>
      <c r="H38" s="8">
        <v>30</v>
      </c>
      <c r="I38" s="8">
        <v>900</v>
      </c>
      <c r="J38" s="8" t="s">
        <v>143</v>
      </c>
      <c r="K38" s="26" t="str">
        <f t="shared" si="2"/>
        <v>Pendiente</v>
      </c>
      <c r="L38" s="14" t="s">
        <v>735</v>
      </c>
      <c r="M38" s="14" t="s">
        <v>736</v>
      </c>
    </row>
    <row r="39" spans="1:13" ht="52.8" customHeight="1" x14ac:dyDescent="0.3">
      <c r="A39" s="17">
        <v>30</v>
      </c>
      <c r="B39" s="14" t="s">
        <v>636</v>
      </c>
      <c r="C39" s="25" t="s">
        <v>737</v>
      </c>
      <c r="D39" s="14" t="s">
        <v>738</v>
      </c>
      <c r="E39" s="8" t="s">
        <v>729</v>
      </c>
      <c r="F39" s="8">
        <v>120</v>
      </c>
      <c r="G39" s="7"/>
      <c r="H39" s="8">
        <v>30</v>
      </c>
      <c r="I39" s="8">
        <v>900</v>
      </c>
      <c r="J39" s="8" t="s">
        <v>143</v>
      </c>
      <c r="K39" s="26" t="str">
        <f t="shared" si="2"/>
        <v>Pendiente</v>
      </c>
      <c r="L39" s="14" t="s">
        <v>739</v>
      </c>
      <c r="M39" s="14" t="s">
        <v>644</v>
      </c>
    </row>
    <row r="40" spans="1:13" ht="52.8" customHeight="1" x14ac:dyDescent="0.3">
      <c r="A40" s="17">
        <v>31</v>
      </c>
      <c r="B40" s="14" t="s">
        <v>740</v>
      </c>
      <c r="C40" s="25" t="s">
        <v>741</v>
      </c>
      <c r="D40" s="14" t="s">
        <v>742</v>
      </c>
      <c r="E40" s="8" t="s">
        <v>743</v>
      </c>
      <c r="F40" s="8">
        <v>7000</v>
      </c>
      <c r="G40" s="7"/>
      <c r="H40" s="8">
        <v>1000</v>
      </c>
      <c r="I40" s="8">
        <v>9999</v>
      </c>
      <c r="J40" s="8" t="s">
        <v>143</v>
      </c>
      <c r="K40" s="26" t="str">
        <f t="shared" si="2"/>
        <v>Pendiente</v>
      </c>
      <c r="L40" s="14" t="s">
        <v>744</v>
      </c>
      <c r="M40" s="14" t="s">
        <v>745</v>
      </c>
    </row>
    <row r="41" spans="1:13" ht="52.8" customHeight="1" x14ac:dyDescent="0.3">
      <c r="A41" s="17">
        <v>32</v>
      </c>
      <c r="B41" s="14" t="s">
        <v>746</v>
      </c>
      <c r="C41" s="25" t="s">
        <v>747</v>
      </c>
      <c r="D41" s="14" t="s">
        <v>748</v>
      </c>
      <c r="E41" s="8" t="s">
        <v>395</v>
      </c>
      <c r="F41" s="8">
        <v>8</v>
      </c>
      <c r="G41" s="7"/>
      <c r="H41" s="8">
        <v>1</v>
      </c>
      <c r="I41" s="8">
        <v>24</v>
      </c>
      <c r="J41" s="8" t="s">
        <v>143</v>
      </c>
      <c r="K41" s="26" t="str">
        <f t="shared" si="2"/>
        <v>Pendiente</v>
      </c>
      <c r="L41" s="14" t="s">
        <v>749</v>
      </c>
      <c r="M41" s="14" t="s">
        <v>750</v>
      </c>
    </row>
    <row r="42" spans="1:13" ht="52.8" customHeight="1" x14ac:dyDescent="0.3">
      <c r="A42" s="17">
        <v>33</v>
      </c>
      <c r="B42" s="14" t="s">
        <v>746</v>
      </c>
      <c r="C42" s="25" t="s">
        <v>751</v>
      </c>
      <c r="D42" s="14" t="s">
        <v>752</v>
      </c>
      <c r="E42" s="8" t="s">
        <v>753</v>
      </c>
      <c r="F42" s="8">
        <v>5</v>
      </c>
      <c r="G42" s="7"/>
      <c r="H42" s="8">
        <v>3</v>
      </c>
      <c r="I42" s="8">
        <v>10</v>
      </c>
      <c r="J42" s="8" t="s">
        <v>143</v>
      </c>
      <c r="K42" s="26" t="str">
        <f t="shared" si="2"/>
        <v>Pendiente</v>
      </c>
      <c r="L42" s="14" t="s">
        <v>754</v>
      </c>
      <c r="M42" s="14" t="s">
        <v>755</v>
      </c>
    </row>
    <row r="43" spans="1:13" ht="52.8" customHeight="1" x14ac:dyDescent="0.3">
      <c r="A43" s="17">
        <v>34</v>
      </c>
      <c r="B43" s="14" t="s">
        <v>746</v>
      </c>
      <c r="C43" s="25" t="s">
        <v>756</v>
      </c>
      <c r="D43" s="14" t="s">
        <v>757</v>
      </c>
      <c r="E43" s="8" t="s">
        <v>266</v>
      </c>
      <c r="F43" s="8">
        <v>15</v>
      </c>
      <c r="G43" s="7"/>
      <c r="H43" s="8">
        <v>1</v>
      </c>
      <c r="I43" s="8">
        <v>120</v>
      </c>
      <c r="J43" s="8" t="s">
        <v>143</v>
      </c>
      <c r="K43" s="26" t="str">
        <f t="shared" si="2"/>
        <v>Pendiente</v>
      </c>
      <c r="L43" s="14" t="s">
        <v>758</v>
      </c>
      <c r="M43" s="14" t="s">
        <v>755</v>
      </c>
    </row>
  </sheetData>
  <conditionalFormatting sqref="K6:K43">
    <cfRule type="cellIs" dxfId="2" priority="1" operator="equal">
      <formula>"OK"</formula>
    </cfRule>
    <cfRule type="cellIs" dxfId="1" priority="2" operator="equal">
      <formula>"Fuera de rango"</formula>
    </cfRule>
    <cfRule type="cellIs" dxfId="0" priority="3" operator="equal">
      <formula>"Pendiente"</formula>
    </cfRule>
  </conditionalFormatting>
  <dataValidations count="24">
    <dataValidation type="decimal" allowBlank="1" showErrorMessage="1" errorTitle="Fuera de rango" error="Escriba un valor entre 50 y 150 (%)." sqref="G7 G9" xr:uid="{00000000-0002-0000-0B00-000000000000}">
      <formula1>50</formula1>
      <formula2>150</formula2>
    </dataValidation>
    <dataValidation type="decimal" allowBlank="1" showErrorMessage="1" errorTitle="Fuera de rango" error="Escriba un valor entre 30 y 150 (%)." sqref="G8 G10" xr:uid="{00000000-0002-0000-0B00-000001000000}">
      <formula1>30</formula1>
      <formula2>150</formula2>
    </dataValidation>
    <dataValidation type="decimal" allowBlank="1" showErrorMessage="1" errorTitle="Fuera de rango" error="Escriba un valor entre 30 y 100 (%)." sqref="G11 G24 G18 G15" xr:uid="{00000000-0002-0000-0B00-000004000000}">
      <formula1>30</formula1>
      <formula2>100</formula2>
    </dataValidation>
    <dataValidation type="decimal" allowBlank="1" showErrorMessage="1" errorTitle="Fuera de rango" error="Escriba un valor entre 50 y 100 (%)." sqref="G12 G16:G17" xr:uid="{00000000-0002-0000-0B00-000005000000}">
      <formula1>50</formula1>
      <formula2>100</formula2>
    </dataValidation>
    <dataValidation type="decimal" allowBlank="1" showErrorMessage="1" errorTitle="Fuera de rango" error="Escriba un valor entre 70 y 110 (%)." sqref="G13" xr:uid="{00000000-0002-0000-0B00-000006000000}">
      <formula1>70</formula1>
      <formula2>110</formula2>
    </dataValidation>
    <dataValidation type="decimal" allowBlank="1" showErrorMessage="1" errorTitle="Fuera de rango" error="Escriba un valor entre 95 y 150 (%)." sqref="G14" xr:uid="{00000000-0002-0000-0B00-000007000000}">
      <formula1>95</formula1>
      <formula2>150</formula2>
    </dataValidation>
    <dataValidation type="decimal" allowBlank="1" showErrorMessage="1" errorTitle="Fuera de rango" error="Escriba un valor entre 20 y 100 (%)." sqref="G19" xr:uid="{00000000-0002-0000-0B00-00000C000000}">
      <formula1>20</formula1>
      <formula2>100</formula2>
    </dataValidation>
    <dataValidation type="decimal" allowBlank="1" showErrorMessage="1" errorTitle="Fuera de rango" error="Escriba un valor entre 0 y 100 (puntos)." sqref="G20:G22" xr:uid="{00000000-0002-0000-0B00-00000D000000}">
      <formula1>0</formula1>
      <formula2>100</formula2>
    </dataValidation>
    <dataValidation type="decimal" allowBlank="1" showErrorMessage="1" errorTitle="Fuera de rango" error="Escriba un valor entre 10 y 100 (%)." sqref="G25" xr:uid="{00000000-0002-0000-0B00-000011000000}">
      <formula1>10</formula1>
      <formula2>100</formula2>
    </dataValidation>
    <dataValidation type="decimal" allowBlank="1" showErrorMessage="1" errorTitle="Fuera de rango" error="Escriba un valor entre 5 y 60 (minutos)." sqref="G26" xr:uid="{00000000-0002-0000-0B00-000012000000}">
      <formula1>5</formula1>
      <formula2>60</formula2>
    </dataValidation>
    <dataValidation type="decimal" allowBlank="1" showErrorMessage="1" errorTitle="Fuera de rango" error="Escriba un valor entre 10 y 120 (minutos)." sqref="G27" xr:uid="{00000000-0002-0000-0B00-000013000000}">
      <formula1>10</formula1>
      <formula2>120</formula2>
    </dataValidation>
    <dataValidation type="decimal" allowBlank="1" showErrorMessage="1" errorTitle="Fuera de rango" error="Escriba un valor entre 1 y 10 (minutos)." sqref="G28" xr:uid="{00000000-0002-0000-0B00-000014000000}">
      <formula1>1</formula1>
      <formula2>10</formula2>
    </dataValidation>
    <dataValidation type="decimal" allowBlank="1" showErrorMessage="1" errorTitle="Fuera de rango" error="Escriba un valor entre 10 y 180 (minutos)." sqref="G29" xr:uid="{00000000-0002-0000-0B00-000015000000}">
      <formula1>10</formula1>
      <formula2>180</formula2>
    </dataValidation>
    <dataValidation type="decimal" allowBlank="1" showErrorMessage="1" errorTitle="Fuera de rango" error="Escriba un valor entre 80 y 100 (%)." sqref="G31" xr:uid="{00000000-0002-0000-0B00-000016000000}">
      <formula1>80</formula1>
      <formula2>100</formula2>
    </dataValidation>
    <dataValidation type="decimal" allowBlank="1" showErrorMessage="1" errorTitle="Fuera de rango" error="Escriba un valor entre 2 y 10 (cantidad)." sqref="G32" xr:uid="{00000000-0002-0000-0B00-000017000000}">
      <formula1>2</formula1>
      <formula2>10</formula2>
    </dataValidation>
    <dataValidation type="decimal" allowBlank="1" showErrorMessage="1" errorTitle="Fuera de rango" error="Escriba un valor entre 5 y 40 (cantidad)." sqref="G33" xr:uid="{00000000-0002-0000-0B00-000018000000}">
      <formula1>5</formula1>
      <formula2>40</formula2>
    </dataValidation>
    <dataValidation type="decimal" allowBlank="1" showErrorMessage="1" errorTitle="Fuera de rango" error="Escriba un valor entre 5 y 100 (%)." sqref="G34" xr:uid="{00000000-0002-0000-0B00-000019000000}">
      <formula1>5</formula1>
      <formula2>100</formula2>
    </dataValidation>
    <dataValidation type="decimal" allowBlank="1" showErrorMessage="1" errorTitle="Fuera de rango" error="Escriba un valor entre 15 y 600 (segundos)." sqref="G36" xr:uid="{00000000-0002-0000-0B00-00001A000000}">
      <formula1>15</formula1>
      <formula2>600</formula2>
    </dataValidation>
    <dataValidation type="decimal" allowBlank="1" showErrorMessage="1" errorTitle="Fuera de rango" error="Escriba un valor entre 30 y 1800 (segundos)." sqref="G37" xr:uid="{00000000-0002-0000-0B00-00001B000000}">
      <formula1>30</formula1>
      <formula2>1800</formula2>
    </dataValidation>
    <dataValidation type="decimal" allowBlank="1" showErrorMessage="1" errorTitle="Fuera de rango" error="Escriba un valor entre 30 y 900 (segundos)." sqref="G38:G39" xr:uid="{00000000-0002-0000-0B00-00001C000000}">
      <formula1>30</formula1>
      <formula2>900</formula2>
    </dataValidation>
    <dataValidation type="decimal" allowBlank="1" showErrorMessage="1" errorTitle="Fuera de rango" error="Escriba un valor entre 1000 y 9999 (código)." sqref="G40" xr:uid="{00000000-0002-0000-0B00-00001E000000}">
      <formula1>1000</formula1>
      <formula2>9999</formula2>
    </dataValidation>
    <dataValidation type="decimal" allowBlank="1" showErrorMessage="1" errorTitle="Fuera de rango" error="Escriba un valor entre 1 y 24 (horas)." sqref="G41" xr:uid="{00000000-0002-0000-0B00-00001F000000}">
      <formula1>1</formula1>
      <formula2>24</formula2>
    </dataValidation>
    <dataValidation type="decimal" allowBlank="1" showErrorMessage="1" errorTitle="Fuera de rango" error="Escriba un valor entre 3 y 10 (intentos)." sqref="G42" xr:uid="{00000000-0002-0000-0B00-000020000000}">
      <formula1>3</formula1>
      <formula2>10</formula2>
    </dataValidation>
    <dataValidation type="decimal" allowBlank="1" showErrorMessage="1" errorTitle="Fuera de rango" error="Escriba un valor entre 1 y 120 (minutos)." sqref="G43" xr:uid="{00000000-0002-0000-0B00-000021000000}">
      <formula1>1</formula1>
      <formula2>120</formula2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Instrucciones</vt:lpstr>
      <vt:lpstr>Datos generales</vt:lpstr>
      <vt:lpstr>Resumen</vt:lpstr>
      <vt:lpstr>1 AMCO-GT</vt:lpstr>
      <vt:lpstr>2 Torre de Control</vt:lpstr>
      <vt:lpstr>3 Geolocalizaciones</vt:lpstr>
      <vt:lpstr>4 Home-Visitas</vt:lpstr>
      <vt:lpstr>5 Supervisión</vt:lpstr>
      <vt:lpstr>6 Presupuesto-Gestión</vt:lpstr>
      <vt:lpstr>6b Metas de activación</vt:lpstr>
      <vt:lpstr>7 Reportes y envíos</vt:lpstr>
      <vt:lpstr>8 Fijos en código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2026-10-08T22:45:28Z</dcterms:created>
  <dcterms:modified xsi:type="dcterms:W3CDTF">2026-10-08T23:03:37Z</dcterms:modified>
</cp:coreProperties>
</file>