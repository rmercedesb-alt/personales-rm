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Claude/MovilBusinessDashBoard/MovilbusinessDashBoardSmart/SQL/"/>
    </mc:Choice>
  </mc:AlternateContent>
  <xr:revisionPtr revIDLastSave="59" documentId="11_13BFFE885237BAF0CA6D54908B77A6D4EA3F17C2" xr6:coauthVersionLast="47" xr6:coauthVersionMax="47" xr10:uidLastSave="{D805B87A-1058-433B-B30A-3CD28EA9609E}"/>
  <bookViews>
    <workbookView xWindow="-108" yWindow="-108" windowWidth="23256" windowHeight="12456" tabRatio="705" activeTab="2" xr2:uid="{00000000-000D-0000-FFFF-FFFF00000000}"/>
  </bookViews>
  <sheets>
    <sheet name="Resumen" sheetId="1" r:id="rId1"/>
    <sheet name="Clientes" sheetId="2" r:id="rId2"/>
    <sheet name="Detalle Vendedor-Producto" sheetId="3" r:id="rId3"/>
    <sheet name="Por Vendedor" sheetId="4" r:id="rId4"/>
    <sheet name="Por Suplidor" sheetId="5" r:id="rId5"/>
    <sheet name="Presupuesto 185" sheetId="6" r:id="rId6"/>
    <sheet name="Impacto Presupu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3" l="1"/>
  <c r="J78" i="3"/>
  <c r="J82" i="3"/>
  <c r="J114" i="3"/>
  <c r="J121" i="3"/>
  <c r="J124" i="3"/>
  <c r="J160" i="3"/>
  <c r="J181" i="3"/>
  <c r="J186" i="3"/>
  <c r="J190" i="3"/>
  <c r="J226" i="3"/>
  <c r="J227" i="3"/>
  <c r="J228" i="3"/>
  <c r="J229" i="3"/>
  <c r="J232" i="3"/>
  <c r="J268" i="3"/>
  <c r="J288" i="3"/>
  <c r="J289" i="3"/>
  <c r="J300" i="3"/>
  <c r="J334" i="3"/>
  <c r="J335" i="3"/>
  <c r="J340" i="3"/>
  <c r="J342" i="3"/>
  <c r="J376" i="3"/>
  <c r="J395" i="3"/>
  <c r="J402" i="3"/>
  <c r="J474" i="3"/>
  <c r="J490" i="3"/>
  <c r="J510" i="3"/>
  <c r="J517" i="3"/>
  <c r="J534" i="3"/>
  <c r="J558" i="3"/>
  <c r="J565" i="3"/>
  <c r="J574" i="3"/>
  <c r="J594" i="3"/>
  <c r="J598" i="3"/>
  <c r="J630" i="3"/>
  <c r="J636" i="3"/>
  <c r="J637" i="3"/>
  <c r="J640" i="3"/>
  <c r="J642" i="3"/>
  <c r="J648" i="3"/>
  <c r="J654" i="3"/>
  <c r="J695" i="3"/>
  <c r="J718" i="3"/>
  <c r="J719" i="3"/>
  <c r="J721" i="3"/>
  <c r="J724" i="3"/>
  <c r="J726" i="3"/>
  <c r="J731" i="3"/>
  <c r="J762" i="3"/>
  <c r="J796" i="3"/>
  <c r="J797" i="3"/>
  <c r="J798" i="3"/>
  <c r="J799" i="3"/>
  <c r="J800" i="3"/>
  <c r="J822" i="3"/>
  <c r="J844" i="3"/>
  <c r="J845" i="3"/>
  <c r="J848" i="3"/>
  <c r="J870" i="3"/>
  <c r="J892" i="3"/>
  <c r="G2" i="3"/>
  <c r="J2" i="3" s="1"/>
  <c r="G5" i="3"/>
  <c r="J5" i="3" s="1"/>
  <c r="G6" i="3"/>
  <c r="J6" i="3" s="1"/>
  <c r="G7" i="3"/>
  <c r="J7" i="3" s="1"/>
  <c r="G16" i="3"/>
  <c r="J16" i="3" s="1"/>
  <c r="G17" i="3"/>
  <c r="J17" i="3" s="1"/>
  <c r="G19" i="3"/>
  <c r="J19" i="3" s="1"/>
  <c r="G26" i="3"/>
  <c r="J26" i="3" s="1"/>
  <c r="G27" i="3"/>
  <c r="J27" i="3" s="1"/>
  <c r="G28" i="3"/>
  <c r="J28" i="3" s="1"/>
  <c r="G39" i="3"/>
  <c r="J39" i="3" s="1"/>
  <c r="G40" i="3"/>
  <c r="J40" i="3" s="1"/>
  <c r="G42" i="3"/>
  <c r="J42" i="3" s="1"/>
  <c r="G43" i="3"/>
  <c r="J43" i="3" s="1"/>
  <c r="G54" i="3"/>
  <c r="J54" i="3" s="1"/>
  <c r="G63" i="3"/>
  <c r="J63" i="3" s="1"/>
  <c r="G64" i="3"/>
  <c r="J64" i="3" s="1"/>
  <c r="G65" i="3"/>
  <c r="J65" i="3" s="1"/>
  <c r="G67" i="3"/>
  <c r="J67" i="3" s="1"/>
  <c r="G70" i="3"/>
  <c r="J70" i="3" s="1"/>
  <c r="G78" i="3"/>
  <c r="G83" i="3"/>
  <c r="J83" i="3" s="1"/>
  <c r="G89" i="3"/>
  <c r="J89" i="3" s="1"/>
  <c r="G90" i="3"/>
  <c r="J90" i="3" s="1"/>
  <c r="G99" i="3"/>
  <c r="J99" i="3" s="1"/>
  <c r="G102" i="3"/>
  <c r="J102" i="3" s="1"/>
  <c r="G103" i="3"/>
  <c r="J103" i="3" s="1"/>
  <c r="G106" i="3"/>
  <c r="J106" i="3" s="1"/>
  <c r="G108" i="3"/>
  <c r="J108" i="3" s="1"/>
  <c r="G114" i="3"/>
  <c r="G123" i="3"/>
  <c r="J123" i="3" s="1"/>
  <c r="G126" i="3"/>
  <c r="J126" i="3" s="1"/>
  <c r="G127" i="3"/>
  <c r="J127" i="3" s="1"/>
  <c r="G138" i="3"/>
  <c r="J138" i="3" s="1"/>
  <c r="G139" i="3"/>
  <c r="J139" i="3" s="1"/>
  <c r="G157" i="3"/>
  <c r="J157" i="3" s="1"/>
  <c r="G158" i="3"/>
  <c r="J158" i="3" s="1"/>
  <c r="G159" i="3"/>
  <c r="J159" i="3" s="1"/>
  <c r="G170" i="3"/>
  <c r="J170" i="3" s="1"/>
  <c r="G171" i="3"/>
  <c r="J171" i="3" s="1"/>
  <c r="G174" i="3"/>
  <c r="J174" i="3" s="1"/>
  <c r="G175" i="3"/>
  <c r="J175" i="3" s="1"/>
  <c r="G186" i="3"/>
  <c r="G187" i="3"/>
  <c r="J187" i="3" s="1"/>
  <c r="G190" i="3"/>
  <c r="G191" i="3"/>
  <c r="J191" i="3" s="1"/>
  <c r="G194" i="3"/>
  <c r="J194" i="3" s="1"/>
  <c r="G195" i="3"/>
  <c r="J195" i="3" s="1"/>
  <c r="G204" i="3"/>
  <c r="J204" i="3" s="1"/>
  <c r="G205" i="3"/>
  <c r="J205" i="3" s="1"/>
  <c r="G211" i="3"/>
  <c r="J211" i="3" s="1"/>
  <c r="G219" i="3"/>
  <c r="J219" i="3" s="1"/>
  <c r="G222" i="3"/>
  <c r="J222" i="3" s="1"/>
  <c r="G226" i="3"/>
  <c r="G227" i="3"/>
  <c r="G228" i="3"/>
  <c r="G229" i="3"/>
  <c r="G234" i="3"/>
  <c r="J234" i="3" s="1"/>
  <c r="G243" i="3"/>
  <c r="J243" i="3" s="1"/>
  <c r="G246" i="3"/>
  <c r="J246" i="3" s="1"/>
  <c r="G247" i="3"/>
  <c r="J247" i="3" s="1"/>
  <c r="G258" i="3"/>
  <c r="J258" i="3" s="1"/>
  <c r="G259" i="3"/>
  <c r="J259" i="3" s="1"/>
  <c r="G262" i="3"/>
  <c r="J262" i="3" s="1"/>
  <c r="G263" i="3"/>
  <c r="J263" i="3" s="1"/>
  <c r="G282" i="3"/>
  <c r="J282" i="3" s="1"/>
  <c r="G290" i="3"/>
  <c r="J290" i="3" s="1"/>
  <c r="G291" i="3"/>
  <c r="J291" i="3" s="1"/>
  <c r="G294" i="3"/>
  <c r="J294" i="3" s="1"/>
  <c r="G298" i="3"/>
  <c r="J298" i="3" s="1"/>
  <c r="G306" i="3"/>
  <c r="J306" i="3" s="1"/>
  <c r="G307" i="3"/>
  <c r="J307" i="3" s="1"/>
  <c r="G312" i="3"/>
  <c r="J312" i="3" s="1"/>
  <c r="G313" i="3"/>
  <c r="J313" i="3" s="1"/>
  <c r="G314" i="3"/>
  <c r="J314" i="3" s="1"/>
  <c r="G325" i="3"/>
  <c r="J325" i="3" s="1"/>
  <c r="G326" i="3"/>
  <c r="J326" i="3" s="1"/>
  <c r="G327" i="3"/>
  <c r="J327" i="3" s="1"/>
  <c r="G330" i="3"/>
  <c r="J330" i="3" s="1"/>
  <c r="G331" i="3"/>
  <c r="J331" i="3" s="1"/>
  <c r="G339" i="3"/>
  <c r="J339" i="3" s="1"/>
  <c r="G342" i="3"/>
  <c r="G343" i="3"/>
  <c r="J343" i="3" s="1"/>
  <c r="G346" i="3"/>
  <c r="J346" i="3" s="1"/>
  <c r="G347" i="3"/>
  <c r="J347" i="3" s="1"/>
  <c r="G348" i="3"/>
  <c r="J348" i="3" s="1"/>
  <c r="G359" i="3"/>
  <c r="J359" i="3" s="1"/>
  <c r="G360" i="3"/>
  <c r="J360" i="3" s="1"/>
  <c r="G363" i="3"/>
  <c r="J363" i="3" s="1"/>
  <c r="G375" i="3"/>
  <c r="J375" i="3" s="1"/>
  <c r="G378" i="3"/>
  <c r="J378" i="3" s="1"/>
  <c r="G379" i="3"/>
  <c r="J379" i="3" s="1"/>
  <c r="G383" i="3"/>
  <c r="J383" i="3" s="1"/>
  <c r="G384" i="3"/>
  <c r="J384" i="3" s="1"/>
  <c r="G394" i="3"/>
  <c r="J394" i="3" s="1"/>
  <c r="G399" i="3"/>
  <c r="J399" i="3" s="1"/>
  <c r="G402" i="3"/>
  <c r="G411" i="3"/>
  <c r="J411" i="3" s="1"/>
  <c r="G415" i="3"/>
  <c r="J415" i="3" s="1"/>
  <c r="G418" i="3"/>
  <c r="J418" i="3" s="1"/>
  <c r="G426" i="3"/>
  <c r="J426" i="3" s="1"/>
  <c r="G427" i="3"/>
  <c r="J427" i="3" s="1"/>
  <c r="G434" i="3"/>
  <c r="J434" i="3" s="1"/>
  <c r="G444" i="3"/>
  <c r="J444" i="3" s="1"/>
  <c r="G445" i="3"/>
  <c r="J445" i="3" s="1"/>
  <c r="G446" i="3"/>
  <c r="J446" i="3" s="1"/>
  <c r="G447" i="3"/>
  <c r="J447" i="3" s="1"/>
  <c r="G448" i="3"/>
  <c r="J448" i="3" s="1"/>
  <c r="G449" i="3"/>
  <c r="J449" i="3" s="1"/>
  <c r="G459" i="3"/>
  <c r="J459" i="3" s="1"/>
  <c r="G460" i="3"/>
  <c r="J460" i="3" s="1"/>
  <c r="G461" i="3"/>
  <c r="J461" i="3" s="1"/>
  <c r="G463" i="3"/>
  <c r="J463" i="3" s="1"/>
  <c r="G471" i="3"/>
  <c r="J471" i="3" s="1"/>
  <c r="G472" i="3"/>
  <c r="J472" i="3" s="1"/>
  <c r="G473" i="3"/>
  <c r="J473" i="3" s="1"/>
  <c r="G475" i="3"/>
  <c r="J475" i="3" s="1"/>
  <c r="G484" i="3"/>
  <c r="J484" i="3" s="1"/>
  <c r="G485" i="3"/>
  <c r="J485" i="3" s="1"/>
  <c r="G487" i="3"/>
  <c r="J487" i="3" s="1"/>
  <c r="G490" i="3"/>
  <c r="G491" i="3"/>
  <c r="J491" i="3" s="1"/>
  <c r="G492" i="3"/>
  <c r="J492" i="3" s="1"/>
  <c r="G502" i="3"/>
  <c r="J502" i="3" s="1"/>
  <c r="G503" i="3"/>
  <c r="J503" i="3" s="1"/>
  <c r="G517" i="3"/>
  <c r="G518" i="3"/>
  <c r="J518" i="3" s="1"/>
  <c r="G519" i="3"/>
  <c r="J519" i="3" s="1"/>
  <c r="G520" i="3"/>
  <c r="J520" i="3" s="1"/>
  <c r="G529" i="3"/>
  <c r="J529" i="3" s="1"/>
  <c r="G530" i="3"/>
  <c r="J530" i="3" s="1"/>
  <c r="G531" i="3"/>
  <c r="J531" i="3" s="1"/>
  <c r="G532" i="3"/>
  <c r="J532" i="3" s="1"/>
  <c r="G533" i="3"/>
  <c r="J533" i="3" s="1"/>
  <c r="G543" i="3"/>
  <c r="J543" i="3" s="1"/>
  <c r="G544" i="3"/>
  <c r="J544" i="3" s="1"/>
  <c r="G545" i="3"/>
  <c r="J545" i="3" s="1"/>
  <c r="G547" i="3"/>
  <c r="J547" i="3" s="1"/>
  <c r="G550" i="3"/>
  <c r="J550" i="3" s="1"/>
  <c r="G555" i="3"/>
  <c r="J555" i="3" s="1"/>
  <c r="G556" i="3"/>
  <c r="J556" i="3" s="1"/>
  <c r="G557" i="3"/>
  <c r="J557" i="3" s="1"/>
  <c r="G559" i="3"/>
  <c r="J559" i="3" s="1"/>
  <c r="G571" i="3"/>
  <c r="J571" i="3" s="1"/>
  <c r="G575" i="3"/>
  <c r="J575" i="3" s="1"/>
  <c r="G576" i="3"/>
  <c r="J576" i="3" s="1"/>
  <c r="G577" i="3"/>
  <c r="J577" i="3" s="1"/>
  <c r="G578" i="3"/>
  <c r="J578" i="3" s="1"/>
  <c r="G591" i="3"/>
  <c r="J591" i="3" s="1"/>
  <c r="G592" i="3"/>
  <c r="J592" i="3" s="1"/>
  <c r="G601" i="3"/>
  <c r="J601" i="3" s="1"/>
  <c r="G602" i="3"/>
  <c r="J602" i="3" s="1"/>
  <c r="G603" i="3"/>
  <c r="J603" i="3" s="1"/>
  <c r="G604" i="3"/>
  <c r="J604" i="3" s="1"/>
  <c r="G605" i="3"/>
  <c r="J605" i="3" s="1"/>
  <c r="G607" i="3"/>
  <c r="J607" i="3" s="1"/>
  <c r="G615" i="3"/>
  <c r="J615" i="3" s="1"/>
  <c r="G616" i="3"/>
  <c r="J616" i="3" s="1"/>
  <c r="G617" i="3"/>
  <c r="J617" i="3" s="1"/>
  <c r="G619" i="3"/>
  <c r="J619" i="3" s="1"/>
  <c r="G627" i="3"/>
  <c r="J627" i="3" s="1"/>
  <c r="G628" i="3"/>
  <c r="J628" i="3" s="1"/>
  <c r="G629" i="3"/>
  <c r="J629" i="3" s="1"/>
  <c r="G631" i="3"/>
  <c r="J631" i="3" s="1"/>
  <c r="G632" i="3"/>
  <c r="J632" i="3" s="1"/>
  <c r="G643" i="3"/>
  <c r="J643" i="3" s="1"/>
  <c r="G646" i="3"/>
  <c r="J646" i="3" s="1"/>
  <c r="G647" i="3"/>
  <c r="J647" i="3" s="1"/>
  <c r="G648" i="3"/>
  <c r="G649" i="3"/>
  <c r="J649" i="3" s="1"/>
  <c r="G658" i="3"/>
  <c r="J658" i="3" s="1"/>
  <c r="G659" i="3"/>
  <c r="J659" i="3" s="1"/>
  <c r="G660" i="3"/>
  <c r="J660" i="3" s="1"/>
  <c r="G663" i="3"/>
  <c r="J663" i="3" s="1"/>
  <c r="G673" i="3"/>
  <c r="J673" i="3" s="1"/>
  <c r="G674" i="3"/>
  <c r="J674" i="3" s="1"/>
  <c r="G675" i="3"/>
  <c r="J675" i="3" s="1"/>
  <c r="G676" i="3"/>
  <c r="J676" i="3" s="1"/>
  <c r="G684" i="3"/>
  <c r="J684" i="3" s="1"/>
  <c r="G685" i="3"/>
  <c r="J685" i="3" s="1"/>
  <c r="G686" i="3"/>
  <c r="J686" i="3" s="1"/>
  <c r="G687" i="3"/>
  <c r="J687" i="3" s="1"/>
  <c r="G688" i="3"/>
  <c r="J688" i="3" s="1"/>
  <c r="G690" i="3"/>
  <c r="J690" i="3" s="1"/>
  <c r="G699" i="3"/>
  <c r="J699" i="3" s="1"/>
  <c r="G700" i="3"/>
  <c r="J700" i="3" s="1"/>
  <c r="G702" i="3"/>
  <c r="J702" i="3" s="1"/>
  <c r="G703" i="3"/>
  <c r="J703" i="3" s="1"/>
  <c r="G710" i="3"/>
  <c r="J710" i="3" s="1"/>
  <c r="G711" i="3"/>
  <c r="J711" i="3" s="1"/>
  <c r="G712" i="3"/>
  <c r="J712" i="3" s="1"/>
  <c r="G714" i="3"/>
  <c r="J714" i="3" s="1"/>
  <c r="G715" i="3"/>
  <c r="J715" i="3" s="1"/>
  <c r="G723" i="3"/>
  <c r="J723" i="3" s="1"/>
  <c r="G724" i="3"/>
  <c r="G726" i="3"/>
  <c r="G727" i="3"/>
  <c r="J727" i="3" s="1"/>
  <c r="G735" i="3"/>
  <c r="J735" i="3" s="1"/>
  <c r="G736" i="3"/>
  <c r="J736" i="3" s="1"/>
  <c r="G738" i="3"/>
  <c r="J738" i="3" s="1"/>
  <c r="G739" i="3"/>
  <c r="J739" i="3" s="1"/>
  <c r="G747" i="3"/>
  <c r="J747" i="3" s="1"/>
  <c r="G748" i="3"/>
  <c r="J748" i="3" s="1"/>
  <c r="G750" i="3"/>
  <c r="J750" i="3" s="1"/>
  <c r="G751" i="3"/>
  <c r="J751" i="3" s="1"/>
  <c r="G754" i="3"/>
  <c r="J754" i="3" s="1"/>
  <c r="G755" i="3"/>
  <c r="J755" i="3" s="1"/>
  <c r="G762" i="3"/>
  <c r="G763" i="3"/>
  <c r="J763" i="3" s="1"/>
  <c r="G767" i="3"/>
  <c r="J767" i="3" s="1"/>
  <c r="G768" i="3"/>
  <c r="J768" i="3" s="1"/>
  <c r="G774" i="3"/>
  <c r="J774" i="3" s="1"/>
  <c r="G775" i="3"/>
  <c r="J775" i="3" s="1"/>
  <c r="G778" i="3"/>
  <c r="J778" i="3" s="1"/>
  <c r="G791" i="3"/>
  <c r="J791" i="3" s="1"/>
  <c r="G792" i="3"/>
  <c r="J792" i="3" s="1"/>
  <c r="G793" i="3"/>
  <c r="J793" i="3" s="1"/>
  <c r="G794" i="3"/>
  <c r="J794" i="3" s="1"/>
  <c r="G798" i="3"/>
  <c r="G802" i="3"/>
  <c r="J802" i="3" s="1"/>
  <c r="G803" i="3"/>
  <c r="J803" i="3" s="1"/>
  <c r="G807" i="3"/>
  <c r="J807" i="3" s="1"/>
  <c r="G810" i="3"/>
  <c r="J810" i="3" s="1"/>
  <c r="G814" i="3"/>
  <c r="J814" i="3" s="1"/>
  <c r="G815" i="3"/>
  <c r="J815" i="3" s="1"/>
  <c r="G816" i="3"/>
  <c r="J816" i="3" s="1"/>
  <c r="G817" i="3"/>
  <c r="J817" i="3" s="1"/>
  <c r="G818" i="3"/>
  <c r="J818" i="3" s="1"/>
  <c r="G819" i="3"/>
  <c r="J819" i="3" s="1"/>
  <c r="G822" i="3"/>
  <c r="G831" i="3"/>
  <c r="J831" i="3" s="1"/>
  <c r="G834" i="3"/>
  <c r="J834" i="3" s="1"/>
  <c r="G838" i="3"/>
  <c r="J838" i="3" s="1"/>
  <c r="G839" i="3"/>
  <c r="J839" i="3" s="1"/>
  <c r="G840" i="3"/>
  <c r="J840" i="3" s="1"/>
  <c r="G841" i="3"/>
  <c r="J841" i="3" s="1"/>
  <c r="G842" i="3"/>
  <c r="J842" i="3" s="1"/>
  <c r="G843" i="3"/>
  <c r="J843" i="3" s="1"/>
  <c r="G846" i="3"/>
  <c r="J846" i="3" s="1"/>
  <c r="G853" i="3"/>
  <c r="J853" i="3" s="1"/>
  <c r="G854" i="3"/>
  <c r="J854" i="3" s="1"/>
  <c r="G855" i="3"/>
  <c r="J855" i="3" s="1"/>
  <c r="G858" i="3"/>
  <c r="J858" i="3" s="1"/>
  <c r="G862" i="3"/>
  <c r="J862" i="3" s="1"/>
  <c r="G863" i="3"/>
  <c r="J863" i="3" s="1"/>
  <c r="G864" i="3"/>
  <c r="J864" i="3" s="1"/>
  <c r="G867" i="3"/>
  <c r="J867" i="3" s="1"/>
  <c r="G870" i="3"/>
  <c r="G875" i="3"/>
  <c r="J875" i="3" s="1"/>
  <c r="G876" i="3"/>
  <c r="J876" i="3" s="1"/>
  <c r="G877" i="3"/>
  <c r="J877" i="3" s="1"/>
  <c r="G878" i="3"/>
  <c r="J878" i="3" s="1"/>
  <c r="G879" i="3"/>
  <c r="J879" i="3" s="1"/>
  <c r="G882" i="3"/>
  <c r="J882" i="3" s="1"/>
  <c r="G886" i="3"/>
  <c r="J886" i="3" s="1"/>
  <c r="G891" i="3"/>
  <c r="J891" i="3" s="1"/>
  <c r="G894" i="3"/>
  <c r="J894" i="3" s="1"/>
  <c r="G898" i="3"/>
  <c r="J898" i="3" s="1"/>
  <c r="G899" i="3"/>
  <c r="J899" i="3" s="1"/>
  <c r="G900" i="3"/>
  <c r="J900" i="3" s="1"/>
  <c r="G901" i="3"/>
  <c r="J901" i="3" s="1"/>
  <c r="G902" i="3"/>
  <c r="J902" i="3" s="1"/>
  <c r="G903" i="3"/>
  <c r="J903" i="3" s="1"/>
  <c r="G906" i="3"/>
  <c r="J906" i="3" s="1"/>
  <c r="G912" i="3"/>
  <c r="J912" i="3" s="1"/>
  <c r="G913" i="3"/>
  <c r="J913" i="3" s="1"/>
  <c r="G914" i="3"/>
  <c r="J914" i="3" s="1"/>
  <c r="G915" i="3"/>
  <c r="J915" i="3" s="1"/>
  <c r="G918" i="3"/>
  <c r="J918" i="3" s="1"/>
  <c r="G922" i="3"/>
  <c r="J922" i="3" s="1"/>
  <c r="F2" i="3"/>
  <c r="F3" i="3"/>
  <c r="G3" i="3" s="1"/>
  <c r="J3" i="3" s="1"/>
  <c r="F4" i="3"/>
  <c r="G4" i="3" s="1"/>
  <c r="J4" i="3" s="1"/>
  <c r="F5" i="3"/>
  <c r="F6" i="3"/>
  <c r="F7" i="3"/>
  <c r="F8" i="3"/>
  <c r="G8" i="3" s="1"/>
  <c r="J8" i="3" s="1"/>
  <c r="F9" i="3"/>
  <c r="G9" i="3" s="1"/>
  <c r="J9" i="3" s="1"/>
  <c r="F10" i="3"/>
  <c r="G10" i="3" s="1"/>
  <c r="J10" i="3" s="1"/>
  <c r="F11" i="3"/>
  <c r="G11" i="3" s="1"/>
  <c r="J11" i="3" s="1"/>
  <c r="F12" i="3"/>
  <c r="G12" i="3" s="1"/>
  <c r="J12" i="3" s="1"/>
  <c r="F13" i="3"/>
  <c r="G13" i="3" s="1"/>
  <c r="J13" i="3" s="1"/>
  <c r="F14" i="3"/>
  <c r="G14" i="3" s="1"/>
  <c r="J14" i="3" s="1"/>
  <c r="F15" i="3"/>
  <c r="G15" i="3" s="1"/>
  <c r="J15" i="3" s="1"/>
  <c r="F16" i="3"/>
  <c r="F17" i="3"/>
  <c r="F18" i="3"/>
  <c r="G18" i="3" s="1"/>
  <c r="J18" i="3" s="1"/>
  <c r="F19" i="3"/>
  <c r="F20" i="3"/>
  <c r="G20" i="3" s="1"/>
  <c r="J20" i="3" s="1"/>
  <c r="F21" i="3"/>
  <c r="G21" i="3" s="1"/>
  <c r="J21" i="3" s="1"/>
  <c r="F22" i="3"/>
  <c r="G22" i="3" s="1"/>
  <c r="J22" i="3" s="1"/>
  <c r="F23" i="3"/>
  <c r="G23" i="3" s="1"/>
  <c r="J23" i="3" s="1"/>
  <c r="F24" i="3"/>
  <c r="G24" i="3" s="1"/>
  <c r="J24" i="3" s="1"/>
  <c r="F25" i="3"/>
  <c r="G25" i="3" s="1"/>
  <c r="J25" i="3" s="1"/>
  <c r="F26" i="3"/>
  <c r="F27" i="3"/>
  <c r="F28" i="3"/>
  <c r="F29" i="3"/>
  <c r="G29" i="3" s="1"/>
  <c r="J29" i="3" s="1"/>
  <c r="F30" i="3"/>
  <c r="G30" i="3" s="1"/>
  <c r="J30" i="3" s="1"/>
  <c r="F31" i="3"/>
  <c r="G31" i="3" s="1"/>
  <c r="J31" i="3" s="1"/>
  <c r="F32" i="3"/>
  <c r="G32" i="3" s="1"/>
  <c r="J32" i="3" s="1"/>
  <c r="F33" i="3"/>
  <c r="G33" i="3" s="1"/>
  <c r="J33" i="3" s="1"/>
  <c r="F34" i="3"/>
  <c r="G34" i="3" s="1"/>
  <c r="J34" i="3" s="1"/>
  <c r="F35" i="3"/>
  <c r="G35" i="3" s="1"/>
  <c r="J35" i="3" s="1"/>
  <c r="F36" i="3"/>
  <c r="G36" i="3" s="1"/>
  <c r="J36" i="3" s="1"/>
  <c r="F37" i="3"/>
  <c r="G37" i="3" s="1"/>
  <c r="J37" i="3" s="1"/>
  <c r="F38" i="3"/>
  <c r="G38" i="3" s="1"/>
  <c r="J38" i="3" s="1"/>
  <c r="F39" i="3"/>
  <c r="F40" i="3"/>
  <c r="F41" i="3"/>
  <c r="G41" i="3" s="1"/>
  <c r="J41" i="3" s="1"/>
  <c r="F42" i="3"/>
  <c r="F43" i="3"/>
  <c r="F44" i="3"/>
  <c r="G44" i="3" s="1"/>
  <c r="J44" i="3" s="1"/>
  <c r="F45" i="3"/>
  <c r="G45" i="3" s="1"/>
  <c r="J45" i="3" s="1"/>
  <c r="F46" i="3"/>
  <c r="G46" i="3" s="1"/>
  <c r="J46" i="3" s="1"/>
  <c r="F47" i="3"/>
  <c r="G47" i="3" s="1"/>
  <c r="J47" i="3" s="1"/>
  <c r="F48" i="3"/>
  <c r="G48" i="3" s="1"/>
  <c r="J48" i="3" s="1"/>
  <c r="F49" i="3"/>
  <c r="G49" i="3" s="1"/>
  <c r="J49" i="3" s="1"/>
  <c r="F50" i="3"/>
  <c r="G50" i="3" s="1"/>
  <c r="J50" i="3" s="1"/>
  <c r="F51" i="3"/>
  <c r="G51" i="3" s="1"/>
  <c r="J51" i="3" s="1"/>
  <c r="F52" i="3"/>
  <c r="G52" i="3" s="1"/>
  <c r="J52" i="3" s="1"/>
  <c r="F53" i="3"/>
  <c r="G53" i="3" s="1"/>
  <c r="J53" i="3" s="1"/>
  <c r="F54" i="3"/>
  <c r="F55" i="3"/>
  <c r="G55" i="3" s="1"/>
  <c r="J55" i="3" s="1"/>
  <c r="F56" i="3"/>
  <c r="G56" i="3" s="1"/>
  <c r="J56" i="3" s="1"/>
  <c r="F57" i="3"/>
  <c r="G57" i="3" s="1"/>
  <c r="J57" i="3" s="1"/>
  <c r="F58" i="3"/>
  <c r="G58" i="3" s="1"/>
  <c r="J58" i="3" s="1"/>
  <c r="F59" i="3"/>
  <c r="G59" i="3" s="1"/>
  <c r="J59" i="3" s="1"/>
  <c r="F60" i="3"/>
  <c r="G60" i="3" s="1"/>
  <c r="J60" i="3" s="1"/>
  <c r="F61" i="3"/>
  <c r="G61" i="3" s="1"/>
  <c r="J61" i="3" s="1"/>
  <c r="F62" i="3"/>
  <c r="G62" i="3" s="1"/>
  <c r="J62" i="3" s="1"/>
  <c r="F63" i="3"/>
  <c r="F64" i="3"/>
  <c r="F65" i="3"/>
  <c r="F66" i="3"/>
  <c r="G66" i="3" s="1"/>
  <c r="F67" i="3"/>
  <c r="F68" i="3"/>
  <c r="G68" i="3" s="1"/>
  <c r="J68" i="3" s="1"/>
  <c r="F69" i="3"/>
  <c r="G69" i="3" s="1"/>
  <c r="J69" i="3" s="1"/>
  <c r="F70" i="3"/>
  <c r="F71" i="3"/>
  <c r="G71" i="3" s="1"/>
  <c r="J71" i="3" s="1"/>
  <c r="F72" i="3"/>
  <c r="G72" i="3" s="1"/>
  <c r="J72" i="3" s="1"/>
  <c r="F73" i="3"/>
  <c r="G73" i="3" s="1"/>
  <c r="J73" i="3" s="1"/>
  <c r="F74" i="3"/>
  <c r="G74" i="3" s="1"/>
  <c r="J74" i="3" s="1"/>
  <c r="F75" i="3"/>
  <c r="G75" i="3" s="1"/>
  <c r="J75" i="3" s="1"/>
  <c r="F76" i="3"/>
  <c r="G76" i="3" s="1"/>
  <c r="J76" i="3" s="1"/>
  <c r="F77" i="3"/>
  <c r="G77" i="3" s="1"/>
  <c r="J77" i="3" s="1"/>
  <c r="F78" i="3"/>
  <c r="F79" i="3"/>
  <c r="G79" i="3" s="1"/>
  <c r="J79" i="3" s="1"/>
  <c r="F80" i="3"/>
  <c r="G80" i="3" s="1"/>
  <c r="J80" i="3" s="1"/>
  <c r="F81" i="3"/>
  <c r="G81" i="3" s="1"/>
  <c r="J81" i="3" s="1"/>
  <c r="F82" i="3"/>
  <c r="G82" i="3" s="1"/>
  <c r="F83" i="3"/>
  <c r="F84" i="3"/>
  <c r="G84" i="3" s="1"/>
  <c r="J84" i="3" s="1"/>
  <c r="F85" i="3"/>
  <c r="G85" i="3" s="1"/>
  <c r="J85" i="3" s="1"/>
  <c r="F86" i="3"/>
  <c r="G86" i="3" s="1"/>
  <c r="J86" i="3" s="1"/>
  <c r="F87" i="3"/>
  <c r="G87" i="3" s="1"/>
  <c r="J87" i="3" s="1"/>
  <c r="F88" i="3"/>
  <c r="G88" i="3" s="1"/>
  <c r="J88" i="3" s="1"/>
  <c r="F89" i="3"/>
  <c r="F90" i="3"/>
  <c r="F91" i="3"/>
  <c r="G91" i="3" s="1"/>
  <c r="J91" i="3" s="1"/>
  <c r="F92" i="3"/>
  <c r="G92" i="3" s="1"/>
  <c r="J92" i="3" s="1"/>
  <c r="F93" i="3"/>
  <c r="G93" i="3" s="1"/>
  <c r="J93" i="3" s="1"/>
  <c r="F94" i="3"/>
  <c r="G94" i="3" s="1"/>
  <c r="J94" i="3" s="1"/>
  <c r="F95" i="3"/>
  <c r="G95" i="3" s="1"/>
  <c r="J95" i="3" s="1"/>
  <c r="F96" i="3"/>
  <c r="G96" i="3" s="1"/>
  <c r="J96" i="3" s="1"/>
  <c r="F97" i="3"/>
  <c r="G97" i="3" s="1"/>
  <c r="J97" i="3" s="1"/>
  <c r="F98" i="3"/>
  <c r="G98" i="3" s="1"/>
  <c r="J98" i="3" s="1"/>
  <c r="F99" i="3"/>
  <c r="F100" i="3"/>
  <c r="G100" i="3" s="1"/>
  <c r="J100" i="3" s="1"/>
  <c r="F101" i="3"/>
  <c r="G101" i="3" s="1"/>
  <c r="J101" i="3" s="1"/>
  <c r="F102" i="3"/>
  <c r="F103" i="3"/>
  <c r="F104" i="3"/>
  <c r="G104" i="3" s="1"/>
  <c r="J104" i="3" s="1"/>
  <c r="F105" i="3"/>
  <c r="G105" i="3" s="1"/>
  <c r="J105" i="3" s="1"/>
  <c r="F106" i="3"/>
  <c r="F107" i="3"/>
  <c r="G107" i="3" s="1"/>
  <c r="J107" i="3" s="1"/>
  <c r="F108" i="3"/>
  <c r="F109" i="3"/>
  <c r="G109" i="3" s="1"/>
  <c r="J109" i="3" s="1"/>
  <c r="F110" i="3"/>
  <c r="G110" i="3" s="1"/>
  <c r="J110" i="3" s="1"/>
  <c r="F111" i="3"/>
  <c r="G111" i="3" s="1"/>
  <c r="J111" i="3" s="1"/>
  <c r="F112" i="3"/>
  <c r="G112" i="3" s="1"/>
  <c r="J112" i="3" s="1"/>
  <c r="F113" i="3"/>
  <c r="G113" i="3" s="1"/>
  <c r="J113" i="3" s="1"/>
  <c r="F114" i="3"/>
  <c r="F115" i="3"/>
  <c r="G115" i="3" s="1"/>
  <c r="J115" i="3" s="1"/>
  <c r="F116" i="3"/>
  <c r="G116" i="3" s="1"/>
  <c r="J116" i="3" s="1"/>
  <c r="F117" i="3"/>
  <c r="G117" i="3" s="1"/>
  <c r="J117" i="3" s="1"/>
  <c r="F118" i="3"/>
  <c r="G118" i="3" s="1"/>
  <c r="J118" i="3" s="1"/>
  <c r="F119" i="3"/>
  <c r="G119" i="3" s="1"/>
  <c r="J119" i="3" s="1"/>
  <c r="F120" i="3"/>
  <c r="G120" i="3" s="1"/>
  <c r="J120" i="3" s="1"/>
  <c r="F121" i="3"/>
  <c r="G121" i="3" s="1"/>
  <c r="F122" i="3"/>
  <c r="G122" i="3" s="1"/>
  <c r="J122" i="3" s="1"/>
  <c r="F123" i="3"/>
  <c r="F124" i="3"/>
  <c r="G124" i="3" s="1"/>
  <c r="F125" i="3"/>
  <c r="G125" i="3" s="1"/>
  <c r="J125" i="3" s="1"/>
  <c r="F126" i="3"/>
  <c r="F127" i="3"/>
  <c r="F128" i="3"/>
  <c r="G128" i="3" s="1"/>
  <c r="J128" i="3" s="1"/>
  <c r="F129" i="3"/>
  <c r="G129" i="3" s="1"/>
  <c r="J129" i="3" s="1"/>
  <c r="F130" i="3"/>
  <c r="G130" i="3" s="1"/>
  <c r="J130" i="3" s="1"/>
  <c r="F131" i="3"/>
  <c r="G131" i="3" s="1"/>
  <c r="J131" i="3" s="1"/>
  <c r="F132" i="3"/>
  <c r="G132" i="3" s="1"/>
  <c r="J132" i="3" s="1"/>
  <c r="F133" i="3"/>
  <c r="G133" i="3" s="1"/>
  <c r="J133" i="3" s="1"/>
  <c r="F134" i="3"/>
  <c r="G134" i="3" s="1"/>
  <c r="J134" i="3" s="1"/>
  <c r="F135" i="3"/>
  <c r="G135" i="3" s="1"/>
  <c r="J135" i="3" s="1"/>
  <c r="F136" i="3"/>
  <c r="G136" i="3" s="1"/>
  <c r="J136" i="3" s="1"/>
  <c r="F137" i="3"/>
  <c r="G137" i="3" s="1"/>
  <c r="J137" i="3" s="1"/>
  <c r="F138" i="3"/>
  <c r="F139" i="3"/>
  <c r="F140" i="3"/>
  <c r="G140" i="3" s="1"/>
  <c r="J140" i="3" s="1"/>
  <c r="F141" i="3"/>
  <c r="G141" i="3" s="1"/>
  <c r="J141" i="3" s="1"/>
  <c r="F142" i="3"/>
  <c r="G142" i="3" s="1"/>
  <c r="J142" i="3" s="1"/>
  <c r="F143" i="3"/>
  <c r="G143" i="3" s="1"/>
  <c r="J143" i="3" s="1"/>
  <c r="F144" i="3"/>
  <c r="G144" i="3" s="1"/>
  <c r="J144" i="3" s="1"/>
  <c r="F145" i="3"/>
  <c r="G145" i="3" s="1"/>
  <c r="J145" i="3" s="1"/>
  <c r="F146" i="3"/>
  <c r="G146" i="3" s="1"/>
  <c r="J146" i="3" s="1"/>
  <c r="F147" i="3"/>
  <c r="G147" i="3" s="1"/>
  <c r="J147" i="3" s="1"/>
  <c r="F148" i="3"/>
  <c r="G148" i="3" s="1"/>
  <c r="J148" i="3" s="1"/>
  <c r="F149" i="3"/>
  <c r="G149" i="3" s="1"/>
  <c r="J149" i="3" s="1"/>
  <c r="F150" i="3"/>
  <c r="G150" i="3" s="1"/>
  <c r="J150" i="3" s="1"/>
  <c r="F151" i="3"/>
  <c r="G151" i="3" s="1"/>
  <c r="J151" i="3" s="1"/>
  <c r="F152" i="3"/>
  <c r="G152" i="3" s="1"/>
  <c r="J152" i="3" s="1"/>
  <c r="F153" i="3"/>
  <c r="G153" i="3" s="1"/>
  <c r="J153" i="3" s="1"/>
  <c r="F154" i="3"/>
  <c r="G154" i="3" s="1"/>
  <c r="J154" i="3" s="1"/>
  <c r="F155" i="3"/>
  <c r="G155" i="3" s="1"/>
  <c r="J155" i="3" s="1"/>
  <c r="F156" i="3"/>
  <c r="G156" i="3" s="1"/>
  <c r="J156" i="3" s="1"/>
  <c r="F157" i="3"/>
  <c r="F158" i="3"/>
  <c r="F159" i="3"/>
  <c r="F160" i="3"/>
  <c r="G160" i="3" s="1"/>
  <c r="F161" i="3"/>
  <c r="G161" i="3" s="1"/>
  <c r="J161" i="3" s="1"/>
  <c r="F162" i="3"/>
  <c r="G162" i="3" s="1"/>
  <c r="J162" i="3" s="1"/>
  <c r="F163" i="3"/>
  <c r="G163" i="3" s="1"/>
  <c r="J163" i="3" s="1"/>
  <c r="F164" i="3"/>
  <c r="G164" i="3" s="1"/>
  <c r="J164" i="3" s="1"/>
  <c r="F165" i="3"/>
  <c r="G165" i="3" s="1"/>
  <c r="J165" i="3" s="1"/>
  <c r="F166" i="3"/>
  <c r="G166" i="3" s="1"/>
  <c r="J166" i="3" s="1"/>
  <c r="F167" i="3"/>
  <c r="G167" i="3" s="1"/>
  <c r="J167" i="3" s="1"/>
  <c r="F168" i="3"/>
  <c r="G168" i="3" s="1"/>
  <c r="J168" i="3" s="1"/>
  <c r="F169" i="3"/>
  <c r="G169" i="3" s="1"/>
  <c r="J169" i="3" s="1"/>
  <c r="F170" i="3"/>
  <c r="F171" i="3"/>
  <c r="F172" i="3"/>
  <c r="G172" i="3" s="1"/>
  <c r="J172" i="3" s="1"/>
  <c r="F173" i="3"/>
  <c r="G173" i="3" s="1"/>
  <c r="J173" i="3" s="1"/>
  <c r="F174" i="3"/>
  <c r="F175" i="3"/>
  <c r="F176" i="3"/>
  <c r="G176" i="3" s="1"/>
  <c r="J176" i="3" s="1"/>
  <c r="F177" i="3"/>
  <c r="G177" i="3" s="1"/>
  <c r="J177" i="3" s="1"/>
  <c r="F178" i="3"/>
  <c r="G178" i="3" s="1"/>
  <c r="J178" i="3" s="1"/>
  <c r="F179" i="3"/>
  <c r="G179" i="3" s="1"/>
  <c r="J179" i="3" s="1"/>
  <c r="F180" i="3"/>
  <c r="G180" i="3" s="1"/>
  <c r="J180" i="3" s="1"/>
  <c r="F181" i="3"/>
  <c r="G181" i="3" s="1"/>
  <c r="F182" i="3"/>
  <c r="G182" i="3" s="1"/>
  <c r="J182" i="3" s="1"/>
  <c r="F183" i="3"/>
  <c r="G183" i="3" s="1"/>
  <c r="J183" i="3" s="1"/>
  <c r="F184" i="3"/>
  <c r="G184" i="3" s="1"/>
  <c r="J184" i="3" s="1"/>
  <c r="F185" i="3"/>
  <c r="G185" i="3" s="1"/>
  <c r="J185" i="3" s="1"/>
  <c r="F186" i="3"/>
  <c r="F187" i="3"/>
  <c r="F188" i="3"/>
  <c r="G188" i="3" s="1"/>
  <c r="J188" i="3" s="1"/>
  <c r="F189" i="3"/>
  <c r="G189" i="3" s="1"/>
  <c r="J189" i="3" s="1"/>
  <c r="F190" i="3"/>
  <c r="F191" i="3"/>
  <c r="F192" i="3"/>
  <c r="G192" i="3" s="1"/>
  <c r="J192" i="3" s="1"/>
  <c r="F193" i="3"/>
  <c r="G193" i="3" s="1"/>
  <c r="J193" i="3" s="1"/>
  <c r="F194" i="3"/>
  <c r="F195" i="3"/>
  <c r="F196" i="3"/>
  <c r="G196" i="3" s="1"/>
  <c r="J196" i="3" s="1"/>
  <c r="F197" i="3"/>
  <c r="G197" i="3" s="1"/>
  <c r="J197" i="3" s="1"/>
  <c r="F198" i="3"/>
  <c r="G198" i="3" s="1"/>
  <c r="J198" i="3" s="1"/>
  <c r="F199" i="3"/>
  <c r="G199" i="3" s="1"/>
  <c r="J199" i="3" s="1"/>
  <c r="F200" i="3"/>
  <c r="G200" i="3" s="1"/>
  <c r="J200" i="3" s="1"/>
  <c r="F201" i="3"/>
  <c r="G201" i="3" s="1"/>
  <c r="J201" i="3" s="1"/>
  <c r="F202" i="3"/>
  <c r="G202" i="3" s="1"/>
  <c r="J202" i="3" s="1"/>
  <c r="F203" i="3"/>
  <c r="G203" i="3" s="1"/>
  <c r="J203" i="3" s="1"/>
  <c r="F204" i="3"/>
  <c r="F205" i="3"/>
  <c r="F206" i="3"/>
  <c r="G206" i="3" s="1"/>
  <c r="J206" i="3" s="1"/>
  <c r="F207" i="3"/>
  <c r="G207" i="3" s="1"/>
  <c r="J207" i="3" s="1"/>
  <c r="F208" i="3"/>
  <c r="G208" i="3" s="1"/>
  <c r="J208" i="3" s="1"/>
  <c r="F209" i="3"/>
  <c r="G209" i="3" s="1"/>
  <c r="J209" i="3" s="1"/>
  <c r="F210" i="3"/>
  <c r="G210" i="3" s="1"/>
  <c r="J210" i="3" s="1"/>
  <c r="F211" i="3"/>
  <c r="F212" i="3"/>
  <c r="G212" i="3" s="1"/>
  <c r="J212" i="3" s="1"/>
  <c r="F213" i="3"/>
  <c r="G213" i="3" s="1"/>
  <c r="J213" i="3" s="1"/>
  <c r="F214" i="3"/>
  <c r="G214" i="3" s="1"/>
  <c r="J214" i="3" s="1"/>
  <c r="F215" i="3"/>
  <c r="G215" i="3" s="1"/>
  <c r="J215" i="3" s="1"/>
  <c r="F216" i="3"/>
  <c r="G216" i="3" s="1"/>
  <c r="J216" i="3" s="1"/>
  <c r="F217" i="3"/>
  <c r="G217" i="3" s="1"/>
  <c r="J217" i="3" s="1"/>
  <c r="F218" i="3"/>
  <c r="G218" i="3" s="1"/>
  <c r="J218" i="3" s="1"/>
  <c r="F219" i="3"/>
  <c r="F220" i="3"/>
  <c r="G220" i="3" s="1"/>
  <c r="J220" i="3" s="1"/>
  <c r="F221" i="3"/>
  <c r="G221" i="3" s="1"/>
  <c r="J221" i="3" s="1"/>
  <c r="F222" i="3"/>
  <c r="F223" i="3"/>
  <c r="G223" i="3" s="1"/>
  <c r="J223" i="3" s="1"/>
  <c r="F224" i="3"/>
  <c r="G224" i="3" s="1"/>
  <c r="J224" i="3" s="1"/>
  <c r="F225" i="3"/>
  <c r="G225" i="3" s="1"/>
  <c r="J225" i="3" s="1"/>
  <c r="F226" i="3"/>
  <c r="F227" i="3"/>
  <c r="F228" i="3"/>
  <c r="F229" i="3"/>
  <c r="F230" i="3"/>
  <c r="G230" i="3" s="1"/>
  <c r="J230" i="3" s="1"/>
  <c r="F231" i="3"/>
  <c r="G231" i="3" s="1"/>
  <c r="J231" i="3" s="1"/>
  <c r="F232" i="3"/>
  <c r="G232" i="3" s="1"/>
  <c r="F233" i="3"/>
  <c r="G233" i="3" s="1"/>
  <c r="J233" i="3" s="1"/>
  <c r="F234" i="3"/>
  <c r="F235" i="3"/>
  <c r="G235" i="3" s="1"/>
  <c r="J235" i="3" s="1"/>
  <c r="F236" i="3"/>
  <c r="G236" i="3" s="1"/>
  <c r="J236" i="3" s="1"/>
  <c r="F237" i="3"/>
  <c r="G237" i="3" s="1"/>
  <c r="J237" i="3" s="1"/>
  <c r="F238" i="3"/>
  <c r="G238" i="3" s="1"/>
  <c r="J238" i="3" s="1"/>
  <c r="F239" i="3"/>
  <c r="G239" i="3" s="1"/>
  <c r="J239" i="3" s="1"/>
  <c r="F240" i="3"/>
  <c r="G240" i="3" s="1"/>
  <c r="J240" i="3" s="1"/>
  <c r="F241" i="3"/>
  <c r="G241" i="3" s="1"/>
  <c r="J241" i="3" s="1"/>
  <c r="F242" i="3"/>
  <c r="G242" i="3" s="1"/>
  <c r="J242" i="3" s="1"/>
  <c r="F243" i="3"/>
  <c r="F244" i="3"/>
  <c r="G244" i="3" s="1"/>
  <c r="J244" i="3" s="1"/>
  <c r="F245" i="3"/>
  <c r="G245" i="3" s="1"/>
  <c r="J245" i="3" s="1"/>
  <c r="F246" i="3"/>
  <c r="F247" i="3"/>
  <c r="F248" i="3"/>
  <c r="G248" i="3" s="1"/>
  <c r="J248" i="3" s="1"/>
  <c r="F249" i="3"/>
  <c r="G249" i="3" s="1"/>
  <c r="J249" i="3" s="1"/>
  <c r="F250" i="3"/>
  <c r="G250" i="3" s="1"/>
  <c r="J250" i="3" s="1"/>
  <c r="F251" i="3"/>
  <c r="G251" i="3" s="1"/>
  <c r="J251" i="3" s="1"/>
  <c r="F252" i="3"/>
  <c r="G252" i="3" s="1"/>
  <c r="J252" i="3" s="1"/>
  <c r="F253" i="3"/>
  <c r="G253" i="3" s="1"/>
  <c r="J253" i="3" s="1"/>
  <c r="F254" i="3"/>
  <c r="G254" i="3" s="1"/>
  <c r="J254" i="3" s="1"/>
  <c r="F255" i="3"/>
  <c r="G255" i="3" s="1"/>
  <c r="J255" i="3" s="1"/>
  <c r="F256" i="3"/>
  <c r="G256" i="3" s="1"/>
  <c r="J256" i="3" s="1"/>
  <c r="F257" i="3"/>
  <c r="G257" i="3" s="1"/>
  <c r="J257" i="3" s="1"/>
  <c r="F258" i="3"/>
  <c r="F259" i="3"/>
  <c r="F260" i="3"/>
  <c r="G260" i="3" s="1"/>
  <c r="J260" i="3" s="1"/>
  <c r="F261" i="3"/>
  <c r="G261" i="3" s="1"/>
  <c r="J261" i="3" s="1"/>
  <c r="F262" i="3"/>
  <c r="F263" i="3"/>
  <c r="F264" i="3"/>
  <c r="G264" i="3" s="1"/>
  <c r="J264" i="3" s="1"/>
  <c r="F265" i="3"/>
  <c r="G265" i="3" s="1"/>
  <c r="J265" i="3" s="1"/>
  <c r="F266" i="3"/>
  <c r="G266" i="3" s="1"/>
  <c r="J266" i="3" s="1"/>
  <c r="F267" i="3"/>
  <c r="G267" i="3" s="1"/>
  <c r="J267" i="3" s="1"/>
  <c r="F268" i="3"/>
  <c r="G268" i="3" s="1"/>
  <c r="F269" i="3"/>
  <c r="G269" i="3" s="1"/>
  <c r="J269" i="3" s="1"/>
  <c r="F270" i="3"/>
  <c r="G270" i="3" s="1"/>
  <c r="J270" i="3" s="1"/>
  <c r="F271" i="3"/>
  <c r="G271" i="3" s="1"/>
  <c r="J271" i="3" s="1"/>
  <c r="F272" i="3"/>
  <c r="G272" i="3" s="1"/>
  <c r="J272" i="3" s="1"/>
  <c r="F273" i="3"/>
  <c r="G273" i="3" s="1"/>
  <c r="J273" i="3" s="1"/>
  <c r="F274" i="3"/>
  <c r="G274" i="3" s="1"/>
  <c r="J274" i="3" s="1"/>
  <c r="F275" i="3"/>
  <c r="G275" i="3" s="1"/>
  <c r="J275" i="3" s="1"/>
  <c r="F276" i="3"/>
  <c r="G276" i="3" s="1"/>
  <c r="J276" i="3" s="1"/>
  <c r="F277" i="3"/>
  <c r="G277" i="3" s="1"/>
  <c r="J277" i="3" s="1"/>
  <c r="F278" i="3"/>
  <c r="G278" i="3" s="1"/>
  <c r="J278" i="3" s="1"/>
  <c r="F279" i="3"/>
  <c r="G279" i="3" s="1"/>
  <c r="J279" i="3" s="1"/>
  <c r="F280" i="3"/>
  <c r="G280" i="3" s="1"/>
  <c r="J280" i="3" s="1"/>
  <c r="F281" i="3"/>
  <c r="G281" i="3" s="1"/>
  <c r="J281" i="3" s="1"/>
  <c r="F282" i="3"/>
  <c r="F283" i="3"/>
  <c r="G283" i="3" s="1"/>
  <c r="J283" i="3" s="1"/>
  <c r="F284" i="3"/>
  <c r="G284" i="3" s="1"/>
  <c r="J284" i="3" s="1"/>
  <c r="F285" i="3"/>
  <c r="G285" i="3" s="1"/>
  <c r="J285" i="3" s="1"/>
  <c r="F286" i="3"/>
  <c r="G286" i="3" s="1"/>
  <c r="J286" i="3" s="1"/>
  <c r="F287" i="3"/>
  <c r="G287" i="3" s="1"/>
  <c r="J287" i="3" s="1"/>
  <c r="F288" i="3"/>
  <c r="G288" i="3" s="1"/>
  <c r="F289" i="3"/>
  <c r="G289" i="3" s="1"/>
  <c r="F290" i="3"/>
  <c r="F291" i="3"/>
  <c r="F292" i="3"/>
  <c r="G292" i="3" s="1"/>
  <c r="J292" i="3" s="1"/>
  <c r="F293" i="3"/>
  <c r="G293" i="3" s="1"/>
  <c r="J293" i="3" s="1"/>
  <c r="F294" i="3"/>
  <c r="F295" i="3"/>
  <c r="G295" i="3" s="1"/>
  <c r="J295" i="3" s="1"/>
  <c r="F296" i="3"/>
  <c r="G296" i="3" s="1"/>
  <c r="J296" i="3" s="1"/>
  <c r="F297" i="3"/>
  <c r="G297" i="3" s="1"/>
  <c r="J297" i="3" s="1"/>
  <c r="F298" i="3"/>
  <c r="F299" i="3"/>
  <c r="G299" i="3" s="1"/>
  <c r="J299" i="3" s="1"/>
  <c r="F300" i="3"/>
  <c r="G300" i="3" s="1"/>
  <c r="F301" i="3"/>
  <c r="G301" i="3" s="1"/>
  <c r="J301" i="3" s="1"/>
  <c r="F302" i="3"/>
  <c r="G302" i="3" s="1"/>
  <c r="J302" i="3" s="1"/>
  <c r="F303" i="3"/>
  <c r="G303" i="3" s="1"/>
  <c r="J303" i="3" s="1"/>
  <c r="F304" i="3"/>
  <c r="G304" i="3" s="1"/>
  <c r="J304" i="3" s="1"/>
  <c r="F305" i="3"/>
  <c r="G305" i="3" s="1"/>
  <c r="J305" i="3" s="1"/>
  <c r="F306" i="3"/>
  <c r="F307" i="3"/>
  <c r="F308" i="3"/>
  <c r="G308" i="3" s="1"/>
  <c r="J308" i="3" s="1"/>
  <c r="F309" i="3"/>
  <c r="G309" i="3" s="1"/>
  <c r="J309" i="3" s="1"/>
  <c r="F310" i="3"/>
  <c r="G310" i="3" s="1"/>
  <c r="J310" i="3" s="1"/>
  <c r="F311" i="3"/>
  <c r="G311" i="3" s="1"/>
  <c r="J311" i="3" s="1"/>
  <c r="F312" i="3"/>
  <c r="F313" i="3"/>
  <c r="F314" i="3"/>
  <c r="F315" i="3"/>
  <c r="G315" i="3" s="1"/>
  <c r="J315" i="3" s="1"/>
  <c r="F316" i="3"/>
  <c r="G316" i="3" s="1"/>
  <c r="J316" i="3" s="1"/>
  <c r="F317" i="3"/>
  <c r="G317" i="3" s="1"/>
  <c r="J317" i="3" s="1"/>
  <c r="F318" i="3"/>
  <c r="G318" i="3" s="1"/>
  <c r="J318" i="3" s="1"/>
  <c r="F319" i="3"/>
  <c r="G319" i="3" s="1"/>
  <c r="J319" i="3" s="1"/>
  <c r="F320" i="3"/>
  <c r="G320" i="3" s="1"/>
  <c r="J320" i="3" s="1"/>
  <c r="F321" i="3"/>
  <c r="G321" i="3" s="1"/>
  <c r="J321" i="3" s="1"/>
  <c r="F322" i="3"/>
  <c r="G322" i="3" s="1"/>
  <c r="J322" i="3" s="1"/>
  <c r="F323" i="3"/>
  <c r="G323" i="3" s="1"/>
  <c r="J323" i="3" s="1"/>
  <c r="F324" i="3"/>
  <c r="G324" i="3" s="1"/>
  <c r="J324" i="3" s="1"/>
  <c r="F325" i="3"/>
  <c r="F326" i="3"/>
  <c r="F327" i="3"/>
  <c r="F328" i="3"/>
  <c r="G328" i="3" s="1"/>
  <c r="J328" i="3" s="1"/>
  <c r="F329" i="3"/>
  <c r="G329" i="3" s="1"/>
  <c r="J329" i="3" s="1"/>
  <c r="F330" i="3"/>
  <c r="F331" i="3"/>
  <c r="F332" i="3"/>
  <c r="G332" i="3" s="1"/>
  <c r="J332" i="3" s="1"/>
  <c r="F333" i="3"/>
  <c r="G333" i="3" s="1"/>
  <c r="J333" i="3" s="1"/>
  <c r="F334" i="3"/>
  <c r="G334" i="3" s="1"/>
  <c r="F335" i="3"/>
  <c r="G335" i="3" s="1"/>
  <c r="F336" i="3"/>
  <c r="G336" i="3" s="1"/>
  <c r="J336" i="3" s="1"/>
  <c r="F337" i="3"/>
  <c r="G337" i="3" s="1"/>
  <c r="J337" i="3" s="1"/>
  <c r="F338" i="3"/>
  <c r="G338" i="3" s="1"/>
  <c r="J338" i="3" s="1"/>
  <c r="F339" i="3"/>
  <c r="F340" i="3"/>
  <c r="G340" i="3" s="1"/>
  <c r="F341" i="3"/>
  <c r="G341" i="3" s="1"/>
  <c r="J341" i="3" s="1"/>
  <c r="F342" i="3"/>
  <c r="F343" i="3"/>
  <c r="F344" i="3"/>
  <c r="G344" i="3" s="1"/>
  <c r="J344" i="3" s="1"/>
  <c r="F345" i="3"/>
  <c r="G345" i="3" s="1"/>
  <c r="J345" i="3" s="1"/>
  <c r="F346" i="3"/>
  <c r="F347" i="3"/>
  <c r="F348" i="3"/>
  <c r="F349" i="3"/>
  <c r="G349" i="3" s="1"/>
  <c r="J349" i="3" s="1"/>
  <c r="F350" i="3"/>
  <c r="G350" i="3" s="1"/>
  <c r="J350" i="3" s="1"/>
  <c r="F351" i="3"/>
  <c r="G351" i="3" s="1"/>
  <c r="J351" i="3" s="1"/>
  <c r="F352" i="3"/>
  <c r="G352" i="3" s="1"/>
  <c r="J352" i="3" s="1"/>
  <c r="F353" i="3"/>
  <c r="G353" i="3" s="1"/>
  <c r="J353" i="3" s="1"/>
  <c r="F354" i="3"/>
  <c r="G354" i="3" s="1"/>
  <c r="J354" i="3" s="1"/>
  <c r="F355" i="3"/>
  <c r="G355" i="3" s="1"/>
  <c r="J355" i="3" s="1"/>
  <c r="F356" i="3"/>
  <c r="G356" i="3" s="1"/>
  <c r="J356" i="3" s="1"/>
  <c r="F357" i="3"/>
  <c r="G357" i="3" s="1"/>
  <c r="J357" i="3" s="1"/>
  <c r="F358" i="3"/>
  <c r="G358" i="3" s="1"/>
  <c r="J358" i="3" s="1"/>
  <c r="F359" i="3"/>
  <c r="F360" i="3"/>
  <c r="F361" i="3"/>
  <c r="G361" i="3" s="1"/>
  <c r="J361" i="3" s="1"/>
  <c r="F362" i="3"/>
  <c r="G362" i="3" s="1"/>
  <c r="J362" i="3" s="1"/>
  <c r="F363" i="3"/>
  <c r="F364" i="3"/>
  <c r="G364" i="3" s="1"/>
  <c r="J364" i="3" s="1"/>
  <c r="F365" i="3"/>
  <c r="G365" i="3" s="1"/>
  <c r="J365" i="3" s="1"/>
  <c r="F366" i="3"/>
  <c r="G366" i="3" s="1"/>
  <c r="J366" i="3" s="1"/>
  <c r="F367" i="3"/>
  <c r="G367" i="3" s="1"/>
  <c r="J367" i="3" s="1"/>
  <c r="F368" i="3"/>
  <c r="G368" i="3" s="1"/>
  <c r="J368" i="3" s="1"/>
  <c r="F369" i="3"/>
  <c r="G369" i="3" s="1"/>
  <c r="J369" i="3" s="1"/>
  <c r="F370" i="3"/>
  <c r="G370" i="3" s="1"/>
  <c r="J370" i="3" s="1"/>
  <c r="F371" i="3"/>
  <c r="G371" i="3" s="1"/>
  <c r="J371" i="3" s="1"/>
  <c r="F372" i="3"/>
  <c r="G372" i="3" s="1"/>
  <c r="J372" i="3" s="1"/>
  <c r="F373" i="3"/>
  <c r="G373" i="3" s="1"/>
  <c r="J373" i="3" s="1"/>
  <c r="F374" i="3"/>
  <c r="G374" i="3" s="1"/>
  <c r="J374" i="3" s="1"/>
  <c r="F375" i="3"/>
  <c r="F376" i="3"/>
  <c r="G376" i="3" s="1"/>
  <c r="F377" i="3"/>
  <c r="G377" i="3" s="1"/>
  <c r="J377" i="3" s="1"/>
  <c r="F378" i="3"/>
  <c r="F379" i="3"/>
  <c r="F380" i="3"/>
  <c r="G380" i="3" s="1"/>
  <c r="J380" i="3" s="1"/>
  <c r="F381" i="3"/>
  <c r="G381" i="3" s="1"/>
  <c r="J381" i="3" s="1"/>
  <c r="F382" i="3"/>
  <c r="G382" i="3" s="1"/>
  <c r="J382" i="3" s="1"/>
  <c r="F383" i="3"/>
  <c r="F384" i="3"/>
  <c r="F385" i="3"/>
  <c r="G385" i="3" s="1"/>
  <c r="J385" i="3" s="1"/>
  <c r="F386" i="3"/>
  <c r="G386" i="3" s="1"/>
  <c r="J386" i="3" s="1"/>
  <c r="F387" i="3"/>
  <c r="G387" i="3" s="1"/>
  <c r="J387" i="3" s="1"/>
  <c r="F388" i="3"/>
  <c r="G388" i="3" s="1"/>
  <c r="J388" i="3" s="1"/>
  <c r="F389" i="3"/>
  <c r="G389" i="3" s="1"/>
  <c r="J389" i="3" s="1"/>
  <c r="F390" i="3"/>
  <c r="G390" i="3" s="1"/>
  <c r="J390" i="3" s="1"/>
  <c r="F391" i="3"/>
  <c r="G391" i="3" s="1"/>
  <c r="J391" i="3" s="1"/>
  <c r="F392" i="3"/>
  <c r="G392" i="3" s="1"/>
  <c r="J392" i="3" s="1"/>
  <c r="F393" i="3"/>
  <c r="G393" i="3" s="1"/>
  <c r="J393" i="3" s="1"/>
  <c r="F394" i="3"/>
  <c r="F395" i="3"/>
  <c r="G395" i="3" s="1"/>
  <c r="F396" i="3"/>
  <c r="G396" i="3" s="1"/>
  <c r="J396" i="3" s="1"/>
  <c r="F397" i="3"/>
  <c r="G397" i="3" s="1"/>
  <c r="J397" i="3" s="1"/>
  <c r="F398" i="3"/>
  <c r="G398" i="3" s="1"/>
  <c r="J398" i="3" s="1"/>
  <c r="F399" i="3"/>
  <c r="F400" i="3"/>
  <c r="G400" i="3" s="1"/>
  <c r="J400" i="3" s="1"/>
  <c r="F401" i="3"/>
  <c r="G401" i="3" s="1"/>
  <c r="J401" i="3" s="1"/>
  <c r="F402" i="3"/>
  <c r="F403" i="3"/>
  <c r="G403" i="3" s="1"/>
  <c r="J403" i="3" s="1"/>
  <c r="F404" i="3"/>
  <c r="G404" i="3" s="1"/>
  <c r="J404" i="3" s="1"/>
  <c r="F405" i="3"/>
  <c r="G405" i="3" s="1"/>
  <c r="J405" i="3" s="1"/>
  <c r="F406" i="3"/>
  <c r="G406" i="3" s="1"/>
  <c r="J406" i="3" s="1"/>
  <c r="F407" i="3"/>
  <c r="G407" i="3" s="1"/>
  <c r="J407" i="3" s="1"/>
  <c r="F408" i="3"/>
  <c r="G408" i="3" s="1"/>
  <c r="J408" i="3" s="1"/>
  <c r="F409" i="3"/>
  <c r="G409" i="3" s="1"/>
  <c r="J409" i="3" s="1"/>
  <c r="F410" i="3"/>
  <c r="G410" i="3" s="1"/>
  <c r="J410" i="3" s="1"/>
  <c r="F411" i="3"/>
  <c r="F412" i="3"/>
  <c r="G412" i="3" s="1"/>
  <c r="J412" i="3" s="1"/>
  <c r="F413" i="3"/>
  <c r="G413" i="3" s="1"/>
  <c r="J413" i="3" s="1"/>
  <c r="F414" i="3"/>
  <c r="G414" i="3" s="1"/>
  <c r="J414" i="3" s="1"/>
  <c r="F415" i="3"/>
  <c r="F416" i="3"/>
  <c r="G416" i="3" s="1"/>
  <c r="J416" i="3" s="1"/>
  <c r="F417" i="3"/>
  <c r="G417" i="3" s="1"/>
  <c r="J417" i="3" s="1"/>
  <c r="F418" i="3"/>
  <c r="F419" i="3"/>
  <c r="G419" i="3" s="1"/>
  <c r="J419" i="3" s="1"/>
  <c r="F420" i="3"/>
  <c r="G420" i="3" s="1"/>
  <c r="J420" i="3" s="1"/>
  <c r="F421" i="3"/>
  <c r="G421" i="3" s="1"/>
  <c r="J421" i="3" s="1"/>
  <c r="F422" i="3"/>
  <c r="G422" i="3" s="1"/>
  <c r="J422" i="3" s="1"/>
  <c r="F423" i="3"/>
  <c r="G423" i="3" s="1"/>
  <c r="J423" i="3" s="1"/>
  <c r="F424" i="3"/>
  <c r="G424" i="3" s="1"/>
  <c r="J424" i="3" s="1"/>
  <c r="F425" i="3"/>
  <c r="G425" i="3" s="1"/>
  <c r="J425" i="3" s="1"/>
  <c r="F426" i="3"/>
  <c r="F427" i="3"/>
  <c r="F428" i="3"/>
  <c r="G428" i="3" s="1"/>
  <c r="J428" i="3" s="1"/>
  <c r="F429" i="3"/>
  <c r="G429" i="3" s="1"/>
  <c r="J429" i="3" s="1"/>
  <c r="F430" i="3"/>
  <c r="G430" i="3" s="1"/>
  <c r="J430" i="3" s="1"/>
  <c r="F431" i="3"/>
  <c r="G431" i="3" s="1"/>
  <c r="J431" i="3" s="1"/>
  <c r="F432" i="3"/>
  <c r="G432" i="3" s="1"/>
  <c r="J432" i="3" s="1"/>
  <c r="F433" i="3"/>
  <c r="G433" i="3" s="1"/>
  <c r="J433" i="3" s="1"/>
  <c r="F434" i="3"/>
  <c r="F435" i="3"/>
  <c r="G435" i="3" s="1"/>
  <c r="J435" i="3" s="1"/>
  <c r="F436" i="3"/>
  <c r="G436" i="3" s="1"/>
  <c r="J436" i="3" s="1"/>
  <c r="F437" i="3"/>
  <c r="G437" i="3" s="1"/>
  <c r="J437" i="3" s="1"/>
  <c r="F438" i="3"/>
  <c r="G438" i="3" s="1"/>
  <c r="J438" i="3" s="1"/>
  <c r="F439" i="3"/>
  <c r="G439" i="3" s="1"/>
  <c r="J439" i="3" s="1"/>
  <c r="F440" i="3"/>
  <c r="G440" i="3" s="1"/>
  <c r="J440" i="3" s="1"/>
  <c r="F441" i="3"/>
  <c r="G441" i="3" s="1"/>
  <c r="J441" i="3" s="1"/>
  <c r="F442" i="3"/>
  <c r="G442" i="3" s="1"/>
  <c r="J442" i="3" s="1"/>
  <c r="F443" i="3"/>
  <c r="G443" i="3" s="1"/>
  <c r="J443" i="3" s="1"/>
  <c r="F444" i="3"/>
  <c r="F445" i="3"/>
  <c r="F446" i="3"/>
  <c r="F447" i="3"/>
  <c r="F448" i="3"/>
  <c r="F449" i="3"/>
  <c r="F450" i="3"/>
  <c r="G450" i="3" s="1"/>
  <c r="J450" i="3" s="1"/>
  <c r="F451" i="3"/>
  <c r="G451" i="3" s="1"/>
  <c r="J451" i="3" s="1"/>
  <c r="F452" i="3"/>
  <c r="G452" i="3" s="1"/>
  <c r="J452" i="3" s="1"/>
  <c r="F453" i="3"/>
  <c r="G453" i="3" s="1"/>
  <c r="J453" i="3" s="1"/>
  <c r="F454" i="3"/>
  <c r="G454" i="3" s="1"/>
  <c r="J454" i="3" s="1"/>
  <c r="F455" i="3"/>
  <c r="G455" i="3" s="1"/>
  <c r="J455" i="3" s="1"/>
  <c r="F456" i="3"/>
  <c r="G456" i="3" s="1"/>
  <c r="J456" i="3" s="1"/>
  <c r="F457" i="3"/>
  <c r="G457" i="3" s="1"/>
  <c r="J457" i="3" s="1"/>
  <c r="F458" i="3"/>
  <c r="G458" i="3" s="1"/>
  <c r="J458" i="3" s="1"/>
  <c r="F459" i="3"/>
  <c r="F460" i="3"/>
  <c r="F461" i="3"/>
  <c r="F462" i="3"/>
  <c r="G462" i="3" s="1"/>
  <c r="J462" i="3" s="1"/>
  <c r="F463" i="3"/>
  <c r="F464" i="3"/>
  <c r="G464" i="3" s="1"/>
  <c r="J464" i="3" s="1"/>
  <c r="F465" i="3"/>
  <c r="G465" i="3" s="1"/>
  <c r="J465" i="3" s="1"/>
  <c r="F466" i="3"/>
  <c r="G466" i="3" s="1"/>
  <c r="J466" i="3" s="1"/>
  <c r="F467" i="3"/>
  <c r="G467" i="3" s="1"/>
  <c r="J467" i="3" s="1"/>
  <c r="F468" i="3"/>
  <c r="G468" i="3" s="1"/>
  <c r="J468" i="3" s="1"/>
  <c r="F469" i="3"/>
  <c r="G469" i="3" s="1"/>
  <c r="J469" i="3" s="1"/>
  <c r="F470" i="3"/>
  <c r="G470" i="3" s="1"/>
  <c r="J470" i="3" s="1"/>
  <c r="F471" i="3"/>
  <c r="F472" i="3"/>
  <c r="F473" i="3"/>
  <c r="F474" i="3"/>
  <c r="G474" i="3" s="1"/>
  <c r="F475" i="3"/>
  <c r="F476" i="3"/>
  <c r="G476" i="3" s="1"/>
  <c r="J476" i="3" s="1"/>
  <c r="F477" i="3"/>
  <c r="G477" i="3" s="1"/>
  <c r="J477" i="3" s="1"/>
  <c r="F478" i="3"/>
  <c r="G478" i="3" s="1"/>
  <c r="J478" i="3" s="1"/>
  <c r="F479" i="3"/>
  <c r="G479" i="3" s="1"/>
  <c r="J479" i="3" s="1"/>
  <c r="F480" i="3"/>
  <c r="G480" i="3" s="1"/>
  <c r="J480" i="3" s="1"/>
  <c r="F481" i="3"/>
  <c r="G481" i="3" s="1"/>
  <c r="J481" i="3" s="1"/>
  <c r="F482" i="3"/>
  <c r="G482" i="3" s="1"/>
  <c r="J482" i="3" s="1"/>
  <c r="F483" i="3"/>
  <c r="G483" i="3" s="1"/>
  <c r="J483" i="3" s="1"/>
  <c r="F484" i="3"/>
  <c r="F485" i="3"/>
  <c r="F486" i="3"/>
  <c r="G486" i="3" s="1"/>
  <c r="J486" i="3" s="1"/>
  <c r="F487" i="3"/>
  <c r="F488" i="3"/>
  <c r="G488" i="3" s="1"/>
  <c r="J488" i="3" s="1"/>
  <c r="F489" i="3"/>
  <c r="G489" i="3" s="1"/>
  <c r="J489" i="3" s="1"/>
  <c r="F490" i="3"/>
  <c r="F491" i="3"/>
  <c r="F492" i="3"/>
  <c r="F493" i="3"/>
  <c r="G493" i="3" s="1"/>
  <c r="J493" i="3" s="1"/>
  <c r="F494" i="3"/>
  <c r="G494" i="3" s="1"/>
  <c r="J494" i="3" s="1"/>
  <c r="F495" i="3"/>
  <c r="G495" i="3" s="1"/>
  <c r="J495" i="3" s="1"/>
  <c r="F496" i="3"/>
  <c r="G496" i="3" s="1"/>
  <c r="J496" i="3" s="1"/>
  <c r="F497" i="3"/>
  <c r="G497" i="3" s="1"/>
  <c r="J497" i="3" s="1"/>
  <c r="F498" i="3"/>
  <c r="G498" i="3" s="1"/>
  <c r="J498" i="3" s="1"/>
  <c r="F499" i="3"/>
  <c r="G499" i="3" s="1"/>
  <c r="J499" i="3" s="1"/>
  <c r="F500" i="3"/>
  <c r="G500" i="3" s="1"/>
  <c r="J500" i="3" s="1"/>
  <c r="F501" i="3"/>
  <c r="G501" i="3" s="1"/>
  <c r="J501" i="3" s="1"/>
  <c r="F502" i="3"/>
  <c r="F503" i="3"/>
  <c r="F504" i="3"/>
  <c r="G504" i="3" s="1"/>
  <c r="J504" i="3" s="1"/>
  <c r="F505" i="3"/>
  <c r="G505" i="3" s="1"/>
  <c r="J505" i="3" s="1"/>
  <c r="F506" i="3"/>
  <c r="G506" i="3" s="1"/>
  <c r="J506" i="3" s="1"/>
  <c r="F507" i="3"/>
  <c r="G507" i="3" s="1"/>
  <c r="J507" i="3" s="1"/>
  <c r="F508" i="3"/>
  <c r="G508" i="3" s="1"/>
  <c r="J508" i="3" s="1"/>
  <c r="F509" i="3"/>
  <c r="G509" i="3" s="1"/>
  <c r="J509" i="3" s="1"/>
  <c r="F510" i="3"/>
  <c r="G510" i="3" s="1"/>
  <c r="F511" i="3"/>
  <c r="G511" i="3" s="1"/>
  <c r="J511" i="3" s="1"/>
  <c r="F512" i="3"/>
  <c r="G512" i="3" s="1"/>
  <c r="J512" i="3" s="1"/>
  <c r="F513" i="3"/>
  <c r="G513" i="3" s="1"/>
  <c r="J513" i="3" s="1"/>
  <c r="F514" i="3"/>
  <c r="G514" i="3" s="1"/>
  <c r="J514" i="3" s="1"/>
  <c r="F515" i="3"/>
  <c r="G515" i="3" s="1"/>
  <c r="J515" i="3" s="1"/>
  <c r="F516" i="3"/>
  <c r="G516" i="3" s="1"/>
  <c r="J516" i="3" s="1"/>
  <c r="F517" i="3"/>
  <c r="F518" i="3"/>
  <c r="F519" i="3"/>
  <c r="F520" i="3"/>
  <c r="F521" i="3"/>
  <c r="G521" i="3" s="1"/>
  <c r="J521" i="3" s="1"/>
  <c r="F522" i="3"/>
  <c r="G522" i="3" s="1"/>
  <c r="J522" i="3" s="1"/>
  <c r="F523" i="3"/>
  <c r="G523" i="3" s="1"/>
  <c r="J523" i="3" s="1"/>
  <c r="F524" i="3"/>
  <c r="G524" i="3" s="1"/>
  <c r="J524" i="3" s="1"/>
  <c r="F525" i="3"/>
  <c r="G525" i="3" s="1"/>
  <c r="J525" i="3" s="1"/>
  <c r="F526" i="3"/>
  <c r="G526" i="3" s="1"/>
  <c r="J526" i="3" s="1"/>
  <c r="F527" i="3"/>
  <c r="G527" i="3" s="1"/>
  <c r="J527" i="3" s="1"/>
  <c r="F528" i="3"/>
  <c r="G528" i="3" s="1"/>
  <c r="J528" i="3" s="1"/>
  <c r="F529" i="3"/>
  <c r="F530" i="3"/>
  <c r="F531" i="3"/>
  <c r="F532" i="3"/>
  <c r="F533" i="3"/>
  <c r="F534" i="3"/>
  <c r="G534" i="3" s="1"/>
  <c r="F535" i="3"/>
  <c r="G535" i="3" s="1"/>
  <c r="J535" i="3" s="1"/>
  <c r="F536" i="3"/>
  <c r="G536" i="3" s="1"/>
  <c r="J536" i="3" s="1"/>
  <c r="F537" i="3"/>
  <c r="G537" i="3" s="1"/>
  <c r="J537" i="3" s="1"/>
  <c r="F538" i="3"/>
  <c r="G538" i="3" s="1"/>
  <c r="J538" i="3" s="1"/>
  <c r="F539" i="3"/>
  <c r="G539" i="3" s="1"/>
  <c r="J539" i="3" s="1"/>
  <c r="F540" i="3"/>
  <c r="G540" i="3" s="1"/>
  <c r="J540" i="3" s="1"/>
  <c r="F541" i="3"/>
  <c r="G541" i="3" s="1"/>
  <c r="J541" i="3" s="1"/>
  <c r="F542" i="3"/>
  <c r="G542" i="3" s="1"/>
  <c r="J542" i="3" s="1"/>
  <c r="F543" i="3"/>
  <c r="F544" i="3"/>
  <c r="F545" i="3"/>
  <c r="F546" i="3"/>
  <c r="G546" i="3" s="1"/>
  <c r="J546" i="3" s="1"/>
  <c r="F547" i="3"/>
  <c r="F548" i="3"/>
  <c r="G548" i="3" s="1"/>
  <c r="J548" i="3" s="1"/>
  <c r="F549" i="3"/>
  <c r="G549" i="3" s="1"/>
  <c r="J549" i="3" s="1"/>
  <c r="F550" i="3"/>
  <c r="F551" i="3"/>
  <c r="G551" i="3" s="1"/>
  <c r="J551" i="3" s="1"/>
  <c r="F552" i="3"/>
  <c r="G552" i="3" s="1"/>
  <c r="J552" i="3" s="1"/>
  <c r="F553" i="3"/>
  <c r="G553" i="3" s="1"/>
  <c r="J553" i="3" s="1"/>
  <c r="F554" i="3"/>
  <c r="G554" i="3" s="1"/>
  <c r="J554" i="3" s="1"/>
  <c r="F555" i="3"/>
  <c r="F556" i="3"/>
  <c r="F557" i="3"/>
  <c r="F558" i="3"/>
  <c r="G558" i="3" s="1"/>
  <c r="F559" i="3"/>
  <c r="F560" i="3"/>
  <c r="G560" i="3" s="1"/>
  <c r="J560" i="3" s="1"/>
  <c r="F561" i="3"/>
  <c r="G561" i="3" s="1"/>
  <c r="J561" i="3" s="1"/>
  <c r="F562" i="3"/>
  <c r="G562" i="3" s="1"/>
  <c r="J562" i="3" s="1"/>
  <c r="F563" i="3"/>
  <c r="G563" i="3" s="1"/>
  <c r="J563" i="3" s="1"/>
  <c r="F564" i="3"/>
  <c r="G564" i="3" s="1"/>
  <c r="J564" i="3" s="1"/>
  <c r="F565" i="3"/>
  <c r="G565" i="3" s="1"/>
  <c r="F566" i="3"/>
  <c r="G566" i="3" s="1"/>
  <c r="J566" i="3" s="1"/>
  <c r="F567" i="3"/>
  <c r="G567" i="3" s="1"/>
  <c r="J567" i="3" s="1"/>
  <c r="F568" i="3"/>
  <c r="G568" i="3" s="1"/>
  <c r="J568" i="3" s="1"/>
  <c r="F569" i="3"/>
  <c r="G569" i="3" s="1"/>
  <c r="J569" i="3" s="1"/>
  <c r="F570" i="3"/>
  <c r="G570" i="3" s="1"/>
  <c r="J570" i="3" s="1"/>
  <c r="F571" i="3"/>
  <c r="F572" i="3"/>
  <c r="G572" i="3" s="1"/>
  <c r="J572" i="3" s="1"/>
  <c r="F573" i="3"/>
  <c r="G573" i="3" s="1"/>
  <c r="J573" i="3" s="1"/>
  <c r="F574" i="3"/>
  <c r="G574" i="3" s="1"/>
  <c r="F575" i="3"/>
  <c r="F576" i="3"/>
  <c r="F577" i="3"/>
  <c r="F578" i="3"/>
  <c r="F579" i="3"/>
  <c r="G579" i="3" s="1"/>
  <c r="J579" i="3" s="1"/>
  <c r="F580" i="3"/>
  <c r="G580" i="3" s="1"/>
  <c r="J580" i="3" s="1"/>
  <c r="F581" i="3"/>
  <c r="G581" i="3" s="1"/>
  <c r="J581" i="3" s="1"/>
  <c r="F582" i="3"/>
  <c r="G582" i="3" s="1"/>
  <c r="J582" i="3" s="1"/>
  <c r="F583" i="3"/>
  <c r="G583" i="3" s="1"/>
  <c r="J583" i="3" s="1"/>
  <c r="F584" i="3"/>
  <c r="G584" i="3" s="1"/>
  <c r="J584" i="3" s="1"/>
  <c r="F585" i="3"/>
  <c r="G585" i="3" s="1"/>
  <c r="J585" i="3" s="1"/>
  <c r="F586" i="3"/>
  <c r="G586" i="3" s="1"/>
  <c r="J586" i="3" s="1"/>
  <c r="F587" i="3"/>
  <c r="G587" i="3" s="1"/>
  <c r="J587" i="3" s="1"/>
  <c r="F588" i="3"/>
  <c r="G588" i="3" s="1"/>
  <c r="J588" i="3" s="1"/>
  <c r="F589" i="3"/>
  <c r="G589" i="3" s="1"/>
  <c r="J589" i="3" s="1"/>
  <c r="F590" i="3"/>
  <c r="G590" i="3" s="1"/>
  <c r="J590" i="3" s="1"/>
  <c r="F591" i="3"/>
  <c r="F592" i="3"/>
  <c r="F593" i="3"/>
  <c r="G593" i="3" s="1"/>
  <c r="J593" i="3" s="1"/>
  <c r="F594" i="3"/>
  <c r="G594" i="3" s="1"/>
  <c r="F595" i="3"/>
  <c r="G595" i="3" s="1"/>
  <c r="J595" i="3" s="1"/>
  <c r="F596" i="3"/>
  <c r="G596" i="3" s="1"/>
  <c r="J596" i="3" s="1"/>
  <c r="F597" i="3"/>
  <c r="G597" i="3" s="1"/>
  <c r="J597" i="3" s="1"/>
  <c r="F598" i="3"/>
  <c r="G598" i="3" s="1"/>
  <c r="F599" i="3"/>
  <c r="G599" i="3" s="1"/>
  <c r="J599" i="3" s="1"/>
  <c r="F600" i="3"/>
  <c r="G600" i="3" s="1"/>
  <c r="J600" i="3" s="1"/>
  <c r="F601" i="3"/>
  <c r="F602" i="3"/>
  <c r="F603" i="3"/>
  <c r="F604" i="3"/>
  <c r="F605" i="3"/>
  <c r="F606" i="3"/>
  <c r="G606" i="3" s="1"/>
  <c r="J606" i="3" s="1"/>
  <c r="F607" i="3"/>
  <c r="F608" i="3"/>
  <c r="G608" i="3" s="1"/>
  <c r="J608" i="3" s="1"/>
  <c r="F609" i="3"/>
  <c r="G609" i="3" s="1"/>
  <c r="J609" i="3" s="1"/>
  <c r="F610" i="3"/>
  <c r="G610" i="3" s="1"/>
  <c r="J610" i="3" s="1"/>
  <c r="F611" i="3"/>
  <c r="G611" i="3" s="1"/>
  <c r="J611" i="3" s="1"/>
  <c r="F612" i="3"/>
  <c r="G612" i="3" s="1"/>
  <c r="J612" i="3" s="1"/>
  <c r="F613" i="3"/>
  <c r="G613" i="3" s="1"/>
  <c r="J613" i="3" s="1"/>
  <c r="F614" i="3"/>
  <c r="G614" i="3" s="1"/>
  <c r="J614" i="3" s="1"/>
  <c r="F615" i="3"/>
  <c r="F616" i="3"/>
  <c r="F617" i="3"/>
  <c r="F618" i="3"/>
  <c r="G618" i="3" s="1"/>
  <c r="J618" i="3" s="1"/>
  <c r="F619" i="3"/>
  <c r="F620" i="3"/>
  <c r="G620" i="3" s="1"/>
  <c r="J620" i="3" s="1"/>
  <c r="F621" i="3"/>
  <c r="G621" i="3" s="1"/>
  <c r="J621" i="3" s="1"/>
  <c r="F622" i="3"/>
  <c r="G622" i="3" s="1"/>
  <c r="J622" i="3" s="1"/>
  <c r="F623" i="3"/>
  <c r="G623" i="3" s="1"/>
  <c r="J623" i="3" s="1"/>
  <c r="F624" i="3"/>
  <c r="G624" i="3" s="1"/>
  <c r="J624" i="3" s="1"/>
  <c r="F625" i="3"/>
  <c r="G625" i="3" s="1"/>
  <c r="J625" i="3" s="1"/>
  <c r="F626" i="3"/>
  <c r="G626" i="3" s="1"/>
  <c r="J626" i="3" s="1"/>
  <c r="F627" i="3"/>
  <c r="F628" i="3"/>
  <c r="F629" i="3"/>
  <c r="F630" i="3"/>
  <c r="G630" i="3" s="1"/>
  <c r="F631" i="3"/>
  <c r="F632" i="3"/>
  <c r="F633" i="3"/>
  <c r="G633" i="3" s="1"/>
  <c r="J633" i="3" s="1"/>
  <c r="F634" i="3"/>
  <c r="G634" i="3" s="1"/>
  <c r="J634" i="3" s="1"/>
  <c r="F635" i="3"/>
  <c r="G635" i="3" s="1"/>
  <c r="J635" i="3" s="1"/>
  <c r="F636" i="3"/>
  <c r="G636" i="3" s="1"/>
  <c r="F637" i="3"/>
  <c r="G637" i="3" s="1"/>
  <c r="F638" i="3"/>
  <c r="G638" i="3" s="1"/>
  <c r="J638" i="3" s="1"/>
  <c r="F639" i="3"/>
  <c r="G639" i="3" s="1"/>
  <c r="J639" i="3" s="1"/>
  <c r="F640" i="3"/>
  <c r="G640" i="3" s="1"/>
  <c r="F641" i="3"/>
  <c r="G641" i="3" s="1"/>
  <c r="J641" i="3" s="1"/>
  <c r="F642" i="3"/>
  <c r="G642" i="3" s="1"/>
  <c r="F643" i="3"/>
  <c r="F644" i="3"/>
  <c r="G644" i="3" s="1"/>
  <c r="J644" i="3" s="1"/>
  <c r="F645" i="3"/>
  <c r="G645" i="3" s="1"/>
  <c r="J645" i="3" s="1"/>
  <c r="F646" i="3"/>
  <c r="F647" i="3"/>
  <c r="F648" i="3"/>
  <c r="F649" i="3"/>
  <c r="F650" i="3"/>
  <c r="G650" i="3" s="1"/>
  <c r="J650" i="3" s="1"/>
  <c r="F651" i="3"/>
  <c r="G651" i="3" s="1"/>
  <c r="J651" i="3" s="1"/>
  <c r="F652" i="3"/>
  <c r="G652" i="3" s="1"/>
  <c r="J652" i="3" s="1"/>
  <c r="F653" i="3"/>
  <c r="G653" i="3" s="1"/>
  <c r="J653" i="3" s="1"/>
  <c r="F654" i="3"/>
  <c r="G654" i="3" s="1"/>
  <c r="F655" i="3"/>
  <c r="G655" i="3" s="1"/>
  <c r="J655" i="3" s="1"/>
  <c r="F656" i="3"/>
  <c r="G656" i="3" s="1"/>
  <c r="J656" i="3" s="1"/>
  <c r="F657" i="3"/>
  <c r="G657" i="3" s="1"/>
  <c r="J657" i="3" s="1"/>
  <c r="F658" i="3"/>
  <c r="F659" i="3"/>
  <c r="F660" i="3"/>
  <c r="F661" i="3"/>
  <c r="G661" i="3" s="1"/>
  <c r="J661" i="3" s="1"/>
  <c r="F662" i="3"/>
  <c r="G662" i="3" s="1"/>
  <c r="J662" i="3" s="1"/>
  <c r="F663" i="3"/>
  <c r="F664" i="3"/>
  <c r="G664" i="3" s="1"/>
  <c r="J664" i="3" s="1"/>
  <c r="F665" i="3"/>
  <c r="G665" i="3" s="1"/>
  <c r="J665" i="3" s="1"/>
  <c r="F666" i="3"/>
  <c r="G666" i="3" s="1"/>
  <c r="J666" i="3" s="1"/>
  <c r="F667" i="3"/>
  <c r="G667" i="3" s="1"/>
  <c r="J667" i="3" s="1"/>
  <c r="F668" i="3"/>
  <c r="G668" i="3" s="1"/>
  <c r="J668" i="3" s="1"/>
  <c r="F669" i="3"/>
  <c r="G669" i="3" s="1"/>
  <c r="J669" i="3" s="1"/>
  <c r="F670" i="3"/>
  <c r="G670" i="3" s="1"/>
  <c r="J670" i="3" s="1"/>
  <c r="F671" i="3"/>
  <c r="G671" i="3" s="1"/>
  <c r="J671" i="3" s="1"/>
  <c r="F672" i="3"/>
  <c r="G672" i="3" s="1"/>
  <c r="J672" i="3" s="1"/>
  <c r="F673" i="3"/>
  <c r="F674" i="3"/>
  <c r="F675" i="3"/>
  <c r="F676" i="3"/>
  <c r="F677" i="3"/>
  <c r="G677" i="3" s="1"/>
  <c r="J677" i="3" s="1"/>
  <c r="F678" i="3"/>
  <c r="G678" i="3" s="1"/>
  <c r="J678" i="3" s="1"/>
  <c r="F679" i="3"/>
  <c r="G679" i="3" s="1"/>
  <c r="J679" i="3" s="1"/>
  <c r="F680" i="3"/>
  <c r="G680" i="3" s="1"/>
  <c r="J680" i="3" s="1"/>
  <c r="F681" i="3"/>
  <c r="G681" i="3" s="1"/>
  <c r="J681" i="3" s="1"/>
  <c r="F682" i="3"/>
  <c r="G682" i="3" s="1"/>
  <c r="J682" i="3" s="1"/>
  <c r="F683" i="3"/>
  <c r="G683" i="3" s="1"/>
  <c r="J683" i="3" s="1"/>
  <c r="F684" i="3"/>
  <c r="F685" i="3"/>
  <c r="F686" i="3"/>
  <c r="F687" i="3"/>
  <c r="F688" i="3"/>
  <c r="F689" i="3"/>
  <c r="G689" i="3" s="1"/>
  <c r="J689" i="3" s="1"/>
  <c r="F690" i="3"/>
  <c r="F691" i="3"/>
  <c r="G691" i="3" s="1"/>
  <c r="J691" i="3" s="1"/>
  <c r="F692" i="3"/>
  <c r="G692" i="3" s="1"/>
  <c r="J692" i="3" s="1"/>
  <c r="F693" i="3"/>
  <c r="G693" i="3" s="1"/>
  <c r="J693" i="3" s="1"/>
  <c r="F694" i="3"/>
  <c r="G694" i="3" s="1"/>
  <c r="J694" i="3" s="1"/>
  <c r="F695" i="3"/>
  <c r="G695" i="3" s="1"/>
  <c r="F696" i="3"/>
  <c r="G696" i="3" s="1"/>
  <c r="J696" i="3" s="1"/>
  <c r="F697" i="3"/>
  <c r="G697" i="3" s="1"/>
  <c r="J697" i="3" s="1"/>
  <c r="F698" i="3"/>
  <c r="G698" i="3" s="1"/>
  <c r="J698" i="3" s="1"/>
  <c r="F699" i="3"/>
  <c r="F700" i="3"/>
  <c r="F701" i="3"/>
  <c r="G701" i="3" s="1"/>
  <c r="J701" i="3" s="1"/>
  <c r="F702" i="3"/>
  <c r="F703" i="3"/>
  <c r="F704" i="3"/>
  <c r="G704" i="3" s="1"/>
  <c r="J704" i="3" s="1"/>
  <c r="F705" i="3"/>
  <c r="G705" i="3" s="1"/>
  <c r="J705" i="3" s="1"/>
  <c r="F706" i="3"/>
  <c r="G706" i="3" s="1"/>
  <c r="J706" i="3" s="1"/>
  <c r="F707" i="3"/>
  <c r="G707" i="3" s="1"/>
  <c r="J707" i="3" s="1"/>
  <c r="F708" i="3"/>
  <c r="G708" i="3" s="1"/>
  <c r="J708" i="3" s="1"/>
  <c r="F709" i="3"/>
  <c r="G709" i="3" s="1"/>
  <c r="J709" i="3" s="1"/>
  <c r="F710" i="3"/>
  <c r="F711" i="3"/>
  <c r="F712" i="3"/>
  <c r="F713" i="3"/>
  <c r="G713" i="3" s="1"/>
  <c r="J713" i="3" s="1"/>
  <c r="F714" i="3"/>
  <c r="F715" i="3"/>
  <c r="F716" i="3"/>
  <c r="G716" i="3" s="1"/>
  <c r="J716" i="3" s="1"/>
  <c r="F717" i="3"/>
  <c r="G717" i="3" s="1"/>
  <c r="J717" i="3" s="1"/>
  <c r="F718" i="3"/>
  <c r="G718" i="3" s="1"/>
  <c r="F719" i="3"/>
  <c r="G719" i="3" s="1"/>
  <c r="F720" i="3"/>
  <c r="G720" i="3" s="1"/>
  <c r="J720" i="3" s="1"/>
  <c r="F721" i="3"/>
  <c r="G721" i="3" s="1"/>
  <c r="F722" i="3"/>
  <c r="G722" i="3" s="1"/>
  <c r="J722" i="3" s="1"/>
  <c r="F723" i="3"/>
  <c r="F724" i="3"/>
  <c r="F725" i="3"/>
  <c r="G725" i="3" s="1"/>
  <c r="J725" i="3" s="1"/>
  <c r="F726" i="3"/>
  <c r="F727" i="3"/>
  <c r="F728" i="3"/>
  <c r="G728" i="3" s="1"/>
  <c r="J728" i="3" s="1"/>
  <c r="F729" i="3"/>
  <c r="G729" i="3" s="1"/>
  <c r="J729" i="3" s="1"/>
  <c r="F730" i="3"/>
  <c r="G730" i="3" s="1"/>
  <c r="J730" i="3" s="1"/>
  <c r="F731" i="3"/>
  <c r="G731" i="3" s="1"/>
  <c r="F732" i="3"/>
  <c r="G732" i="3" s="1"/>
  <c r="J732" i="3" s="1"/>
  <c r="F733" i="3"/>
  <c r="G733" i="3" s="1"/>
  <c r="J733" i="3" s="1"/>
  <c r="F734" i="3"/>
  <c r="G734" i="3" s="1"/>
  <c r="J734" i="3" s="1"/>
  <c r="F735" i="3"/>
  <c r="F736" i="3"/>
  <c r="F737" i="3"/>
  <c r="G737" i="3" s="1"/>
  <c r="J737" i="3" s="1"/>
  <c r="F738" i="3"/>
  <c r="F739" i="3"/>
  <c r="F740" i="3"/>
  <c r="G740" i="3" s="1"/>
  <c r="J740" i="3" s="1"/>
  <c r="F741" i="3"/>
  <c r="G741" i="3" s="1"/>
  <c r="J741" i="3" s="1"/>
  <c r="F742" i="3"/>
  <c r="G742" i="3" s="1"/>
  <c r="J742" i="3" s="1"/>
  <c r="F743" i="3"/>
  <c r="G743" i="3" s="1"/>
  <c r="J743" i="3" s="1"/>
  <c r="F744" i="3"/>
  <c r="G744" i="3" s="1"/>
  <c r="J744" i="3" s="1"/>
  <c r="F745" i="3"/>
  <c r="G745" i="3" s="1"/>
  <c r="J745" i="3" s="1"/>
  <c r="F746" i="3"/>
  <c r="G746" i="3" s="1"/>
  <c r="J746" i="3" s="1"/>
  <c r="F747" i="3"/>
  <c r="F748" i="3"/>
  <c r="F749" i="3"/>
  <c r="G749" i="3" s="1"/>
  <c r="J749" i="3" s="1"/>
  <c r="F750" i="3"/>
  <c r="F751" i="3"/>
  <c r="F752" i="3"/>
  <c r="G752" i="3" s="1"/>
  <c r="J752" i="3" s="1"/>
  <c r="F753" i="3"/>
  <c r="G753" i="3" s="1"/>
  <c r="J753" i="3" s="1"/>
  <c r="F754" i="3"/>
  <c r="F755" i="3"/>
  <c r="F756" i="3"/>
  <c r="G756" i="3" s="1"/>
  <c r="J756" i="3" s="1"/>
  <c r="F757" i="3"/>
  <c r="G757" i="3" s="1"/>
  <c r="J757" i="3" s="1"/>
  <c r="F758" i="3"/>
  <c r="G758" i="3" s="1"/>
  <c r="J758" i="3" s="1"/>
  <c r="F759" i="3"/>
  <c r="G759" i="3" s="1"/>
  <c r="J759" i="3" s="1"/>
  <c r="F760" i="3"/>
  <c r="G760" i="3" s="1"/>
  <c r="J760" i="3" s="1"/>
  <c r="F761" i="3"/>
  <c r="G761" i="3" s="1"/>
  <c r="J761" i="3" s="1"/>
  <c r="F762" i="3"/>
  <c r="F763" i="3"/>
  <c r="F764" i="3"/>
  <c r="G764" i="3" s="1"/>
  <c r="J764" i="3" s="1"/>
  <c r="F765" i="3"/>
  <c r="G765" i="3" s="1"/>
  <c r="J765" i="3" s="1"/>
  <c r="F766" i="3"/>
  <c r="G766" i="3" s="1"/>
  <c r="J766" i="3" s="1"/>
  <c r="F767" i="3"/>
  <c r="F768" i="3"/>
  <c r="F769" i="3"/>
  <c r="G769" i="3" s="1"/>
  <c r="J769" i="3" s="1"/>
  <c r="F770" i="3"/>
  <c r="G770" i="3" s="1"/>
  <c r="J770" i="3" s="1"/>
  <c r="F771" i="3"/>
  <c r="G771" i="3" s="1"/>
  <c r="J771" i="3" s="1"/>
  <c r="F772" i="3"/>
  <c r="G772" i="3" s="1"/>
  <c r="J772" i="3" s="1"/>
  <c r="F773" i="3"/>
  <c r="G773" i="3" s="1"/>
  <c r="J773" i="3" s="1"/>
  <c r="F774" i="3"/>
  <c r="F775" i="3"/>
  <c r="F776" i="3"/>
  <c r="G776" i="3" s="1"/>
  <c r="J776" i="3" s="1"/>
  <c r="F777" i="3"/>
  <c r="G777" i="3" s="1"/>
  <c r="J777" i="3" s="1"/>
  <c r="F778" i="3"/>
  <c r="F779" i="3"/>
  <c r="G779" i="3" s="1"/>
  <c r="J779" i="3" s="1"/>
  <c r="F780" i="3"/>
  <c r="G780" i="3" s="1"/>
  <c r="J780" i="3" s="1"/>
  <c r="F781" i="3"/>
  <c r="G781" i="3" s="1"/>
  <c r="J781" i="3" s="1"/>
  <c r="F782" i="3"/>
  <c r="G782" i="3" s="1"/>
  <c r="J782" i="3" s="1"/>
  <c r="F783" i="3"/>
  <c r="G783" i="3" s="1"/>
  <c r="J783" i="3" s="1"/>
  <c r="F784" i="3"/>
  <c r="G784" i="3" s="1"/>
  <c r="J784" i="3" s="1"/>
  <c r="F785" i="3"/>
  <c r="G785" i="3" s="1"/>
  <c r="J785" i="3" s="1"/>
  <c r="F786" i="3"/>
  <c r="G786" i="3" s="1"/>
  <c r="J786" i="3" s="1"/>
  <c r="F787" i="3"/>
  <c r="G787" i="3" s="1"/>
  <c r="J787" i="3" s="1"/>
  <c r="F788" i="3"/>
  <c r="G788" i="3" s="1"/>
  <c r="J788" i="3" s="1"/>
  <c r="F789" i="3"/>
  <c r="G789" i="3" s="1"/>
  <c r="J789" i="3" s="1"/>
  <c r="F790" i="3"/>
  <c r="G790" i="3" s="1"/>
  <c r="J790" i="3" s="1"/>
  <c r="F791" i="3"/>
  <c r="F792" i="3"/>
  <c r="F793" i="3"/>
  <c r="F794" i="3"/>
  <c r="F795" i="3"/>
  <c r="G795" i="3" s="1"/>
  <c r="J795" i="3" s="1"/>
  <c r="F796" i="3"/>
  <c r="G796" i="3" s="1"/>
  <c r="F797" i="3"/>
  <c r="G797" i="3" s="1"/>
  <c r="F798" i="3"/>
  <c r="F799" i="3"/>
  <c r="G799" i="3" s="1"/>
  <c r="F800" i="3"/>
  <c r="G800" i="3" s="1"/>
  <c r="F801" i="3"/>
  <c r="G801" i="3" s="1"/>
  <c r="J801" i="3" s="1"/>
  <c r="F802" i="3"/>
  <c r="F803" i="3"/>
  <c r="F804" i="3"/>
  <c r="G804" i="3" s="1"/>
  <c r="J804" i="3" s="1"/>
  <c r="F805" i="3"/>
  <c r="G805" i="3" s="1"/>
  <c r="J805" i="3" s="1"/>
  <c r="F806" i="3"/>
  <c r="G806" i="3" s="1"/>
  <c r="J806" i="3" s="1"/>
  <c r="F807" i="3"/>
  <c r="F808" i="3"/>
  <c r="G808" i="3" s="1"/>
  <c r="J808" i="3" s="1"/>
  <c r="F809" i="3"/>
  <c r="G809" i="3" s="1"/>
  <c r="J809" i="3" s="1"/>
  <c r="F810" i="3"/>
  <c r="F811" i="3"/>
  <c r="G811" i="3" s="1"/>
  <c r="J811" i="3" s="1"/>
  <c r="F812" i="3"/>
  <c r="G812" i="3" s="1"/>
  <c r="J812" i="3" s="1"/>
  <c r="F813" i="3"/>
  <c r="G813" i="3" s="1"/>
  <c r="J813" i="3" s="1"/>
  <c r="F814" i="3"/>
  <c r="F815" i="3"/>
  <c r="F816" i="3"/>
  <c r="F817" i="3"/>
  <c r="F818" i="3"/>
  <c r="F819" i="3"/>
  <c r="F820" i="3"/>
  <c r="G820" i="3" s="1"/>
  <c r="J820" i="3" s="1"/>
  <c r="F821" i="3"/>
  <c r="G821" i="3" s="1"/>
  <c r="J821" i="3" s="1"/>
  <c r="F822" i="3"/>
  <c r="F823" i="3"/>
  <c r="G823" i="3" s="1"/>
  <c r="J823" i="3" s="1"/>
  <c r="F824" i="3"/>
  <c r="G824" i="3" s="1"/>
  <c r="J824" i="3" s="1"/>
  <c r="F825" i="3"/>
  <c r="G825" i="3" s="1"/>
  <c r="J825" i="3" s="1"/>
  <c r="F826" i="3"/>
  <c r="G826" i="3" s="1"/>
  <c r="J826" i="3" s="1"/>
  <c r="F827" i="3"/>
  <c r="G827" i="3" s="1"/>
  <c r="J827" i="3" s="1"/>
  <c r="F828" i="3"/>
  <c r="G828" i="3" s="1"/>
  <c r="J828" i="3" s="1"/>
  <c r="F829" i="3"/>
  <c r="G829" i="3" s="1"/>
  <c r="J829" i="3" s="1"/>
  <c r="F830" i="3"/>
  <c r="G830" i="3" s="1"/>
  <c r="J830" i="3" s="1"/>
  <c r="F831" i="3"/>
  <c r="F832" i="3"/>
  <c r="G832" i="3" s="1"/>
  <c r="J832" i="3" s="1"/>
  <c r="F833" i="3"/>
  <c r="G833" i="3" s="1"/>
  <c r="J833" i="3" s="1"/>
  <c r="F834" i="3"/>
  <c r="F835" i="3"/>
  <c r="G835" i="3" s="1"/>
  <c r="J835" i="3" s="1"/>
  <c r="F836" i="3"/>
  <c r="G836" i="3" s="1"/>
  <c r="J836" i="3" s="1"/>
  <c r="F837" i="3"/>
  <c r="G837" i="3" s="1"/>
  <c r="J837" i="3" s="1"/>
  <c r="F838" i="3"/>
  <c r="F839" i="3"/>
  <c r="F840" i="3"/>
  <c r="F841" i="3"/>
  <c r="F842" i="3"/>
  <c r="F843" i="3"/>
  <c r="F844" i="3"/>
  <c r="G844" i="3" s="1"/>
  <c r="F845" i="3"/>
  <c r="G845" i="3" s="1"/>
  <c r="F846" i="3"/>
  <c r="F847" i="3"/>
  <c r="G847" i="3" s="1"/>
  <c r="J847" i="3" s="1"/>
  <c r="F848" i="3"/>
  <c r="G848" i="3" s="1"/>
  <c r="F849" i="3"/>
  <c r="G849" i="3" s="1"/>
  <c r="J849" i="3" s="1"/>
  <c r="F850" i="3"/>
  <c r="G850" i="3" s="1"/>
  <c r="J850" i="3" s="1"/>
  <c r="F851" i="3"/>
  <c r="G851" i="3" s="1"/>
  <c r="J851" i="3" s="1"/>
  <c r="F852" i="3"/>
  <c r="G852" i="3" s="1"/>
  <c r="J852" i="3" s="1"/>
  <c r="F853" i="3"/>
  <c r="F854" i="3"/>
  <c r="F855" i="3"/>
  <c r="F856" i="3"/>
  <c r="G856" i="3" s="1"/>
  <c r="J856" i="3" s="1"/>
  <c r="F857" i="3"/>
  <c r="G857" i="3" s="1"/>
  <c r="J857" i="3" s="1"/>
  <c r="F858" i="3"/>
  <c r="F859" i="3"/>
  <c r="G859" i="3" s="1"/>
  <c r="J859" i="3" s="1"/>
  <c r="F860" i="3"/>
  <c r="G860" i="3" s="1"/>
  <c r="J860" i="3" s="1"/>
  <c r="F861" i="3"/>
  <c r="G861" i="3" s="1"/>
  <c r="J861" i="3" s="1"/>
  <c r="F862" i="3"/>
  <c r="F863" i="3"/>
  <c r="F864" i="3"/>
  <c r="F865" i="3"/>
  <c r="G865" i="3" s="1"/>
  <c r="J865" i="3" s="1"/>
  <c r="F866" i="3"/>
  <c r="G866" i="3" s="1"/>
  <c r="J866" i="3" s="1"/>
  <c r="F867" i="3"/>
  <c r="F868" i="3"/>
  <c r="G868" i="3" s="1"/>
  <c r="J868" i="3" s="1"/>
  <c r="F869" i="3"/>
  <c r="G869" i="3" s="1"/>
  <c r="J869" i="3" s="1"/>
  <c r="F870" i="3"/>
  <c r="F871" i="3"/>
  <c r="G871" i="3" s="1"/>
  <c r="J871" i="3" s="1"/>
  <c r="F872" i="3"/>
  <c r="G872" i="3" s="1"/>
  <c r="J872" i="3" s="1"/>
  <c r="F873" i="3"/>
  <c r="G873" i="3" s="1"/>
  <c r="J873" i="3" s="1"/>
  <c r="F874" i="3"/>
  <c r="G874" i="3" s="1"/>
  <c r="J874" i="3" s="1"/>
  <c r="F875" i="3"/>
  <c r="F876" i="3"/>
  <c r="F877" i="3"/>
  <c r="F878" i="3"/>
  <c r="F879" i="3"/>
  <c r="F880" i="3"/>
  <c r="G880" i="3" s="1"/>
  <c r="J880" i="3" s="1"/>
  <c r="F881" i="3"/>
  <c r="G881" i="3" s="1"/>
  <c r="J881" i="3" s="1"/>
  <c r="F882" i="3"/>
  <c r="F883" i="3"/>
  <c r="G883" i="3" s="1"/>
  <c r="J883" i="3" s="1"/>
  <c r="F884" i="3"/>
  <c r="G884" i="3" s="1"/>
  <c r="J884" i="3" s="1"/>
  <c r="F885" i="3"/>
  <c r="G885" i="3" s="1"/>
  <c r="J885" i="3" s="1"/>
  <c r="F886" i="3"/>
  <c r="F887" i="3"/>
  <c r="G887" i="3" s="1"/>
  <c r="J887" i="3" s="1"/>
  <c r="F888" i="3"/>
  <c r="G888" i="3" s="1"/>
  <c r="J888" i="3" s="1"/>
  <c r="F889" i="3"/>
  <c r="G889" i="3" s="1"/>
  <c r="J889" i="3" s="1"/>
  <c r="F890" i="3"/>
  <c r="G890" i="3" s="1"/>
  <c r="J890" i="3" s="1"/>
  <c r="F891" i="3"/>
  <c r="F892" i="3"/>
  <c r="G892" i="3" s="1"/>
  <c r="F893" i="3"/>
  <c r="G893" i="3" s="1"/>
  <c r="J893" i="3" s="1"/>
  <c r="F894" i="3"/>
  <c r="F895" i="3"/>
  <c r="G895" i="3" s="1"/>
  <c r="J895" i="3" s="1"/>
  <c r="F896" i="3"/>
  <c r="G896" i="3" s="1"/>
  <c r="J896" i="3" s="1"/>
  <c r="F897" i="3"/>
  <c r="G897" i="3" s="1"/>
  <c r="J897" i="3" s="1"/>
  <c r="F898" i="3"/>
  <c r="F899" i="3"/>
  <c r="F900" i="3"/>
  <c r="F901" i="3"/>
  <c r="F902" i="3"/>
  <c r="F903" i="3"/>
  <c r="F904" i="3"/>
  <c r="G904" i="3" s="1"/>
  <c r="J904" i="3" s="1"/>
  <c r="F905" i="3"/>
  <c r="G905" i="3" s="1"/>
  <c r="J905" i="3" s="1"/>
  <c r="F906" i="3"/>
  <c r="F907" i="3"/>
  <c r="G907" i="3" s="1"/>
  <c r="J907" i="3" s="1"/>
  <c r="F908" i="3"/>
  <c r="G908" i="3" s="1"/>
  <c r="J908" i="3" s="1"/>
  <c r="F909" i="3"/>
  <c r="G909" i="3" s="1"/>
  <c r="J909" i="3" s="1"/>
  <c r="F910" i="3"/>
  <c r="G910" i="3" s="1"/>
  <c r="J910" i="3" s="1"/>
  <c r="F911" i="3"/>
  <c r="G911" i="3" s="1"/>
  <c r="J911" i="3" s="1"/>
  <c r="F912" i="3"/>
  <c r="F913" i="3"/>
  <c r="F914" i="3"/>
  <c r="F915" i="3"/>
  <c r="F916" i="3"/>
  <c r="G916" i="3" s="1"/>
  <c r="J916" i="3" s="1"/>
  <c r="F917" i="3"/>
  <c r="G917" i="3" s="1"/>
  <c r="J917" i="3" s="1"/>
  <c r="F918" i="3"/>
  <c r="F919" i="3"/>
  <c r="G919" i="3" s="1"/>
  <c r="J919" i="3" s="1"/>
  <c r="F920" i="3"/>
  <c r="G920" i="3" s="1"/>
  <c r="J920" i="3" s="1"/>
  <c r="F921" i="3"/>
  <c r="G921" i="3" s="1"/>
  <c r="J921" i="3" s="1"/>
  <c r="F922" i="3"/>
  <c r="F923" i="3"/>
  <c r="G923" i="3" s="1"/>
  <c r="J923" i="3" s="1"/>
  <c r="F924" i="3"/>
  <c r="G924" i="3" s="1"/>
  <c r="J924" i="3" s="1"/>
  <c r="F925" i="3"/>
  <c r="G925" i="3" s="1"/>
  <c r="J925" i="3" s="1"/>
  <c r="F926" i="3"/>
  <c r="G926" i="3" s="1"/>
  <c r="J926" i="3" s="1"/>
  <c r="T138" i="6"/>
  <c r="S138" i="6"/>
  <c r="R138" i="6"/>
  <c r="Q138" i="6"/>
  <c r="T137" i="6"/>
  <c r="S137" i="6"/>
  <c r="R137" i="6"/>
  <c r="Q137" i="6"/>
  <c r="T136" i="6"/>
  <c r="S136" i="6"/>
  <c r="R136" i="6"/>
  <c r="Q136" i="6"/>
  <c r="T135" i="6"/>
  <c r="S135" i="6"/>
  <c r="R135" i="6"/>
  <c r="Q135" i="6"/>
  <c r="T134" i="6"/>
  <c r="S134" i="6"/>
  <c r="R134" i="6"/>
  <c r="Q134" i="6"/>
  <c r="T133" i="6"/>
  <c r="S133" i="6"/>
  <c r="R133" i="6"/>
  <c r="Q133" i="6"/>
  <c r="T132" i="6"/>
  <c r="S132" i="6"/>
  <c r="R132" i="6"/>
  <c r="Q132" i="6"/>
  <c r="T131" i="6"/>
  <c r="S131" i="6"/>
  <c r="R131" i="6"/>
  <c r="Q131" i="6"/>
  <c r="T130" i="6"/>
  <c r="S130" i="6"/>
  <c r="R130" i="6"/>
  <c r="Q130" i="6"/>
  <c r="T129" i="6"/>
  <c r="S129" i="6"/>
  <c r="R129" i="6"/>
  <c r="Q129" i="6"/>
  <c r="T128" i="6"/>
  <c r="S128" i="6"/>
  <c r="R128" i="6"/>
  <c r="Q128" i="6"/>
  <c r="T127" i="6"/>
  <c r="S127" i="6"/>
  <c r="R127" i="6"/>
  <c r="Q127" i="6"/>
  <c r="T126" i="6"/>
  <c r="S126" i="6"/>
  <c r="R126" i="6"/>
  <c r="Q126" i="6"/>
  <c r="T125" i="6"/>
  <c r="S125" i="6"/>
  <c r="R125" i="6"/>
  <c r="Q125" i="6"/>
  <c r="T124" i="6"/>
  <c r="S124" i="6"/>
  <c r="R124" i="6"/>
  <c r="Q124" i="6"/>
  <c r="T123" i="6"/>
  <c r="S123" i="6"/>
  <c r="R123" i="6"/>
  <c r="Q123" i="6"/>
  <c r="T122" i="6"/>
  <c r="S122" i="6"/>
  <c r="R122" i="6"/>
  <c r="Q122" i="6"/>
  <c r="T121" i="6"/>
  <c r="S121" i="6"/>
  <c r="R121" i="6"/>
  <c r="Q121" i="6"/>
  <c r="T120" i="6"/>
  <c r="S120" i="6"/>
  <c r="R120" i="6"/>
  <c r="Q120" i="6"/>
  <c r="T119" i="6"/>
  <c r="S119" i="6"/>
  <c r="R119" i="6"/>
  <c r="Q119" i="6"/>
  <c r="T118" i="6"/>
  <c r="S118" i="6"/>
  <c r="R118" i="6"/>
  <c r="Q118" i="6"/>
  <c r="T117" i="6"/>
  <c r="S117" i="6"/>
  <c r="R117" i="6"/>
  <c r="Q117" i="6"/>
  <c r="T116" i="6"/>
  <c r="S116" i="6"/>
  <c r="R116" i="6"/>
  <c r="Q116" i="6"/>
  <c r="T115" i="6"/>
  <c r="S115" i="6"/>
  <c r="R115" i="6"/>
  <c r="Q115" i="6"/>
  <c r="T114" i="6"/>
  <c r="S114" i="6"/>
  <c r="R114" i="6"/>
  <c r="Q114" i="6"/>
  <c r="T113" i="6"/>
  <c r="S113" i="6"/>
  <c r="R113" i="6"/>
  <c r="Q113" i="6"/>
  <c r="T112" i="6"/>
  <c r="S112" i="6"/>
  <c r="R112" i="6"/>
  <c r="Q112" i="6"/>
  <c r="T111" i="6"/>
  <c r="S111" i="6"/>
  <c r="R111" i="6"/>
  <c r="Q111" i="6"/>
  <c r="T110" i="6"/>
  <c r="S110" i="6"/>
  <c r="R110" i="6"/>
  <c r="Q110" i="6"/>
  <c r="T109" i="6"/>
  <c r="S109" i="6"/>
  <c r="R109" i="6"/>
  <c r="Q109" i="6"/>
  <c r="T108" i="6"/>
  <c r="S108" i="6"/>
  <c r="R108" i="6"/>
  <c r="Q108" i="6"/>
  <c r="T107" i="6"/>
  <c r="S107" i="6"/>
  <c r="R107" i="6"/>
  <c r="Q107" i="6"/>
  <c r="T106" i="6"/>
  <c r="S106" i="6"/>
  <c r="R106" i="6"/>
  <c r="Q106" i="6"/>
  <c r="T105" i="6"/>
  <c r="S105" i="6"/>
  <c r="R105" i="6"/>
  <c r="Q105" i="6"/>
  <c r="T104" i="6"/>
  <c r="S104" i="6"/>
  <c r="R104" i="6"/>
  <c r="Q104" i="6"/>
  <c r="T103" i="6"/>
  <c r="S103" i="6"/>
  <c r="R103" i="6"/>
  <c r="Q103" i="6"/>
  <c r="T102" i="6"/>
  <c r="S102" i="6"/>
  <c r="R102" i="6"/>
  <c r="Q102" i="6"/>
  <c r="T101" i="6"/>
  <c r="S101" i="6"/>
  <c r="R101" i="6"/>
  <c r="Q101" i="6"/>
  <c r="T100" i="6"/>
  <c r="S100" i="6"/>
  <c r="R100" i="6"/>
  <c r="Q100" i="6"/>
  <c r="T99" i="6"/>
  <c r="S99" i="6"/>
  <c r="R99" i="6"/>
  <c r="Q99" i="6"/>
  <c r="T98" i="6"/>
  <c r="S98" i="6"/>
  <c r="R98" i="6"/>
  <c r="Q98" i="6"/>
  <c r="T97" i="6"/>
  <c r="S97" i="6"/>
  <c r="R97" i="6"/>
  <c r="Q97" i="6"/>
  <c r="T96" i="6"/>
  <c r="S96" i="6"/>
  <c r="R96" i="6"/>
  <c r="Q96" i="6"/>
  <c r="T95" i="6"/>
  <c r="S95" i="6"/>
  <c r="R95" i="6"/>
  <c r="Q95" i="6"/>
  <c r="T94" i="6"/>
  <c r="S94" i="6"/>
  <c r="R94" i="6"/>
  <c r="Q94" i="6"/>
  <c r="T93" i="6"/>
  <c r="S93" i="6"/>
  <c r="R93" i="6"/>
  <c r="Q93" i="6"/>
  <c r="T92" i="6"/>
  <c r="S92" i="6"/>
  <c r="R92" i="6"/>
  <c r="Q92" i="6"/>
  <c r="T91" i="6"/>
  <c r="S91" i="6"/>
  <c r="R91" i="6"/>
  <c r="Q91" i="6"/>
  <c r="T90" i="6"/>
  <c r="S90" i="6"/>
  <c r="R90" i="6"/>
  <c r="Q90" i="6"/>
  <c r="T89" i="6"/>
  <c r="S89" i="6"/>
  <c r="R89" i="6"/>
  <c r="Q89" i="6"/>
  <c r="T88" i="6"/>
  <c r="S88" i="6"/>
  <c r="R88" i="6"/>
  <c r="Q88" i="6"/>
  <c r="T87" i="6"/>
  <c r="S87" i="6"/>
  <c r="R87" i="6"/>
  <c r="Q87" i="6"/>
  <c r="T86" i="6"/>
  <c r="S86" i="6"/>
  <c r="R86" i="6"/>
  <c r="Q86" i="6"/>
  <c r="T85" i="6"/>
  <c r="S85" i="6"/>
  <c r="R85" i="6"/>
  <c r="Q85" i="6"/>
  <c r="T84" i="6"/>
  <c r="S84" i="6"/>
  <c r="R84" i="6"/>
  <c r="Q84" i="6"/>
  <c r="T83" i="6"/>
  <c r="S83" i="6"/>
  <c r="R83" i="6"/>
  <c r="Q83" i="6"/>
  <c r="T82" i="6"/>
  <c r="S82" i="6"/>
  <c r="R82" i="6"/>
  <c r="Q82" i="6"/>
  <c r="T81" i="6"/>
  <c r="S81" i="6"/>
  <c r="R81" i="6"/>
  <c r="Q81" i="6"/>
  <c r="T80" i="6"/>
  <c r="S80" i="6"/>
  <c r="R80" i="6"/>
  <c r="Q80" i="6"/>
  <c r="T79" i="6"/>
  <c r="S79" i="6"/>
  <c r="R79" i="6"/>
  <c r="Q79" i="6"/>
  <c r="T78" i="6"/>
  <c r="S78" i="6"/>
  <c r="R78" i="6"/>
  <c r="Q78" i="6"/>
  <c r="T77" i="6"/>
  <c r="S77" i="6"/>
  <c r="R77" i="6"/>
  <c r="Q77" i="6"/>
  <c r="T76" i="6"/>
  <c r="S76" i="6"/>
  <c r="R76" i="6"/>
  <c r="Q76" i="6"/>
  <c r="T75" i="6"/>
  <c r="S75" i="6"/>
  <c r="R75" i="6"/>
  <c r="Q75" i="6"/>
  <c r="T74" i="6"/>
  <c r="S74" i="6"/>
  <c r="R74" i="6"/>
  <c r="Q74" i="6"/>
  <c r="T73" i="6"/>
  <c r="S73" i="6"/>
  <c r="R73" i="6"/>
  <c r="Q73" i="6"/>
  <c r="T72" i="6"/>
  <c r="S72" i="6"/>
  <c r="R72" i="6"/>
  <c r="Q72" i="6"/>
  <c r="T71" i="6"/>
  <c r="S71" i="6"/>
  <c r="R71" i="6"/>
  <c r="Q71" i="6"/>
  <c r="T70" i="6"/>
  <c r="S70" i="6"/>
  <c r="R70" i="6"/>
  <c r="Q70" i="6"/>
  <c r="T69" i="6"/>
  <c r="S69" i="6"/>
  <c r="R69" i="6"/>
  <c r="Q69" i="6"/>
  <c r="T68" i="6"/>
  <c r="S68" i="6"/>
  <c r="R68" i="6"/>
  <c r="Q68" i="6"/>
  <c r="T67" i="6"/>
  <c r="S67" i="6"/>
  <c r="R67" i="6"/>
  <c r="Q67" i="6"/>
  <c r="T66" i="6"/>
  <c r="S66" i="6"/>
  <c r="R66" i="6"/>
  <c r="Q66" i="6"/>
  <c r="T65" i="6"/>
  <c r="S65" i="6"/>
  <c r="R65" i="6"/>
  <c r="Q65" i="6"/>
  <c r="T64" i="6"/>
  <c r="S64" i="6"/>
  <c r="R64" i="6"/>
  <c r="Q64" i="6"/>
  <c r="T63" i="6"/>
  <c r="S63" i="6"/>
  <c r="R63" i="6"/>
  <c r="Q63" i="6"/>
  <c r="T62" i="6"/>
  <c r="S62" i="6"/>
  <c r="R62" i="6"/>
  <c r="Q62" i="6"/>
  <c r="T61" i="6"/>
  <c r="S61" i="6"/>
  <c r="R61" i="6"/>
  <c r="Q61" i="6"/>
  <c r="T60" i="6"/>
  <c r="S60" i="6"/>
  <c r="R60" i="6"/>
  <c r="Q60" i="6"/>
  <c r="T59" i="6"/>
  <c r="S59" i="6"/>
  <c r="R59" i="6"/>
  <c r="Q59" i="6"/>
  <c r="T58" i="6"/>
  <c r="S58" i="6"/>
  <c r="R58" i="6"/>
  <c r="Q58" i="6"/>
  <c r="T57" i="6"/>
  <c r="S57" i="6"/>
  <c r="R57" i="6"/>
  <c r="Q57" i="6"/>
  <c r="T56" i="6"/>
  <c r="S56" i="6"/>
  <c r="R56" i="6"/>
  <c r="Q56" i="6"/>
  <c r="T55" i="6"/>
  <c r="S55" i="6"/>
  <c r="R55" i="6"/>
  <c r="Q55" i="6"/>
  <c r="T54" i="6"/>
  <c r="S54" i="6"/>
  <c r="R54" i="6"/>
  <c r="Q54" i="6"/>
  <c r="T53" i="6"/>
  <c r="S53" i="6"/>
  <c r="R53" i="6"/>
  <c r="Q53" i="6"/>
  <c r="T52" i="6"/>
  <c r="S52" i="6"/>
  <c r="R52" i="6"/>
  <c r="Q52" i="6"/>
  <c r="T51" i="6"/>
  <c r="S51" i="6"/>
  <c r="R51" i="6"/>
  <c r="Q51" i="6"/>
  <c r="T50" i="6"/>
  <c r="S50" i="6"/>
  <c r="R50" i="6"/>
  <c r="Q50" i="6"/>
  <c r="T49" i="6"/>
  <c r="S49" i="6"/>
  <c r="R49" i="6"/>
  <c r="Q49" i="6"/>
  <c r="T48" i="6"/>
  <c r="S48" i="6"/>
  <c r="R48" i="6"/>
  <c r="Q48" i="6"/>
  <c r="T47" i="6"/>
  <c r="S47" i="6"/>
  <c r="R47" i="6"/>
  <c r="Q47" i="6"/>
  <c r="T46" i="6"/>
  <c r="S46" i="6"/>
  <c r="R46" i="6"/>
  <c r="Q46" i="6"/>
  <c r="T45" i="6"/>
  <c r="S45" i="6"/>
  <c r="R45" i="6"/>
  <c r="Q45" i="6"/>
  <c r="T44" i="6"/>
  <c r="S44" i="6"/>
  <c r="R44" i="6"/>
  <c r="Q44" i="6"/>
  <c r="T43" i="6"/>
  <c r="S43" i="6"/>
  <c r="R43" i="6"/>
  <c r="Q43" i="6"/>
  <c r="T42" i="6"/>
  <c r="S42" i="6"/>
  <c r="R42" i="6"/>
  <c r="Q42" i="6"/>
  <c r="T41" i="6"/>
  <c r="S41" i="6"/>
  <c r="R41" i="6"/>
  <c r="Q41" i="6"/>
  <c r="T40" i="6"/>
  <c r="S40" i="6"/>
  <c r="R40" i="6"/>
  <c r="Q40" i="6"/>
  <c r="T39" i="6"/>
  <c r="S39" i="6"/>
  <c r="R39" i="6"/>
  <c r="Q39" i="6"/>
  <c r="T38" i="6"/>
  <c r="S38" i="6"/>
  <c r="R38" i="6"/>
  <c r="Q38" i="6"/>
  <c r="T37" i="6"/>
  <c r="S37" i="6"/>
  <c r="R37" i="6"/>
  <c r="Q37" i="6"/>
  <c r="T36" i="6"/>
  <c r="S36" i="6"/>
  <c r="R36" i="6"/>
  <c r="Q36" i="6"/>
  <c r="T35" i="6"/>
  <c r="S35" i="6"/>
  <c r="R35" i="6"/>
  <c r="Q35" i="6"/>
  <c r="T34" i="6"/>
  <c r="S34" i="6"/>
  <c r="R34" i="6"/>
  <c r="Q34" i="6"/>
  <c r="T33" i="6"/>
  <c r="S33" i="6"/>
  <c r="R33" i="6"/>
  <c r="Q33" i="6"/>
  <c r="T32" i="6"/>
  <c r="S32" i="6"/>
  <c r="R32" i="6"/>
  <c r="Q32" i="6"/>
  <c r="T31" i="6"/>
  <c r="S31" i="6"/>
  <c r="R31" i="6"/>
  <c r="Q31" i="6"/>
  <c r="T30" i="6"/>
  <c r="S30" i="6"/>
  <c r="R30" i="6"/>
  <c r="Q30" i="6"/>
  <c r="T29" i="6"/>
  <c r="S29" i="6"/>
  <c r="R29" i="6"/>
  <c r="Q29" i="6"/>
  <c r="T28" i="6"/>
  <c r="S28" i="6"/>
  <c r="R28" i="6"/>
  <c r="Q28" i="6"/>
  <c r="T27" i="6"/>
  <c r="S27" i="6"/>
  <c r="R27" i="6"/>
  <c r="Q27" i="6"/>
  <c r="T26" i="6"/>
  <c r="S26" i="6"/>
  <c r="R26" i="6"/>
  <c r="Q26" i="6"/>
  <c r="T25" i="6"/>
  <c r="S25" i="6"/>
  <c r="R25" i="6"/>
  <c r="Q25" i="6"/>
  <c r="T24" i="6"/>
  <c r="S24" i="6"/>
  <c r="R24" i="6"/>
  <c r="Q24" i="6"/>
  <c r="T23" i="6"/>
  <c r="S23" i="6"/>
  <c r="R23" i="6"/>
  <c r="Q23" i="6"/>
  <c r="T22" i="6"/>
  <c r="S22" i="6"/>
  <c r="R22" i="6"/>
  <c r="Q22" i="6"/>
  <c r="T21" i="6"/>
  <c r="S21" i="6"/>
  <c r="R21" i="6"/>
  <c r="Q21" i="6"/>
  <c r="T20" i="6"/>
  <c r="S20" i="6"/>
  <c r="R20" i="6"/>
  <c r="Q20" i="6"/>
  <c r="T19" i="6"/>
  <c r="S19" i="6"/>
  <c r="R19" i="6"/>
  <c r="Q19" i="6"/>
  <c r="T18" i="6"/>
  <c r="S18" i="6"/>
  <c r="R18" i="6"/>
  <c r="Q18" i="6"/>
  <c r="T17" i="6"/>
  <c r="S17" i="6"/>
  <c r="R17" i="6"/>
  <c r="Q17" i="6"/>
  <c r="T16" i="6"/>
  <c r="S16" i="6"/>
  <c r="R16" i="6"/>
  <c r="Q16" i="6"/>
  <c r="T15" i="6"/>
  <c r="S15" i="6"/>
  <c r="R15" i="6"/>
  <c r="Q15" i="6"/>
  <c r="T14" i="6"/>
  <c r="S14" i="6"/>
  <c r="R14" i="6"/>
  <c r="Q14" i="6"/>
  <c r="T13" i="6"/>
  <c r="S13" i="6"/>
  <c r="R13" i="6"/>
  <c r="Q13" i="6"/>
  <c r="T12" i="6"/>
  <c r="S12" i="6"/>
  <c r="R12" i="6"/>
  <c r="Q12" i="6"/>
  <c r="T11" i="6"/>
  <c r="S11" i="6"/>
  <c r="R11" i="6"/>
  <c r="Q11" i="6"/>
  <c r="T10" i="6"/>
  <c r="S10" i="6"/>
  <c r="R10" i="6"/>
  <c r="Q10" i="6"/>
  <c r="T9" i="6"/>
  <c r="S9" i="6"/>
  <c r="R9" i="6"/>
  <c r="Q9" i="6"/>
  <c r="T8" i="6"/>
  <c r="S8" i="6"/>
  <c r="R8" i="6"/>
  <c r="Q8" i="6"/>
  <c r="T7" i="6"/>
  <c r="S7" i="6"/>
  <c r="R7" i="6"/>
  <c r="Q7" i="6"/>
  <c r="T6" i="6"/>
  <c r="S6" i="6"/>
  <c r="R6" i="6"/>
  <c r="Q6" i="6"/>
  <c r="T5" i="6"/>
  <c r="S5" i="6"/>
  <c r="R5" i="6"/>
  <c r="Q5" i="6"/>
  <c r="T4" i="6"/>
  <c r="S4" i="6"/>
  <c r="R4" i="6"/>
  <c r="Q4" i="6"/>
  <c r="T3" i="6"/>
  <c r="S3" i="6"/>
  <c r="R3" i="6"/>
  <c r="Q3" i="6"/>
  <c r="T2" i="6"/>
  <c r="S2" i="6"/>
  <c r="Q2" i="6"/>
  <c r="K16" i="6"/>
  <c r="K27" i="6"/>
  <c r="K28" i="6"/>
  <c r="K51" i="6"/>
  <c r="K64" i="6"/>
  <c r="K75" i="6"/>
  <c r="K76" i="6"/>
  <c r="K99" i="6"/>
  <c r="K100" i="6"/>
  <c r="K124" i="6"/>
  <c r="K136" i="6"/>
  <c r="F2" i="6"/>
  <c r="R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J2" i="6"/>
  <c r="J3" i="6"/>
  <c r="J4" i="6"/>
  <c r="K4" i="6" s="1"/>
  <c r="J5" i="6"/>
  <c r="J6" i="6"/>
  <c r="K6" i="6" s="1"/>
  <c r="J7" i="6"/>
  <c r="J8" i="6"/>
  <c r="K8" i="6" s="1"/>
  <c r="J9" i="6"/>
  <c r="K9" i="6" s="1"/>
  <c r="J10" i="6"/>
  <c r="K10" i="6" s="1"/>
  <c r="J11" i="6"/>
  <c r="J12" i="6"/>
  <c r="J13" i="6"/>
  <c r="J14" i="6"/>
  <c r="J15" i="6"/>
  <c r="K15" i="6" s="1"/>
  <c r="J16" i="6"/>
  <c r="J17" i="6"/>
  <c r="J18" i="6"/>
  <c r="K18" i="6" s="1"/>
  <c r="J19" i="6"/>
  <c r="J20" i="6"/>
  <c r="J21" i="6"/>
  <c r="K21" i="6" s="1"/>
  <c r="J22" i="6"/>
  <c r="K22" i="6" s="1"/>
  <c r="J23" i="6"/>
  <c r="J24" i="6"/>
  <c r="J25" i="6"/>
  <c r="K25" i="6" s="1"/>
  <c r="J26" i="6"/>
  <c r="J27" i="6"/>
  <c r="J28" i="6"/>
  <c r="J29" i="6"/>
  <c r="J30" i="6"/>
  <c r="K30" i="6" s="1"/>
  <c r="J31" i="6"/>
  <c r="J32" i="6"/>
  <c r="J33" i="6"/>
  <c r="K33" i="6" s="1"/>
  <c r="J34" i="6"/>
  <c r="K34" i="6" s="1"/>
  <c r="J35" i="6"/>
  <c r="J36" i="6"/>
  <c r="J37" i="6"/>
  <c r="K37" i="6" s="1"/>
  <c r="J38" i="6"/>
  <c r="J39" i="6"/>
  <c r="K39" i="6" s="1"/>
  <c r="J40" i="6"/>
  <c r="K40" i="6" s="1"/>
  <c r="J41" i="6"/>
  <c r="J42" i="6"/>
  <c r="K42" i="6" s="1"/>
  <c r="J43" i="6"/>
  <c r="J44" i="6"/>
  <c r="J45" i="6"/>
  <c r="K45" i="6" s="1"/>
  <c r="J46" i="6"/>
  <c r="K46" i="6" s="1"/>
  <c r="J47" i="6"/>
  <c r="J48" i="6"/>
  <c r="J49" i="6"/>
  <c r="K49" i="6" s="1"/>
  <c r="J50" i="6"/>
  <c r="J51" i="6"/>
  <c r="J52" i="6"/>
  <c r="K52" i="6" s="1"/>
  <c r="J53" i="6"/>
  <c r="J54" i="6"/>
  <c r="K54" i="6" s="1"/>
  <c r="J55" i="6"/>
  <c r="J56" i="6"/>
  <c r="J57" i="6"/>
  <c r="K57" i="6" s="1"/>
  <c r="J58" i="6"/>
  <c r="K58" i="6" s="1"/>
  <c r="J59" i="6"/>
  <c r="J60" i="6"/>
  <c r="J61" i="6"/>
  <c r="K61" i="6" s="1"/>
  <c r="J62" i="6"/>
  <c r="J63" i="6"/>
  <c r="K63" i="6" s="1"/>
  <c r="J64" i="6"/>
  <c r="J65" i="6"/>
  <c r="J66" i="6"/>
  <c r="K66" i="6" s="1"/>
  <c r="J67" i="6"/>
  <c r="J68" i="6"/>
  <c r="J69" i="6"/>
  <c r="K69" i="6" s="1"/>
  <c r="J70" i="6"/>
  <c r="K70" i="6" s="1"/>
  <c r="J71" i="6"/>
  <c r="J72" i="6"/>
  <c r="J73" i="6"/>
  <c r="K73" i="6" s="1"/>
  <c r="J74" i="6"/>
  <c r="J75" i="6"/>
  <c r="J76" i="6"/>
  <c r="J77" i="6"/>
  <c r="J78" i="6"/>
  <c r="K78" i="6" s="1"/>
  <c r="J79" i="6"/>
  <c r="J80" i="6"/>
  <c r="J81" i="6"/>
  <c r="K81" i="6" s="1"/>
  <c r="J82" i="6"/>
  <c r="K82" i="6" s="1"/>
  <c r="J83" i="6"/>
  <c r="J84" i="6"/>
  <c r="J85" i="6"/>
  <c r="K85" i="6" s="1"/>
  <c r="J86" i="6"/>
  <c r="J87" i="6"/>
  <c r="K87" i="6" s="1"/>
  <c r="J88" i="6"/>
  <c r="K88" i="6" s="1"/>
  <c r="J89" i="6"/>
  <c r="J90" i="6"/>
  <c r="K90" i="6" s="1"/>
  <c r="J91" i="6"/>
  <c r="J92" i="6"/>
  <c r="J93" i="6"/>
  <c r="K93" i="6" s="1"/>
  <c r="J94" i="6"/>
  <c r="K94" i="6" s="1"/>
  <c r="J95" i="6"/>
  <c r="J96" i="6"/>
  <c r="J97" i="6"/>
  <c r="J98" i="6"/>
  <c r="J99" i="6"/>
  <c r="J100" i="6"/>
  <c r="J101" i="6"/>
  <c r="J102" i="6"/>
  <c r="K102" i="6" s="1"/>
  <c r="J103" i="6"/>
  <c r="J104" i="6"/>
  <c r="J105" i="6"/>
  <c r="K105" i="6" s="1"/>
  <c r="J106" i="6"/>
  <c r="K106" i="6" s="1"/>
  <c r="J107" i="6"/>
  <c r="J108" i="6"/>
  <c r="J109" i="6"/>
  <c r="J110" i="6"/>
  <c r="J111" i="6"/>
  <c r="K111" i="6" s="1"/>
  <c r="J112" i="6"/>
  <c r="K112" i="6" s="1"/>
  <c r="J113" i="6"/>
  <c r="J114" i="6"/>
  <c r="K114" i="6" s="1"/>
  <c r="J115" i="6"/>
  <c r="J116" i="6"/>
  <c r="J117" i="6"/>
  <c r="K117" i="6" s="1"/>
  <c r="J118" i="6"/>
  <c r="K118" i="6" s="1"/>
  <c r="J119" i="6"/>
  <c r="J120" i="6"/>
  <c r="J121" i="6"/>
  <c r="J122" i="6"/>
  <c r="J123" i="6"/>
  <c r="K123" i="6" s="1"/>
  <c r="J124" i="6"/>
  <c r="J125" i="6"/>
  <c r="J126" i="6"/>
  <c r="K126" i="6" s="1"/>
  <c r="J127" i="6"/>
  <c r="J128" i="6"/>
  <c r="J129" i="6"/>
  <c r="K129" i="6" s="1"/>
  <c r="J130" i="6"/>
  <c r="K130" i="6" s="1"/>
  <c r="J131" i="6"/>
  <c r="J132" i="6"/>
  <c r="J133" i="6"/>
  <c r="J134" i="6"/>
  <c r="J135" i="6"/>
  <c r="K135" i="6" s="1"/>
  <c r="J136" i="6"/>
  <c r="J137" i="6"/>
  <c r="J138" i="6"/>
  <c r="K138" i="6" s="1"/>
  <c r="J938" i="7"/>
  <c r="I938" i="7"/>
  <c r="J937" i="7"/>
  <c r="I937" i="7"/>
  <c r="J936" i="7"/>
  <c r="I936" i="7"/>
  <c r="J935" i="7"/>
  <c r="I935" i="7"/>
  <c r="J934" i="7"/>
  <c r="I934" i="7"/>
  <c r="J933" i="7"/>
  <c r="I933" i="7"/>
  <c r="J932" i="7"/>
  <c r="I932" i="7"/>
  <c r="J931" i="7"/>
  <c r="I931" i="7"/>
  <c r="J930" i="7"/>
  <c r="I930" i="7"/>
  <c r="J929" i="7"/>
  <c r="I929" i="7"/>
  <c r="J928" i="7"/>
  <c r="I928" i="7"/>
  <c r="J927" i="7"/>
  <c r="I927" i="7"/>
  <c r="J926" i="7"/>
  <c r="I926" i="7"/>
  <c r="J925" i="7"/>
  <c r="I925" i="7"/>
  <c r="J924" i="7"/>
  <c r="I924" i="7"/>
  <c r="J923" i="7"/>
  <c r="I923" i="7"/>
  <c r="J922" i="7"/>
  <c r="I922" i="7"/>
  <c r="J921" i="7"/>
  <c r="I921" i="7"/>
  <c r="J920" i="7"/>
  <c r="I920" i="7"/>
  <c r="J919" i="7"/>
  <c r="I919" i="7"/>
  <c r="J918" i="7"/>
  <c r="I918" i="7"/>
  <c r="J917" i="7"/>
  <c r="I917" i="7"/>
  <c r="J916" i="7"/>
  <c r="I916" i="7"/>
  <c r="J915" i="7"/>
  <c r="I915" i="7"/>
  <c r="J914" i="7"/>
  <c r="I914" i="7"/>
  <c r="J913" i="7"/>
  <c r="I913" i="7"/>
  <c r="J912" i="7"/>
  <c r="I912" i="7"/>
  <c r="J911" i="7"/>
  <c r="I911" i="7"/>
  <c r="J910" i="7"/>
  <c r="I910" i="7"/>
  <c r="J909" i="7"/>
  <c r="I909" i="7"/>
  <c r="J908" i="7"/>
  <c r="I908" i="7"/>
  <c r="J907" i="7"/>
  <c r="I907" i="7"/>
  <c r="J906" i="7"/>
  <c r="I906" i="7"/>
  <c r="J905" i="7"/>
  <c r="I905" i="7"/>
  <c r="J904" i="7"/>
  <c r="I904" i="7"/>
  <c r="J903" i="7"/>
  <c r="I903" i="7"/>
  <c r="J902" i="7"/>
  <c r="I902" i="7"/>
  <c r="J901" i="7"/>
  <c r="I901" i="7"/>
  <c r="J900" i="7"/>
  <c r="I900" i="7"/>
  <c r="J899" i="7"/>
  <c r="I899" i="7"/>
  <c r="J898" i="7"/>
  <c r="I898" i="7"/>
  <c r="J897" i="7"/>
  <c r="I897" i="7"/>
  <c r="J896" i="7"/>
  <c r="I896" i="7"/>
  <c r="J895" i="7"/>
  <c r="I895" i="7"/>
  <c r="J894" i="7"/>
  <c r="I894" i="7"/>
  <c r="J893" i="7"/>
  <c r="I893" i="7"/>
  <c r="J892" i="7"/>
  <c r="I892" i="7"/>
  <c r="J891" i="7"/>
  <c r="I891" i="7"/>
  <c r="J890" i="7"/>
  <c r="I890" i="7"/>
  <c r="J889" i="7"/>
  <c r="I889" i="7"/>
  <c r="J888" i="7"/>
  <c r="I888" i="7"/>
  <c r="J887" i="7"/>
  <c r="I887" i="7"/>
  <c r="J886" i="7"/>
  <c r="I886" i="7"/>
  <c r="J885" i="7"/>
  <c r="I885" i="7"/>
  <c r="J884" i="7"/>
  <c r="I884" i="7"/>
  <c r="J883" i="7"/>
  <c r="I883" i="7"/>
  <c r="J882" i="7"/>
  <c r="I882" i="7"/>
  <c r="J881" i="7"/>
  <c r="I881" i="7"/>
  <c r="J880" i="7"/>
  <c r="I880" i="7"/>
  <c r="J879" i="7"/>
  <c r="I879" i="7"/>
  <c r="J878" i="7"/>
  <c r="I878" i="7"/>
  <c r="J877" i="7"/>
  <c r="I877" i="7"/>
  <c r="J876" i="7"/>
  <c r="I876" i="7"/>
  <c r="J875" i="7"/>
  <c r="I875" i="7"/>
  <c r="J874" i="7"/>
  <c r="I874" i="7"/>
  <c r="J873" i="7"/>
  <c r="I873" i="7"/>
  <c r="J872" i="7"/>
  <c r="I872" i="7"/>
  <c r="J871" i="7"/>
  <c r="I871" i="7"/>
  <c r="J870" i="7"/>
  <c r="I870" i="7"/>
  <c r="J869" i="7"/>
  <c r="I869" i="7"/>
  <c r="J868" i="7"/>
  <c r="I868" i="7"/>
  <c r="J867" i="7"/>
  <c r="I867" i="7"/>
  <c r="J866" i="7"/>
  <c r="I866" i="7"/>
  <c r="J865" i="7"/>
  <c r="I865" i="7"/>
  <c r="J864" i="7"/>
  <c r="I864" i="7"/>
  <c r="J863" i="7"/>
  <c r="I863" i="7"/>
  <c r="J862" i="7"/>
  <c r="I862" i="7"/>
  <c r="J861" i="7"/>
  <c r="I861" i="7"/>
  <c r="J860" i="7"/>
  <c r="I860" i="7"/>
  <c r="J859" i="7"/>
  <c r="I859" i="7"/>
  <c r="J858" i="7"/>
  <c r="I858" i="7"/>
  <c r="J857" i="7"/>
  <c r="I857" i="7"/>
  <c r="J856" i="7"/>
  <c r="I856" i="7"/>
  <c r="J855" i="7"/>
  <c r="I855" i="7"/>
  <c r="J854" i="7"/>
  <c r="I854" i="7"/>
  <c r="J853" i="7"/>
  <c r="I853" i="7"/>
  <c r="J852" i="7"/>
  <c r="I852" i="7"/>
  <c r="J851" i="7"/>
  <c r="I851" i="7"/>
  <c r="J850" i="7"/>
  <c r="I850" i="7"/>
  <c r="J849" i="7"/>
  <c r="I849" i="7"/>
  <c r="J848" i="7"/>
  <c r="I848" i="7"/>
  <c r="J847" i="7"/>
  <c r="I847" i="7"/>
  <c r="J846" i="7"/>
  <c r="I846" i="7"/>
  <c r="J845" i="7"/>
  <c r="I845" i="7"/>
  <c r="J844" i="7"/>
  <c r="I844" i="7"/>
  <c r="J843" i="7"/>
  <c r="I843" i="7"/>
  <c r="J842" i="7"/>
  <c r="I842" i="7"/>
  <c r="J841" i="7"/>
  <c r="I841" i="7"/>
  <c r="J840" i="7"/>
  <c r="I840" i="7"/>
  <c r="J839" i="7"/>
  <c r="I839" i="7"/>
  <c r="J838" i="7"/>
  <c r="I838" i="7"/>
  <c r="J837" i="7"/>
  <c r="I837" i="7"/>
  <c r="J836" i="7"/>
  <c r="I836" i="7"/>
  <c r="J835" i="7"/>
  <c r="I835" i="7"/>
  <c r="J834" i="7"/>
  <c r="I834" i="7"/>
  <c r="J833" i="7"/>
  <c r="I833" i="7"/>
  <c r="J832" i="7"/>
  <c r="I832" i="7"/>
  <c r="J831" i="7"/>
  <c r="I831" i="7"/>
  <c r="J830" i="7"/>
  <c r="I830" i="7"/>
  <c r="J829" i="7"/>
  <c r="I829" i="7"/>
  <c r="J828" i="7"/>
  <c r="I828" i="7"/>
  <c r="J827" i="7"/>
  <c r="I827" i="7"/>
  <c r="J826" i="7"/>
  <c r="I826" i="7"/>
  <c r="J825" i="7"/>
  <c r="I825" i="7"/>
  <c r="J824" i="7"/>
  <c r="I824" i="7"/>
  <c r="J823" i="7"/>
  <c r="I823" i="7"/>
  <c r="J822" i="7"/>
  <c r="I822" i="7"/>
  <c r="J821" i="7"/>
  <c r="I821" i="7"/>
  <c r="J820" i="7"/>
  <c r="I820" i="7"/>
  <c r="J819" i="7"/>
  <c r="I819" i="7"/>
  <c r="J818" i="7"/>
  <c r="I818" i="7"/>
  <c r="J817" i="7"/>
  <c r="I817" i="7"/>
  <c r="J816" i="7"/>
  <c r="I816" i="7"/>
  <c r="J815" i="7"/>
  <c r="I815" i="7"/>
  <c r="J814" i="7"/>
  <c r="I814" i="7"/>
  <c r="J813" i="7"/>
  <c r="I813" i="7"/>
  <c r="J812" i="7"/>
  <c r="I812" i="7"/>
  <c r="J811" i="7"/>
  <c r="I811" i="7"/>
  <c r="J810" i="7"/>
  <c r="I810" i="7"/>
  <c r="J809" i="7"/>
  <c r="I809" i="7"/>
  <c r="J808" i="7"/>
  <c r="I808" i="7"/>
  <c r="J807" i="7"/>
  <c r="I807" i="7"/>
  <c r="J806" i="7"/>
  <c r="I806" i="7"/>
  <c r="J805" i="7"/>
  <c r="I805" i="7"/>
  <c r="J804" i="7"/>
  <c r="I804" i="7"/>
  <c r="J803" i="7"/>
  <c r="I803" i="7"/>
  <c r="J802" i="7"/>
  <c r="I802" i="7"/>
  <c r="J801" i="7"/>
  <c r="I801" i="7"/>
  <c r="J800" i="7"/>
  <c r="I800" i="7"/>
  <c r="J799" i="7"/>
  <c r="I799" i="7"/>
  <c r="J798" i="7"/>
  <c r="I798" i="7"/>
  <c r="J797" i="7"/>
  <c r="I797" i="7"/>
  <c r="J796" i="7"/>
  <c r="I796" i="7"/>
  <c r="J795" i="7"/>
  <c r="I795" i="7"/>
  <c r="J794" i="7"/>
  <c r="I794" i="7"/>
  <c r="J793" i="7"/>
  <c r="I793" i="7"/>
  <c r="J792" i="7"/>
  <c r="I792" i="7"/>
  <c r="J791" i="7"/>
  <c r="I791" i="7"/>
  <c r="J790" i="7"/>
  <c r="I790" i="7"/>
  <c r="J789" i="7"/>
  <c r="I789" i="7"/>
  <c r="J788" i="7"/>
  <c r="I788" i="7"/>
  <c r="J787" i="7"/>
  <c r="I787" i="7"/>
  <c r="J786" i="7"/>
  <c r="I786" i="7"/>
  <c r="J785" i="7"/>
  <c r="I785" i="7"/>
  <c r="J784" i="7"/>
  <c r="I784" i="7"/>
  <c r="J783" i="7"/>
  <c r="I783" i="7"/>
  <c r="J782" i="7"/>
  <c r="I782" i="7"/>
  <c r="J781" i="7"/>
  <c r="I781" i="7"/>
  <c r="J780" i="7"/>
  <c r="I780" i="7"/>
  <c r="J779" i="7"/>
  <c r="I779" i="7"/>
  <c r="J778" i="7"/>
  <c r="I778" i="7"/>
  <c r="J777" i="7"/>
  <c r="I777" i="7"/>
  <c r="J776" i="7"/>
  <c r="I776" i="7"/>
  <c r="J775" i="7"/>
  <c r="I775" i="7"/>
  <c r="J774" i="7"/>
  <c r="I774" i="7"/>
  <c r="J773" i="7"/>
  <c r="I773" i="7"/>
  <c r="J772" i="7"/>
  <c r="I772" i="7"/>
  <c r="J771" i="7"/>
  <c r="I771" i="7"/>
  <c r="J770" i="7"/>
  <c r="I770" i="7"/>
  <c r="J769" i="7"/>
  <c r="I769" i="7"/>
  <c r="J768" i="7"/>
  <c r="I768" i="7"/>
  <c r="J767" i="7"/>
  <c r="I767" i="7"/>
  <c r="J766" i="7"/>
  <c r="I766" i="7"/>
  <c r="J765" i="7"/>
  <c r="I765" i="7"/>
  <c r="J764" i="7"/>
  <c r="I764" i="7"/>
  <c r="J763" i="7"/>
  <c r="I763" i="7"/>
  <c r="J762" i="7"/>
  <c r="I762" i="7"/>
  <c r="J761" i="7"/>
  <c r="I761" i="7"/>
  <c r="J760" i="7"/>
  <c r="I760" i="7"/>
  <c r="J759" i="7"/>
  <c r="I759" i="7"/>
  <c r="J758" i="7"/>
  <c r="I758" i="7"/>
  <c r="J757" i="7"/>
  <c r="I757" i="7"/>
  <c r="J756" i="7"/>
  <c r="I756" i="7"/>
  <c r="J755" i="7"/>
  <c r="I755" i="7"/>
  <c r="J754" i="7"/>
  <c r="I754" i="7"/>
  <c r="J753" i="7"/>
  <c r="I753" i="7"/>
  <c r="J752" i="7"/>
  <c r="I752" i="7"/>
  <c r="J751" i="7"/>
  <c r="I751" i="7"/>
  <c r="J750" i="7"/>
  <c r="I750" i="7"/>
  <c r="J749" i="7"/>
  <c r="I749" i="7"/>
  <c r="J748" i="7"/>
  <c r="I748" i="7"/>
  <c r="J747" i="7"/>
  <c r="I747" i="7"/>
  <c r="J746" i="7"/>
  <c r="I746" i="7"/>
  <c r="J745" i="7"/>
  <c r="I745" i="7"/>
  <c r="J744" i="7"/>
  <c r="I744" i="7"/>
  <c r="J743" i="7"/>
  <c r="I743" i="7"/>
  <c r="J742" i="7"/>
  <c r="I742" i="7"/>
  <c r="J741" i="7"/>
  <c r="I741" i="7"/>
  <c r="J740" i="7"/>
  <c r="I740" i="7"/>
  <c r="J739" i="7"/>
  <c r="I739" i="7"/>
  <c r="J738" i="7"/>
  <c r="I738" i="7"/>
  <c r="J737" i="7"/>
  <c r="I737" i="7"/>
  <c r="J736" i="7"/>
  <c r="I736" i="7"/>
  <c r="J735" i="7"/>
  <c r="I735" i="7"/>
  <c r="J734" i="7"/>
  <c r="I734" i="7"/>
  <c r="J733" i="7"/>
  <c r="I733" i="7"/>
  <c r="J732" i="7"/>
  <c r="I732" i="7"/>
  <c r="J731" i="7"/>
  <c r="I731" i="7"/>
  <c r="J730" i="7"/>
  <c r="I730" i="7"/>
  <c r="J729" i="7"/>
  <c r="I729" i="7"/>
  <c r="J728" i="7"/>
  <c r="I728" i="7"/>
  <c r="J727" i="7"/>
  <c r="I727" i="7"/>
  <c r="J726" i="7"/>
  <c r="I726" i="7"/>
  <c r="J725" i="7"/>
  <c r="I725" i="7"/>
  <c r="J724" i="7"/>
  <c r="I724" i="7"/>
  <c r="J723" i="7"/>
  <c r="I723" i="7"/>
  <c r="J722" i="7"/>
  <c r="I722" i="7"/>
  <c r="J721" i="7"/>
  <c r="I721" i="7"/>
  <c r="J720" i="7"/>
  <c r="I720" i="7"/>
  <c r="J719" i="7"/>
  <c r="I719" i="7"/>
  <c r="J718" i="7"/>
  <c r="I718" i="7"/>
  <c r="J717" i="7"/>
  <c r="I717" i="7"/>
  <c r="J716" i="7"/>
  <c r="I716" i="7"/>
  <c r="J715" i="7"/>
  <c r="I715" i="7"/>
  <c r="J714" i="7"/>
  <c r="I714" i="7"/>
  <c r="J713" i="7"/>
  <c r="I713" i="7"/>
  <c r="J712" i="7"/>
  <c r="I712" i="7"/>
  <c r="J711" i="7"/>
  <c r="I711" i="7"/>
  <c r="J710" i="7"/>
  <c r="I710" i="7"/>
  <c r="J709" i="7"/>
  <c r="I709" i="7"/>
  <c r="J708" i="7"/>
  <c r="I708" i="7"/>
  <c r="J707" i="7"/>
  <c r="I707" i="7"/>
  <c r="J706" i="7"/>
  <c r="I706" i="7"/>
  <c r="J705" i="7"/>
  <c r="I705" i="7"/>
  <c r="J704" i="7"/>
  <c r="I704" i="7"/>
  <c r="J703" i="7"/>
  <c r="I703" i="7"/>
  <c r="J702" i="7"/>
  <c r="I702" i="7"/>
  <c r="J701" i="7"/>
  <c r="I701" i="7"/>
  <c r="J700" i="7"/>
  <c r="I700" i="7"/>
  <c r="J699" i="7"/>
  <c r="I699" i="7"/>
  <c r="J698" i="7"/>
  <c r="I698" i="7"/>
  <c r="J697" i="7"/>
  <c r="I697" i="7"/>
  <c r="J696" i="7"/>
  <c r="I696" i="7"/>
  <c r="J695" i="7"/>
  <c r="I695" i="7"/>
  <c r="J694" i="7"/>
  <c r="I694" i="7"/>
  <c r="J693" i="7"/>
  <c r="I693" i="7"/>
  <c r="J692" i="7"/>
  <c r="I692" i="7"/>
  <c r="J691" i="7"/>
  <c r="I691" i="7"/>
  <c r="J690" i="7"/>
  <c r="I690" i="7"/>
  <c r="J689" i="7"/>
  <c r="I689" i="7"/>
  <c r="J688" i="7"/>
  <c r="I688" i="7"/>
  <c r="J687" i="7"/>
  <c r="I687" i="7"/>
  <c r="J686" i="7"/>
  <c r="I686" i="7"/>
  <c r="J685" i="7"/>
  <c r="I685" i="7"/>
  <c r="J684" i="7"/>
  <c r="I684" i="7"/>
  <c r="J683" i="7"/>
  <c r="I683" i="7"/>
  <c r="J682" i="7"/>
  <c r="I682" i="7"/>
  <c r="J681" i="7"/>
  <c r="I681" i="7"/>
  <c r="J680" i="7"/>
  <c r="I680" i="7"/>
  <c r="J679" i="7"/>
  <c r="I679" i="7"/>
  <c r="J678" i="7"/>
  <c r="I678" i="7"/>
  <c r="J677" i="7"/>
  <c r="I677" i="7"/>
  <c r="J676" i="7"/>
  <c r="I676" i="7"/>
  <c r="J675" i="7"/>
  <c r="I675" i="7"/>
  <c r="J674" i="7"/>
  <c r="I674" i="7"/>
  <c r="J673" i="7"/>
  <c r="I673" i="7"/>
  <c r="J672" i="7"/>
  <c r="I672" i="7"/>
  <c r="J671" i="7"/>
  <c r="I671" i="7"/>
  <c r="J670" i="7"/>
  <c r="I670" i="7"/>
  <c r="J669" i="7"/>
  <c r="I669" i="7"/>
  <c r="J668" i="7"/>
  <c r="I668" i="7"/>
  <c r="J667" i="7"/>
  <c r="I667" i="7"/>
  <c r="J666" i="7"/>
  <c r="I666" i="7"/>
  <c r="J665" i="7"/>
  <c r="I665" i="7"/>
  <c r="J664" i="7"/>
  <c r="I664" i="7"/>
  <c r="J663" i="7"/>
  <c r="I663" i="7"/>
  <c r="J662" i="7"/>
  <c r="I662" i="7"/>
  <c r="J661" i="7"/>
  <c r="I661" i="7"/>
  <c r="J660" i="7"/>
  <c r="I660" i="7"/>
  <c r="J659" i="7"/>
  <c r="I659" i="7"/>
  <c r="J658" i="7"/>
  <c r="I658" i="7"/>
  <c r="J657" i="7"/>
  <c r="I657" i="7"/>
  <c r="J656" i="7"/>
  <c r="I656" i="7"/>
  <c r="J655" i="7"/>
  <c r="I655" i="7"/>
  <c r="J654" i="7"/>
  <c r="I654" i="7"/>
  <c r="J653" i="7"/>
  <c r="I653" i="7"/>
  <c r="J652" i="7"/>
  <c r="I652" i="7"/>
  <c r="J651" i="7"/>
  <c r="I651" i="7"/>
  <c r="J650" i="7"/>
  <c r="I650" i="7"/>
  <c r="J649" i="7"/>
  <c r="I649" i="7"/>
  <c r="J648" i="7"/>
  <c r="I648" i="7"/>
  <c r="J647" i="7"/>
  <c r="I647" i="7"/>
  <c r="J646" i="7"/>
  <c r="I646" i="7"/>
  <c r="J645" i="7"/>
  <c r="I645" i="7"/>
  <c r="J644" i="7"/>
  <c r="I644" i="7"/>
  <c r="J643" i="7"/>
  <c r="I643" i="7"/>
  <c r="J642" i="7"/>
  <c r="I642" i="7"/>
  <c r="J641" i="7"/>
  <c r="I641" i="7"/>
  <c r="J640" i="7"/>
  <c r="I640" i="7"/>
  <c r="J639" i="7"/>
  <c r="I639" i="7"/>
  <c r="J638" i="7"/>
  <c r="I638" i="7"/>
  <c r="J637" i="7"/>
  <c r="I637" i="7"/>
  <c r="J636" i="7"/>
  <c r="I636" i="7"/>
  <c r="J635" i="7"/>
  <c r="I635" i="7"/>
  <c r="J634" i="7"/>
  <c r="I634" i="7"/>
  <c r="J633" i="7"/>
  <c r="I633" i="7"/>
  <c r="J632" i="7"/>
  <c r="I632" i="7"/>
  <c r="J631" i="7"/>
  <c r="I631" i="7"/>
  <c r="J630" i="7"/>
  <c r="I630" i="7"/>
  <c r="J629" i="7"/>
  <c r="I629" i="7"/>
  <c r="J628" i="7"/>
  <c r="I628" i="7"/>
  <c r="J627" i="7"/>
  <c r="I627" i="7"/>
  <c r="J626" i="7"/>
  <c r="I626" i="7"/>
  <c r="J625" i="7"/>
  <c r="I625" i="7"/>
  <c r="J624" i="7"/>
  <c r="I624" i="7"/>
  <c r="J623" i="7"/>
  <c r="I623" i="7"/>
  <c r="J622" i="7"/>
  <c r="I622" i="7"/>
  <c r="J621" i="7"/>
  <c r="I621" i="7"/>
  <c r="J620" i="7"/>
  <c r="I620" i="7"/>
  <c r="J619" i="7"/>
  <c r="I619" i="7"/>
  <c r="J618" i="7"/>
  <c r="I618" i="7"/>
  <c r="J617" i="7"/>
  <c r="I617" i="7"/>
  <c r="J616" i="7"/>
  <c r="I616" i="7"/>
  <c r="J615" i="7"/>
  <c r="I615" i="7"/>
  <c r="J614" i="7"/>
  <c r="I614" i="7"/>
  <c r="J613" i="7"/>
  <c r="I613" i="7"/>
  <c r="J612" i="7"/>
  <c r="I612" i="7"/>
  <c r="J611" i="7"/>
  <c r="I611" i="7"/>
  <c r="J610" i="7"/>
  <c r="I610" i="7"/>
  <c r="J609" i="7"/>
  <c r="I609" i="7"/>
  <c r="J608" i="7"/>
  <c r="I608" i="7"/>
  <c r="J607" i="7"/>
  <c r="I607" i="7"/>
  <c r="J606" i="7"/>
  <c r="I606" i="7"/>
  <c r="J605" i="7"/>
  <c r="I605" i="7"/>
  <c r="J604" i="7"/>
  <c r="I604" i="7"/>
  <c r="J603" i="7"/>
  <c r="I603" i="7"/>
  <c r="J602" i="7"/>
  <c r="I602" i="7"/>
  <c r="J601" i="7"/>
  <c r="I601" i="7"/>
  <c r="J600" i="7"/>
  <c r="I600" i="7"/>
  <c r="J599" i="7"/>
  <c r="I599" i="7"/>
  <c r="J598" i="7"/>
  <c r="I598" i="7"/>
  <c r="J597" i="7"/>
  <c r="I597" i="7"/>
  <c r="J596" i="7"/>
  <c r="I596" i="7"/>
  <c r="J595" i="7"/>
  <c r="I595" i="7"/>
  <c r="J594" i="7"/>
  <c r="I594" i="7"/>
  <c r="J593" i="7"/>
  <c r="I593" i="7"/>
  <c r="J592" i="7"/>
  <c r="I592" i="7"/>
  <c r="J591" i="7"/>
  <c r="I591" i="7"/>
  <c r="J590" i="7"/>
  <c r="I590" i="7"/>
  <c r="J589" i="7"/>
  <c r="I589" i="7"/>
  <c r="J588" i="7"/>
  <c r="I588" i="7"/>
  <c r="J587" i="7"/>
  <c r="I587" i="7"/>
  <c r="J586" i="7"/>
  <c r="I586" i="7"/>
  <c r="J585" i="7"/>
  <c r="I585" i="7"/>
  <c r="J584" i="7"/>
  <c r="I584" i="7"/>
  <c r="J583" i="7"/>
  <c r="I583" i="7"/>
  <c r="J582" i="7"/>
  <c r="I582" i="7"/>
  <c r="J581" i="7"/>
  <c r="I581" i="7"/>
  <c r="J580" i="7"/>
  <c r="I580" i="7"/>
  <c r="J579" i="7"/>
  <c r="I579" i="7"/>
  <c r="J578" i="7"/>
  <c r="I578" i="7"/>
  <c r="J577" i="7"/>
  <c r="I577" i="7"/>
  <c r="J576" i="7"/>
  <c r="I576" i="7"/>
  <c r="J575" i="7"/>
  <c r="I575" i="7"/>
  <c r="J574" i="7"/>
  <c r="I574" i="7"/>
  <c r="J573" i="7"/>
  <c r="I573" i="7"/>
  <c r="J572" i="7"/>
  <c r="I572" i="7"/>
  <c r="J571" i="7"/>
  <c r="I571" i="7"/>
  <c r="J570" i="7"/>
  <c r="I570" i="7"/>
  <c r="J569" i="7"/>
  <c r="I569" i="7"/>
  <c r="J568" i="7"/>
  <c r="I568" i="7"/>
  <c r="J567" i="7"/>
  <c r="I567" i="7"/>
  <c r="J566" i="7"/>
  <c r="I566" i="7"/>
  <c r="J565" i="7"/>
  <c r="I565" i="7"/>
  <c r="J564" i="7"/>
  <c r="I564" i="7"/>
  <c r="J563" i="7"/>
  <c r="I563" i="7"/>
  <c r="J562" i="7"/>
  <c r="I562" i="7"/>
  <c r="J561" i="7"/>
  <c r="I561" i="7"/>
  <c r="J560" i="7"/>
  <c r="I560" i="7"/>
  <c r="J559" i="7"/>
  <c r="I559" i="7"/>
  <c r="J558" i="7"/>
  <c r="I558" i="7"/>
  <c r="J557" i="7"/>
  <c r="I557" i="7"/>
  <c r="J556" i="7"/>
  <c r="I556" i="7"/>
  <c r="J555" i="7"/>
  <c r="I555" i="7"/>
  <c r="J554" i="7"/>
  <c r="I554" i="7"/>
  <c r="J553" i="7"/>
  <c r="I553" i="7"/>
  <c r="J552" i="7"/>
  <c r="I552" i="7"/>
  <c r="J551" i="7"/>
  <c r="I551" i="7"/>
  <c r="J550" i="7"/>
  <c r="I550" i="7"/>
  <c r="J549" i="7"/>
  <c r="I549" i="7"/>
  <c r="J548" i="7"/>
  <c r="I548" i="7"/>
  <c r="J547" i="7"/>
  <c r="I547" i="7"/>
  <c r="J546" i="7"/>
  <c r="I546" i="7"/>
  <c r="J545" i="7"/>
  <c r="I545" i="7"/>
  <c r="J544" i="7"/>
  <c r="I544" i="7"/>
  <c r="J543" i="7"/>
  <c r="I543" i="7"/>
  <c r="J542" i="7"/>
  <c r="I542" i="7"/>
  <c r="J541" i="7"/>
  <c r="I541" i="7"/>
  <c r="J540" i="7"/>
  <c r="I540" i="7"/>
  <c r="J539" i="7"/>
  <c r="I539" i="7"/>
  <c r="J538" i="7"/>
  <c r="I538" i="7"/>
  <c r="J537" i="7"/>
  <c r="I537" i="7"/>
  <c r="J536" i="7"/>
  <c r="I536" i="7"/>
  <c r="J535" i="7"/>
  <c r="I535" i="7"/>
  <c r="J534" i="7"/>
  <c r="I534" i="7"/>
  <c r="J533" i="7"/>
  <c r="I533" i="7"/>
  <c r="J532" i="7"/>
  <c r="I532" i="7"/>
  <c r="J531" i="7"/>
  <c r="I531" i="7"/>
  <c r="J530" i="7"/>
  <c r="I530" i="7"/>
  <c r="J529" i="7"/>
  <c r="I529" i="7"/>
  <c r="J528" i="7"/>
  <c r="I528" i="7"/>
  <c r="J527" i="7"/>
  <c r="I527" i="7"/>
  <c r="J526" i="7"/>
  <c r="I526" i="7"/>
  <c r="J525" i="7"/>
  <c r="I525" i="7"/>
  <c r="J524" i="7"/>
  <c r="I524" i="7"/>
  <c r="J523" i="7"/>
  <c r="I523" i="7"/>
  <c r="J522" i="7"/>
  <c r="I522" i="7"/>
  <c r="J521" i="7"/>
  <c r="I521" i="7"/>
  <c r="J520" i="7"/>
  <c r="I520" i="7"/>
  <c r="J519" i="7"/>
  <c r="I519" i="7"/>
  <c r="J518" i="7"/>
  <c r="I518" i="7"/>
  <c r="J517" i="7"/>
  <c r="I517" i="7"/>
  <c r="J516" i="7"/>
  <c r="I516" i="7"/>
  <c r="J515" i="7"/>
  <c r="I515" i="7"/>
  <c r="J514" i="7"/>
  <c r="I514" i="7"/>
  <c r="J513" i="7"/>
  <c r="I513" i="7"/>
  <c r="J512" i="7"/>
  <c r="I512" i="7"/>
  <c r="J511" i="7"/>
  <c r="I511" i="7"/>
  <c r="J510" i="7"/>
  <c r="I510" i="7"/>
  <c r="J509" i="7"/>
  <c r="I509" i="7"/>
  <c r="J508" i="7"/>
  <c r="I508" i="7"/>
  <c r="J507" i="7"/>
  <c r="I507" i="7"/>
  <c r="J506" i="7"/>
  <c r="I506" i="7"/>
  <c r="J505" i="7"/>
  <c r="I505" i="7"/>
  <c r="J504" i="7"/>
  <c r="I504" i="7"/>
  <c r="J503" i="7"/>
  <c r="I503" i="7"/>
  <c r="J502" i="7"/>
  <c r="I502" i="7"/>
  <c r="J501" i="7"/>
  <c r="I501" i="7"/>
  <c r="J500" i="7"/>
  <c r="I500" i="7"/>
  <c r="J499" i="7"/>
  <c r="I499" i="7"/>
  <c r="J498" i="7"/>
  <c r="I498" i="7"/>
  <c r="J497" i="7"/>
  <c r="I497" i="7"/>
  <c r="J496" i="7"/>
  <c r="I496" i="7"/>
  <c r="J495" i="7"/>
  <c r="I495" i="7"/>
  <c r="J494" i="7"/>
  <c r="I494" i="7"/>
  <c r="J493" i="7"/>
  <c r="I493" i="7"/>
  <c r="J492" i="7"/>
  <c r="I492" i="7"/>
  <c r="J491" i="7"/>
  <c r="I491" i="7"/>
  <c r="J490" i="7"/>
  <c r="I490" i="7"/>
  <c r="J489" i="7"/>
  <c r="I489" i="7"/>
  <c r="J488" i="7"/>
  <c r="I488" i="7"/>
  <c r="J487" i="7"/>
  <c r="I487" i="7"/>
  <c r="J486" i="7"/>
  <c r="I486" i="7"/>
  <c r="J485" i="7"/>
  <c r="I485" i="7"/>
  <c r="J484" i="7"/>
  <c r="I484" i="7"/>
  <c r="J483" i="7"/>
  <c r="I483" i="7"/>
  <c r="J482" i="7"/>
  <c r="I482" i="7"/>
  <c r="J481" i="7"/>
  <c r="I481" i="7"/>
  <c r="J480" i="7"/>
  <c r="I480" i="7"/>
  <c r="J479" i="7"/>
  <c r="I479" i="7"/>
  <c r="J478" i="7"/>
  <c r="I478" i="7"/>
  <c r="J477" i="7"/>
  <c r="I477" i="7"/>
  <c r="J476" i="7"/>
  <c r="I476" i="7"/>
  <c r="J475" i="7"/>
  <c r="I475" i="7"/>
  <c r="J474" i="7"/>
  <c r="I474" i="7"/>
  <c r="J473" i="7"/>
  <c r="I473" i="7"/>
  <c r="J472" i="7"/>
  <c r="I472" i="7"/>
  <c r="J471" i="7"/>
  <c r="I471" i="7"/>
  <c r="J470" i="7"/>
  <c r="I470" i="7"/>
  <c r="J469" i="7"/>
  <c r="I469" i="7"/>
  <c r="J468" i="7"/>
  <c r="I468" i="7"/>
  <c r="J467" i="7"/>
  <c r="I467" i="7"/>
  <c r="J466" i="7"/>
  <c r="I466" i="7"/>
  <c r="J465" i="7"/>
  <c r="I465" i="7"/>
  <c r="J464" i="7"/>
  <c r="I464" i="7"/>
  <c r="J463" i="7"/>
  <c r="I463" i="7"/>
  <c r="J462" i="7"/>
  <c r="I462" i="7"/>
  <c r="J461" i="7"/>
  <c r="I461" i="7"/>
  <c r="J460" i="7"/>
  <c r="I460" i="7"/>
  <c r="J459" i="7"/>
  <c r="I459" i="7"/>
  <c r="J458" i="7"/>
  <c r="I458" i="7"/>
  <c r="J457" i="7"/>
  <c r="I457" i="7"/>
  <c r="J456" i="7"/>
  <c r="I456" i="7"/>
  <c r="J455" i="7"/>
  <c r="I455" i="7"/>
  <c r="J454" i="7"/>
  <c r="I454" i="7"/>
  <c r="J453" i="7"/>
  <c r="I453" i="7"/>
  <c r="J452" i="7"/>
  <c r="I452" i="7"/>
  <c r="J451" i="7"/>
  <c r="I451" i="7"/>
  <c r="J450" i="7"/>
  <c r="I450" i="7"/>
  <c r="J449" i="7"/>
  <c r="I449" i="7"/>
  <c r="J448" i="7"/>
  <c r="I448" i="7"/>
  <c r="J447" i="7"/>
  <c r="I447" i="7"/>
  <c r="J446" i="7"/>
  <c r="I446" i="7"/>
  <c r="J445" i="7"/>
  <c r="I445" i="7"/>
  <c r="J444" i="7"/>
  <c r="I444" i="7"/>
  <c r="J443" i="7"/>
  <c r="I443" i="7"/>
  <c r="J442" i="7"/>
  <c r="I442" i="7"/>
  <c r="J441" i="7"/>
  <c r="I441" i="7"/>
  <c r="J440" i="7"/>
  <c r="I440" i="7"/>
  <c r="J439" i="7"/>
  <c r="I439" i="7"/>
  <c r="J438" i="7"/>
  <c r="I438" i="7"/>
  <c r="J437" i="7"/>
  <c r="I437" i="7"/>
  <c r="J436" i="7"/>
  <c r="I436" i="7"/>
  <c r="J435" i="7"/>
  <c r="I435" i="7"/>
  <c r="J434" i="7"/>
  <c r="I434" i="7"/>
  <c r="J433" i="7"/>
  <c r="I433" i="7"/>
  <c r="J432" i="7"/>
  <c r="I432" i="7"/>
  <c r="J431" i="7"/>
  <c r="I431" i="7"/>
  <c r="J430" i="7"/>
  <c r="I430" i="7"/>
  <c r="J429" i="7"/>
  <c r="I429" i="7"/>
  <c r="J428" i="7"/>
  <c r="I428" i="7"/>
  <c r="J427" i="7"/>
  <c r="I427" i="7"/>
  <c r="J426" i="7"/>
  <c r="I426" i="7"/>
  <c r="J425" i="7"/>
  <c r="I425" i="7"/>
  <c r="J424" i="7"/>
  <c r="I424" i="7"/>
  <c r="J423" i="7"/>
  <c r="I423" i="7"/>
  <c r="J422" i="7"/>
  <c r="I422" i="7"/>
  <c r="J421" i="7"/>
  <c r="I421" i="7"/>
  <c r="J420" i="7"/>
  <c r="I420" i="7"/>
  <c r="J419" i="7"/>
  <c r="I419" i="7"/>
  <c r="J418" i="7"/>
  <c r="I418" i="7"/>
  <c r="J417" i="7"/>
  <c r="I417" i="7"/>
  <c r="J416" i="7"/>
  <c r="I416" i="7"/>
  <c r="J415" i="7"/>
  <c r="I415" i="7"/>
  <c r="J414" i="7"/>
  <c r="I414" i="7"/>
  <c r="J413" i="7"/>
  <c r="I413" i="7"/>
  <c r="J412" i="7"/>
  <c r="I412" i="7"/>
  <c r="J411" i="7"/>
  <c r="I411" i="7"/>
  <c r="J410" i="7"/>
  <c r="I410" i="7"/>
  <c r="J409" i="7"/>
  <c r="I409" i="7"/>
  <c r="J408" i="7"/>
  <c r="I408" i="7"/>
  <c r="J407" i="7"/>
  <c r="I407" i="7"/>
  <c r="J406" i="7"/>
  <c r="I406" i="7"/>
  <c r="J405" i="7"/>
  <c r="I405" i="7"/>
  <c r="J404" i="7"/>
  <c r="I404" i="7"/>
  <c r="J403" i="7"/>
  <c r="I403" i="7"/>
  <c r="J402" i="7"/>
  <c r="I402" i="7"/>
  <c r="J401" i="7"/>
  <c r="I401" i="7"/>
  <c r="J400" i="7"/>
  <c r="I400" i="7"/>
  <c r="J399" i="7"/>
  <c r="I399" i="7"/>
  <c r="J398" i="7"/>
  <c r="I398" i="7"/>
  <c r="J397" i="7"/>
  <c r="I397" i="7"/>
  <c r="J396" i="7"/>
  <c r="I396" i="7"/>
  <c r="J395" i="7"/>
  <c r="I395" i="7"/>
  <c r="J394" i="7"/>
  <c r="I394" i="7"/>
  <c r="J393" i="7"/>
  <c r="I393" i="7"/>
  <c r="J392" i="7"/>
  <c r="I392" i="7"/>
  <c r="J391" i="7"/>
  <c r="I391" i="7"/>
  <c r="J390" i="7"/>
  <c r="I390" i="7"/>
  <c r="J389" i="7"/>
  <c r="I389" i="7"/>
  <c r="J388" i="7"/>
  <c r="I388" i="7"/>
  <c r="J387" i="7"/>
  <c r="I387" i="7"/>
  <c r="J386" i="7"/>
  <c r="I386" i="7"/>
  <c r="J385" i="7"/>
  <c r="I385" i="7"/>
  <c r="J384" i="7"/>
  <c r="I384" i="7"/>
  <c r="J383" i="7"/>
  <c r="I383" i="7"/>
  <c r="J382" i="7"/>
  <c r="I382" i="7"/>
  <c r="J381" i="7"/>
  <c r="I381" i="7"/>
  <c r="J380" i="7"/>
  <c r="I380" i="7"/>
  <c r="J379" i="7"/>
  <c r="I379" i="7"/>
  <c r="J378" i="7"/>
  <c r="I378" i="7"/>
  <c r="J377" i="7"/>
  <c r="I377" i="7"/>
  <c r="J376" i="7"/>
  <c r="I376" i="7"/>
  <c r="J375" i="7"/>
  <c r="I375" i="7"/>
  <c r="J374" i="7"/>
  <c r="I374" i="7"/>
  <c r="J373" i="7"/>
  <c r="I373" i="7"/>
  <c r="J372" i="7"/>
  <c r="I372" i="7"/>
  <c r="J371" i="7"/>
  <c r="I371" i="7"/>
  <c r="J370" i="7"/>
  <c r="I370" i="7"/>
  <c r="J369" i="7"/>
  <c r="I369" i="7"/>
  <c r="J368" i="7"/>
  <c r="I368" i="7"/>
  <c r="J367" i="7"/>
  <c r="I367" i="7"/>
  <c r="J366" i="7"/>
  <c r="I366" i="7"/>
  <c r="J365" i="7"/>
  <c r="I365" i="7"/>
  <c r="J364" i="7"/>
  <c r="I364" i="7"/>
  <c r="J363" i="7"/>
  <c r="I363" i="7"/>
  <c r="J362" i="7"/>
  <c r="I362" i="7"/>
  <c r="J361" i="7"/>
  <c r="I361" i="7"/>
  <c r="J360" i="7"/>
  <c r="I360" i="7"/>
  <c r="J359" i="7"/>
  <c r="I359" i="7"/>
  <c r="J358" i="7"/>
  <c r="I358" i="7"/>
  <c r="J357" i="7"/>
  <c r="I357" i="7"/>
  <c r="J356" i="7"/>
  <c r="I356" i="7"/>
  <c r="J355" i="7"/>
  <c r="I355" i="7"/>
  <c r="J354" i="7"/>
  <c r="I354" i="7"/>
  <c r="J353" i="7"/>
  <c r="I353" i="7"/>
  <c r="J352" i="7"/>
  <c r="I352" i="7"/>
  <c r="J351" i="7"/>
  <c r="I351" i="7"/>
  <c r="J350" i="7"/>
  <c r="I350" i="7"/>
  <c r="J349" i="7"/>
  <c r="I349" i="7"/>
  <c r="J348" i="7"/>
  <c r="I348" i="7"/>
  <c r="J347" i="7"/>
  <c r="I347" i="7"/>
  <c r="J346" i="7"/>
  <c r="I346" i="7"/>
  <c r="J345" i="7"/>
  <c r="I345" i="7"/>
  <c r="J344" i="7"/>
  <c r="I344" i="7"/>
  <c r="J343" i="7"/>
  <c r="I343" i="7"/>
  <c r="J342" i="7"/>
  <c r="I342" i="7"/>
  <c r="J341" i="7"/>
  <c r="I341" i="7"/>
  <c r="J340" i="7"/>
  <c r="I340" i="7"/>
  <c r="J339" i="7"/>
  <c r="I339" i="7"/>
  <c r="J338" i="7"/>
  <c r="I338" i="7"/>
  <c r="J337" i="7"/>
  <c r="I337" i="7"/>
  <c r="J336" i="7"/>
  <c r="I336" i="7"/>
  <c r="J335" i="7"/>
  <c r="I335" i="7"/>
  <c r="J334" i="7"/>
  <c r="I334" i="7"/>
  <c r="J333" i="7"/>
  <c r="I333" i="7"/>
  <c r="J332" i="7"/>
  <c r="I332" i="7"/>
  <c r="J331" i="7"/>
  <c r="I331" i="7"/>
  <c r="J330" i="7"/>
  <c r="I330" i="7"/>
  <c r="J329" i="7"/>
  <c r="I329" i="7"/>
  <c r="J328" i="7"/>
  <c r="I328" i="7"/>
  <c r="J327" i="7"/>
  <c r="I327" i="7"/>
  <c r="J326" i="7"/>
  <c r="I326" i="7"/>
  <c r="J325" i="7"/>
  <c r="I325" i="7"/>
  <c r="J324" i="7"/>
  <c r="I324" i="7"/>
  <c r="J323" i="7"/>
  <c r="I323" i="7"/>
  <c r="J322" i="7"/>
  <c r="I322" i="7"/>
  <c r="J321" i="7"/>
  <c r="I321" i="7"/>
  <c r="J320" i="7"/>
  <c r="I320" i="7"/>
  <c r="J319" i="7"/>
  <c r="I319" i="7"/>
  <c r="J318" i="7"/>
  <c r="I318" i="7"/>
  <c r="J317" i="7"/>
  <c r="I317" i="7"/>
  <c r="J316" i="7"/>
  <c r="I316" i="7"/>
  <c r="J315" i="7"/>
  <c r="I315" i="7"/>
  <c r="J314" i="7"/>
  <c r="I314" i="7"/>
  <c r="J313" i="7"/>
  <c r="I313" i="7"/>
  <c r="J312" i="7"/>
  <c r="I312" i="7"/>
  <c r="J311" i="7"/>
  <c r="I311" i="7"/>
  <c r="J310" i="7"/>
  <c r="I310" i="7"/>
  <c r="J309" i="7"/>
  <c r="I309" i="7"/>
  <c r="J308" i="7"/>
  <c r="I308" i="7"/>
  <c r="J307" i="7"/>
  <c r="I307" i="7"/>
  <c r="J306" i="7"/>
  <c r="I306" i="7"/>
  <c r="J305" i="7"/>
  <c r="I305" i="7"/>
  <c r="J304" i="7"/>
  <c r="I304" i="7"/>
  <c r="J303" i="7"/>
  <c r="I303" i="7"/>
  <c r="J302" i="7"/>
  <c r="I302" i="7"/>
  <c r="J301" i="7"/>
  <c r="I301" i="7"/>
  <c r="J300" i="7"/>
  <c r="I300" i="7"/>
  <c r="J299" i="7"/>
  <c r="I299" i="7"/>
  <c r="J298" i="7"/>
  <c r="I298" i="7"/>
  <c r="J297" i="7"/>
  <c r="I297" i="7"/>
  <c r="J296" i="7"/>
  <c r="I296" i="7"/>
  <c r="J295" i="7"/>
  <c r="I295" i="7"/>
  <c r="J294" i="7"/>
  <c r="I294" i="7"/>
  <c r="J293" i="7"/>
  <c r="I293" i="7"/>
  <c r="J292" i="7"/>
  <c r="I292" i="7"/>
  <c r="J291" i="7"/>
  <c r="I291" i="7"/>
  <c r="J290" i="7"/>
  <c r="I290" i="7"/>
  <c r="J289" i="7"/>
  <c r="I289" i="7"/>
  <c r="J288" i="7"/>
  <c r="I288" i="7"/>
  <c r="J287" i="7"/>
  <c r="I287" i="7"/>
  <c r="J286" i="7"/>
  <c r="I286" i="7"/>
  <c r="J285" i="7"/>
  <c r="I285" i="7"/>
  <c r="J284" i="7"/>
  <c r="I284" i="7"/>
  <c r="J283" i="7"/>
  <c r="I283" i="7"/>
  <c r="J282" i="7"/>
  <c r="I282" i="7"/>
  <c r="J281" i="7"/>
  <c r="I281" i="7"/>
  <c r="J280" i="7"/>
  <c r="I280" i="7"/>
  <c r="J279" i="7"/>
  <c r="I279" i="7"/>
  <c r="J278" i="7"/>
  <c r="I278" i="7"/>
  <c r="J277" i="7"/>
  <c r="I277" i="7"/>
  <c r="J276" i="7"/>
  <c r="I276" i="7"/>
  <c r="J275" i="7"/>
  <c r="I275" i="7"/>
  <c r="J274" i="7"/>
  <c r="I274" i="7"/>
  <c r="J273" i="7"/>
  <c r="I273" i="7"/>
  <c r="J272" i="7"/>
  <c r="I272" i="7"/>
  <c r="J271" i="7"/>
  <c r="I271" i="7"/>
  <c r="J270" i="7"/>
  <c r="I270" i="7"/>
  <c r="J269" i="7"/>
  <c r="I269" i="7"/>
  <c r="J268" i="7"/>
  <c r="I268" i="7"/>
  <c r="J267" i="7"/>
  <c r="I267" i="7"/>
  <c r="J266" i="7"/>
  <c r="I266" i="7"/>
  <c r="J265" i="7"/>
  <c r="I265" i="7"/>
  <c r="J264" i="7"/>
  <c r="I264" i="7"/>
  <c r="J263" i="7"/>
  <c r="I263" i="7"/>
  <c r="J262" i="7"/>
  <c r="I262" i="7"/>
  <c r="J261" i="7"/>
  <c r="I261" i="7"/>
  <c r="J260" i="7"/>
  <c r="I260" i="7"/>
  <c r="J259" i="7"/>
  <c r="I259" i="7"/>
  <c r="J258" i="7"/>
  <c r="I258" i="7"/>
  <c r="J257" i="7"/>
  <c r="I257" i="7"/>
  <c r="J256" i="7"/>
  <c r="I256" i="7"/>
  <c r="J255" i="7"/>
  <c r="I255" i="7"/>
  <c r="J254" i="7"/>
  <c r="I254" i="7"/>
  <c r="J253" i="7"/>
  <c r="I253" i="7"/>
  <c r="J252" i="7"/>
  <c r="I252" i="7"/>
  <c r="J251" i="7"/>
  <c r="I251" i="7"/>
  <c r="J250" i="7"/>
  <c r="I250" i="7"/>
  <c r="J249" i="7"/>
  <c r="I249" i="7"/>
  <c r="J248" i="7"/>
  <c r="I248" i="7"/>
  <c r="J247" i="7"/>
  <c r="I247" i="7"/>
  <c r="J246" i="7"/>
  <c r="I246" i="7"/>
  <c r="J245" i="7"/>
  <c r="I245" i="7"/>
  <c r="J244" i="7"/>
  <c r="I244" i="7"/>
  <c r="J243" i="7"/>
  <c r="I243" i="7"/>
  <c r="J242" i="7"/>
  <c r="I242" i="7"/>
  <c r="J241" i="7"/>
  <c r="I241" i="7"/>
  <c r="J240" i="7"/>
  <c r="I240" i="7"/>
  <c r="J239" i="7"/>
  <c r="I239" i="7"/>
  <c r="J238" i="7"/>
  <c r="I238" i="7"/>
  <c r="J237" i="7"/>
  <c r="I237" i="7"/>
  <c r="J236" i="7"/>
  <c r="I236" i="7"/>
  <c r="J235" i="7"/>
  <c r="I235" i="7"/>
  <c r="J234" i="7"/>
  <c r="I234" i="7"/>
  <c r="J233" i="7"/>
  <c r="I233" i="7"/>
  <c r="J232" i="7"/>
  <c r="I232" i="7"/>
  <c r="J231" i="7"/>
  <c r="I231" i="7"/>
  <c r="J230" i="7"/>
  <c r="I230" i="7"/>
  <c r="J229" i="7"/>
  <c r="I229" i="7"/>
  <c r="J228" i="7"/>
  <c r="I228" i="7"/>
  <c r="J227" i="7"/>
  <c r="I227" i="7"/>
  <c r="J226" i="7"/>
  <c r="I226" i="7"/>
  <c r="J225" i="7"/>
  <c r="I225" i="7"/>
  <c r="J224" i="7"/>
  <c r="I224" i="7"/>
  <c r="J223" i="7"/>
  <c r="I223" i="7"/>
  <c r="J222" i="7"/>
  <c r="I222" i="7"/>
  <c r="J221" i="7"/>
  <c r="I221" i="7"/>
  <c r="J220" i="7"/>
  <c r="I220" i="7"/>
  <c r="J219" i="7"/>
  <c r="I219" i="7"/>
  <c r="J218" i="7"/>
  <c r="I218" i="7"/>
  <c r="J217" i="7"/>
  <c r="I217" i="7"/>
  <c r="J216" i="7"/>
  <c r="I216" i="7"/>
  <c r="J215" i="7"/>
  <c r="I215" i="7"/>
  <c r="J214" i="7"/>
  <c r="I214" i="7"/>
  <c r="J213" i="7"/>
  <c r="I213" i="7"/>
  <c r="J212" i="7"/>
  <c r="I212" i="7"/>
  <c r="J211" i="7"/>
  <c r="I211" i="7"/>
  <c r="J210" i="7"/>
  <c r="I210" i="7"/>
  <c r="J209" i="7"/>
  <c r="I209" i="7"/>
  <c r="J208" i="7"/>
  <c r="I208" i="7"/>
  <c r="J207" i="7"/>
  <c r="I207" i="7"/>
  <c r="J206" i="7"/>
  <c r="I206" i="7"/>
  <c r="J205" i="7"/>
  <c r="I205" i="7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J185" i="7"/>
  <c r="I185" i="7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J177" i="7"/>
  <c r="I177" i="7"/>
  <c r="J176" i="7"/>
  <c r="I176" i="7"/>
  <c r="J175" i="7"/>
  <c r="I175" i="7"/>
  <c r="J174" i="7"/>
  <c r="I174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B19" i="1"/>
  <c r="B16" i="1"/>
  <c r="B13" i="1"/>
  <c r="B10" i="1"/>
  <c r="B7" i="1"/>
  <c r="K110" i="6" l="1"/>
  <c r="K86" i="6"/>
  <c r="K50" i="6"/>
  <c r="K26" i="6"/>
  <c r="K14" i="6"/>
  <c r="K133" i="6"/>
  <c r="K121" i="6"/>
  <c r="K109" i="6"/>
  <c r="K97" i="6"/>
  <c r="K13" i="6"/>
  <c r="K134" i="6"/>
  <c r="K98" i="6"/>
  <c r="K62" i="6"/>
  <c r="K38" i="6"/>
  <c r="K2" i="6"/>
  <c r="K122" i="6"/>
  <c r="K74" i="6"/>
  <c r="K131" i="6"/>
  <c r="K119" i="6"/>
  <c r="K107" i="6"/>
  <c r="K95" i="6"/>
  <c r="K83" i="6"/>
  <c r="K71" i="6"/>
  <c r="K59" i="6"/>
  <c r="K47" i="6"/>
  <c r="K35" i="6"/>
  <c r="K23" i="6"/>
  <c r="K11" i="6"/>
  <c r="K127" i="6"/>
  <c r="K115" i="6"/>
  <c r="K103" i="6"/>
  <c r="K91" i="6"/>
  <c r="K79" i="6"/>
  <c r="K67" i="6"/>
  <c r="K55" i="6"/>
  <c r="K43" i="6"/>
  <c r="K31" i="6"/>
  <c r="K19" i="6"/>
  <c r="K7" i="6"/>
  <c r="K132" i="6"/>
  <c r="K120" i="6"/>
  <c r="K108" i="6"/>
  <c r="K96" i="6"/>
  <c r="K84" i="6"/>
  <c r="K72" i="6"/>
  <c r="K60" i="6"/>
  <c r="K48" i="6"/>
  <c r="K36" i="6"/>
  <c r="K24" i="6"/>
  <c r="K12" i="6"/>
  <c r="K137" i="6"/>
  <c r="K125" i="6"/>
  <c r="K113" i="6"/>
  <c r="K101" i="6"/>
  <c r="K89" i="6"/>
  <c r="K77" i="6"/>
  <c r="K65" i="6"/>
  <c r="K53" i="6"/>
  <c r="K41" i="6"/>
  <c r="K29" i="6"/>
  <c r="K17" i="6"/>
  <c r="K5" i="6"/>
  <c r="K3" i="6"/>
  <c r="K128" i="6"/>
  <c r="K116" i="6"/>
  <c r="K104" i="6"/>
  <c r="K92" i="6"/>
  <c r="K80" i="6"/>
  <c r="K68" i="6"/>
  <c r="K56" i="6"/>
  <c r="K44" i="6"/>
  <c r="K32" i="6"/>
  <c r="K20" i="6"/>
</calcChain>
</file>

<file path=xl/sharedStrings.xml><?xml version="1.0" encoding="utf-8"?>
<sst xmlns="http://schemas.openxmlformats.org/spreadsheetml/2006/main" count="7993" uniqueCount="415">
  <si>
    <t>Reasignacion de clientes al vendedor 185 (MiniMarket)</t>
  </si>
  <si>
    <t>Promedio de ventas abr-jun 2026 de los clientes reasignados, por vendedor origen y producto</t>
  </si>
  <si>
    <t>Clientes (union)</t>
  </si>
  <si>
    <t>Como usar este libro</t>
  </si>
  <si>
    <t>- Detalle Vendedor-Producto: una fila por vendedor + producto. Filtra por RepCodigo para mostrarle a cada vendedor solo lo suyo.</t>
  </si>
  <si>
    <t>173 en ClientesDetalle, 176 en RutaVisitas (170 en ambas)</t>
  </si>
  <si>
    <t>- Por Vendedor / Por Suplidor: resumen ya agregado, listo para graficar.</t>
  </si>
  <si>
    <t>Vendedores origen</t>
  </si>
  <si>
    <t>- Presupuesto 185: lo que consolidado recibiria el 185 por producto (suma de todos los vendedores origen).</t>
  </si>
  <si>
    <t>- Impacto Presupuesto: compara el promedio a rebajar contra el presupuesto actual de 2026/08 (UNDDPROD) de cada vendedor+producto, y calcula cuanto quedaria.</t>
  </si>
  <si>
    <t>vendian en estos clientes abr-jun 2026</t>
  </si>
  <si>
    <t>- Para pivotear: selecciona la tabla de 'Detalle Vendedor-Producto' o 'Impacto Presupuesto' e inserta una Tabla Dinamica (Insertar &gt; Tabla dinamica).</t>
  </si>
  <si>
    <t>Productos</t>
  </si>
  <si>
    <t>con promedio mensual &gt; 0 unidades</t>
  </si>
  <si>
    <t>Unidades / mes prom.</t>
  </si>
  <si>
    <t>a cargar al 185 (UNDDPROD, 2026/08)</t>
  </si>
  <si>
    <t>Monto bruto / mes prom.</t>
  </si>
  <si>
    <t>sin ITBS, referencia</t>
  </si>
  <si>
    <t>Presupuesto 185 hoy</t>
  </si>
  <si>
    <t>55 filas existentes suman 0</t>
  </si>
  <si>
    <t>Fuente: VWVentas + VWVentasDetalle (VenEstatus&lt;&gt;0, abr-jun 2026), ClientesDetalle, RutaVisitas, PresupuestosHistoricos (2026/08, UNDDPROD). El valor es de referencia.</t>
  </si>
  <si>
    <t>CliID</t>
  </si>
  <si>
    <t>Cliente</t>
  </si>
  <si>
    <t>En_ClientesDetalle</t>
  </si>
  <si>
    <t>En_RutaVisitas</t>
  </si>
  <si>
    <t>Colmado Progreso</t>
  </si>
  <si>
    <t>Si</t>
  </si>
  <si>
    <t>Mini Market La Prima</t>
  </si>
  <si>
    <t>Suoermercado Arias Ayemar</t>
  </si>
  <si>
    <t>Almacen el mello</t>
  </si>
  <si>
    <t>Colmado Chelo Comercial II</t>
  </si>
  <si>
    <t>minimarck Frayner</t>
  </si>
  <si>
    <t>almacen la confianza</t>
  </si>
  <si>
    <t>Super Jay Import. SRL</t>
  </si>
  <si>
    <t>Surtidor  el Brisal</t>
  </si>
  <si>
    <t>Minimarket Jael</t>
  </si>
  <si>
    <t>Colmado ocoeño</t>
  </si>
  <si>
    <t>Mini Market Ramirez</t>
  </si>
  <si>
    <t>Colmado Marrero</t>
  </si>
  <si>
    <t>Mini Market 4V</t>
  </si>
  <si>
    <t>Importadora la Primavera</t>
  </si>
  <si>
    <t>Sultidora Suares</t>
  </si>
  <si>
    <t>D Moya comercial</t>
  </si>
  <si>
    <t>Ventas Populares Esther</t>
  </si>
  <si>
    <t>Comercial La Esperanza</t>
  </si>
  <si>
    <t>Colmado Charina</t>
  </si>
  <si>
    <t>Sheyla Comercial</t>
  </si>
  <si>
    <t>Mini Market Bendicion De Jehova</t>
  </si>
  <si>
    <t>Mini Market Familiar</t>
  </si>
  <si>
    <t>Super Colmado Cordero</t>
  </si>
  <si>
    <t>comercial la defensa</t>
  </si>
  <si>
    <t>Colmado carmano antg ale</t>
  </si>
  <si>
    <t>MINIMARKET GENESIS 3</t>
  </si>
  <si>
    <t>Mimimarket Alameda</t>
  </si>
  <si>
    <t>Almacén Los Framboyan</t>
  </si>
  <si>
    <t>Minimarket doble  AA</t>
  </si>
  <si>
    <t>Colmado LUZ UNIDAD SRL</t>
  </si>
  <si>
    <t>mini market alta gama</t>
  </si>
  <si>
    <t>Colmado manantial</t>
  </si>
  <si>
    <t>Minimarket : El Negro del Swing Margot</t>
  </si>
  <si>
    <t>mini marck Los Muchachos</t>
  </si>
  <si>
    <t>COMERCIAL LA FE</t>
  </si>
  <si>
    <t>MINI MARKET PYB</t>
  </si>
  <si>
    <t>Mini Market Gracia Divina</t>
  </si>
  <si>
    <t>J y M Supplis</t>
  </si>
  <si>
    <t>ARROCERA EL INVI</t>
  </si>
  <si>
    <t>Super Baraton Yenni</t>
  </si>
  <si>
    <t xml:space="preserve">SUPER BODEGA NEPO REAL </t>
  </si>
  <si>
    <t>Colmado Lopez</t>
  </si>
  <si>
    <t>Provisiones Delgado</t>
  </si>
  <si>
    <t>Arrocera Genao II</t>
  </si>
  <si>
    <t>Comercial El Guardia</t>
  </si>
  <si>
    <t>Colmado Karina</t>
  </si>
  <si>
    <t>Colmado Casa Ureña</t>
  </si>
  <si>
    <t>super bodega ambiente</t>
  </si>
  <si>
    <t>No</t>
  </si>
  <si>
    <t>Mini Market El Baraton</t>
  </si>
  <si>
    <t>Comercial Edily</t>
  </si>
  <si>
    <t>MINIMARKET ANA IRIS</t>
  </si>
  <si>
    <t>SURTIDORA DAMIR SRL</t>
  </si>
  <si>
    <t>NITIDOS</t>
  </si>
  <si>
    <t>Comercial Nuevo Amanecer</t>
  </si>
  <si>
    <t>Mini Market Alcantara</t>
  </si>
  <si>
    <t>SUPER MARKET NAYI</t>
  </si>
  <si>
    <t>BODEGA TINEO</t>
  </si>
  <si>
    <t>Super Mini Market Jerez</t>
  </si>
  <si>
    <t>SUPER MERCADO LI</t>
  </si>
  <si>
    <t>Surtidora Los Prado</t>
  </si>
  <si>
    <t>minimark Don pancho</t>
  </si>
  <si>
    <t>DANYE MINIMARKET</t>
  </si>
  <si>
    <t>Distribuidora Lantigua II</t>
  </si>
  <si>
    <t>Colmado 24/7</t>
  </si>
  <si>
    <t>Colmado La Castellana</t>
  </si>
  <si>
    <t>Comercial Hernandez Tejada SRL.</t>
  </si>
  <si>
    <t>SUPER BODEGA MINI MARKET LOS MELLOS</t>
  </si>
  <si>
    <t>Disponible 189</t>
  </si>
  <si>
    <t>CASA TAVERAS</t>
  </si>
  <si>
    <t>Colmado D.J.M Minimarket</t>
  </si>
  <si>
    <t>Puello Comercial</t>
  </si>
  <si>
    <t>Surtidora Carlo</t>
  </si>
  <si>
    <t>Surtidora Vida</t>
  </si>
  <si>
    <t>Minimarket Guzman</t>
  </si>
  <si>
    <t>Comercial Samil Dilan</t>
  </si>
  <si>
    <t>Plaza Merali</t>
  </si>
  <si>
    <t>Tienda jhomper</t>
  </si>
  <si>
    <t>D DIOS MINI MARKET</t>
  </si>
  <si>
    <t>Minimark  TiTa</t>
  </si>
  <si>
    <t>CARNIVERIA Y EMBUTIDO BERNARDO</t>
  </si>
  <si>
    <t>Mini Market Corona</t>
  </si>
  <si>
    <t>Colmado Castillo</t>
  </si>
  <si>
    <t>MINIMARKET BRAULIO</t>
  </si>
  <si>
    <t>La Despensa Express</t>
  </si>
  <si>
    <t>J y R comercial</t>
  </si>
  <si>
    <t>Colmado jesu</t>
  </si>
  <si>
    <t>Supermercado girasoles</t>
  </si>
  <si>
    <t>Almacen Los Chivo</t>
  </si>
  <si>
    <t>productor la bendición de dios</t>
  </si>
  <si>
    <t>Colmado Cesario</t>
  </si>
  <si>
    <t>Comercial Miguel Antonio</t>
  </si>
  <si>
    <t>Mini Market El Lider</t>
  </si>
  <si>
    <t>Empresa Corazon De Jesus S.R.L</t>
  </si>
  <si>
    <t>MINI MARKET A&amp;R SRL</t>
  </si>
  <si>
    <t>Colmado Comercial L B</t>
  </si>
  <si>
    <t>Plaza Comercial El Trópico.</t>
  </si>
  <si>
    <t>comerciar ozuna</t>
  </si>
  <si>
    <t>Variedades ( O Y C) 10 Y 15</t>
  </si>
  <si>
    <t>GSM MATOS MARKET</t>
  </si>
  <si>
    <t>MINI MARKET DIOS DIVINO SRL</t>
  </si>
  <si>
    <t>Colmado Los Menores</t>
  </si>
  <si>
    <t>M.Market D Clase</t>
  </si>
  <si>
    <t>MINI MARKET REAL 2</t>
  </si>
  <si>
    <t>Mini Market Tu Mejor Ahorro (Tu Economia Ll</t>
  </si>
  <si>
    <t>mini. market josue</t>
  </si>
  <si>
    <t>Colmado ROY antiguo liz</t>
  </si>
  <si>
    <t>provisiones y más t y t</t>
  </si>
  <si>
    <t>Comercial  Darienny</t>
  </si>
  <si>
    <t>Mini  Market   J  &amp;  C</t>
  </si>
  <si>
    <t>SUPERMERCADO Y BANCA PANADERIA REAL</t>
  </si>
  <si>
    <t>mini market R J</t>
  </si>
  <si>
    <t>Comercial F y M</t>
  </si>
  <si>
    <t>Surtidora Romero</t>
  </si>
  <si>
    <t>Colmado Bitelva</t>
  </si>
  <si>
    <t>Colmado Rudy</t>
  </si>
  <si>
    <t>Super Colmado Jenny</t>
  </si>
  <si>
    <t>colmado el Rubio</t>
  </si>
  <si>
    <t>Casa Grullon</t>
  </si>
  <si>
    <t>Colmado los 3 hermanos (Chelo)</t>
  </si>
  <si>
    <t>Almacen Manuel</t>
  </si>
  <si>
    <t>ALMACEN SURTIDORA ALEXANDER</t>
  </si>
  <si>
    <t>Surtidora Reyes</t>
  </si>
  <si>
    <t>Colmado Cristofer ( MINIMARKET JOSE MEJIA)</t>
  </si>
  <si>
    <t>comercial Hebreo 11</t>
  </si>
  <si>
    <t>Colmado El Mana</t>
  </si>
  <si>
    <t>Mini Market Los Mellizos</t>
  </si>
  <si>
    <t>COMERCIAL LIA MARIA SRL</t>
  </si>
  <si>
    <t>Super Mercado Puerto Rico</t>
  </si>
  <si>
    <t>RUTH ALMACEN Y PROVISIONES SUPERMERCADO</t>
  </si>
  <si>
    <t>colmado Villar</t>
  </si>
  <si>
    <t>Almacén del pueblo</t>
  </si>
  <si>
    <t>Comercial Villar</t>
  </si>
  <si>
    <t>Supermercado Arias</t>
  </si>
  <si>
    <t>mini market frias</t>
  </si>
  <si>
    <t>Mini Market Alvarado</t>
  </si>
  <si>
    <t>Colmado Jehová yireh</t>
  </si>
  <si>
    <t>Suplimercado R5</t>
  </si>
  <si>
    <t>Mini Market Coopdefra</t>
  </si>
  <si>
    <t>Casa Peter</t>
  </si>
  <si>
    <t>Mini Market Lucia</t>
  </si>
  <si>
    <t>Mini Market  Shairelys</t>
  </si>
  <si>
    <t>Colmado La Familia</t>
  </si>
  <si>
    <t>Comercial  Lantigua</t>
  </si>
  <si>
    <t>Supliventa Victor</t>
  </si>
  <si>
    <t>Colmado El Patron De Los Precios</t>
  </si>
  <si>
    <t>Comercial Ventas Populares</t>
  </si>
  <si>
    <t>Super Colmado El Faro</t>
  </si>
  <si>
    <t>Casa Nathy</t>
  </si>
  <si>
    <t>Colmado La Tinaja</t>
  </si>
  <si>
    <t>Janel Comercial</t>
  </si>
  <si>
    <t>Jaime &amp; Loly Comercial</t>
  </si>
  <si>
    <t>Surtidora La Bendicion</t>
  </si>
  <si>
    <t>Casa Perez</t>
  </si>
  <si>
    <t>Supermercado  La santa</t>
  </si>
  <si>
    <t>Comercio Estevez</t>
  </si>
  <si>
    <t>Mini Market El patron 3.</t>
  </si>
  <si>
    <t>Joa Super Market</t>
  </si>
  <si>
    <t>El Centro Super Market</t>
  </si>
  <si>
    <t>Almacenes Tejada</t>
  </si>
  <si>
    <t>Casa Manoson</t>
  </si>
  <si>
    <t>FULL MARKET C&amp;M II SRL</t>
  </si>
  <si>
    <t>Mini Market Sair</t>
  </si>
  <si>
    <t>Inverciones 20  10 Carosa Srl</t>
  </si>
  <si>
    <t>CASA PUJOLS</t>
  </si>
  <si>
    <t>SUNSHINE MODA M&amp;H SRL</t>
  </si>
  <si>
    <t>Embutido y proviciones nathaly</t>
  </si>
  <si>
    <t>SULTIDORA MILEDY</t>
  </si>
  <si>
    <t>Quincalleria osiris</t>
  </si>
  <si>
    <t>COMERCIAL RIVIERA</t>
  </si>
  <si>
    <t>MINIMARKET J Y A 1</t>
  </si>
  <si>
    <t>JORGE COMERCIAL</t>
  </si>
  <si>
    <t>Mercado Popular</t>
  </si>
  <si>
    <t>Colmado Embutido Elianny</t>
  </si>
  <si>
    <t>Super Colmado Betances</t>
  </si>
  <si>
    <t>Bodega la economia</t>
  </si>
  <si>
    <t>Colmado la Bandera</t>
  </si>
  <si>
    <t>Carniceria Minimarket Carlos</t>
  </si>
  <si>
    <t>S/M PACIFICO</t>
  </si>
  <si>
    <t>RepCodigo</t>
  </si>
  <si>
    <t>RepNombre</t>
  </si>
  <si>
    <t>ProID</t>
  </si>
  <si>
    <t>ProDescripcion</t>
  </si>
  <si>
    <t>Suplidor</t>
  </si>
  <si>
    <t>UnidadesProm_Mes</t>
  </si>
  <si>
    <t>MontoBrutoProm_Mes</t>
  </si>
  <si>
    <t>Enmanuel Bido (Argelis)</t>
  </si>
  <si>
    <t>NOSOTRAS BUENAS NOCHE NATURAL 18 X (10 U ) - 200678</t>
  </si>
  <si>
    <t>Continental de Negocios</t>
  </si>
  <si>
    <t>REFISAL FUNDAS REFINADA 25 UNIDS - 100102008</t>
  </si>
  <si>
    <t>Brinsa Dominicana</t>
  </si>
  <si>
    <t>Humberto Herrera -ESP</t>
  </si>
  <si>
    <t>Pañales DOKIDS Jumbo Talla XL 6x28 Uds. Etapa 5 - 110204</t>
  </si>
  <si>
    <t>DIMAR DOMINICANA</t>
  </si>
  <si>
    <t xml:space="preserve">ATUN DIMAR AGUA TROZOS  48/142GR - </t>
  </si>
  <si>
    <t>ALIMENTO PERRO RUFO ADULTO 44LB - 23000298</t>
  </si>
  <si>
    <t>MOLINOS MODERNOS, SA</t>
  </si>
  <si>
    <t>PASTA LARGA MILANO ESPAGUETI 1X10LB - 35000920</t>
  </si>
  <si>
    <t>PASTA ESP MILANO MACARRONES QUESO 24X206 - 35000942</t>
  </si>
  <si>
    <t>PASTA CORTA RICOS CODITOS 1X10LB - 35000957</t>
  </si>
  <si>
    <t>GALL RELL DINO DUPLEX 18X12X48GR - 36001053</t>
  </si>
  <si>
    <t>GALL CKR SAL GUARINA SALADA 18X12X24GR - 36001072</t>
  </si>
  <si>
    <t>GALL CKR SAL MAX QUESO CHEESE 22X12X30 - 36002386</t>
  </si>
  <si>
    <t>GALL WAFER GUARINA LIMÓN 21X10X26G - 36002077</t>
  </si>
  <si>
    <t>Antonio Delgado</t>
  </si>
  <si>
    <t>NOS. PLUS TELA AJ SEG 30 X 10 - 120308</t>
  </si>
  <si>
    <t>NOSOTRAS DIARIOS 36 X 15 - 202426</t>
  </si>
  <si>
    <t>NOSOTRAS INVISIBLES 24X10 - 120152</t>
  </si>
  <si>
    <t>NOSOTRAS BUENAS NOCHES TELA 10 X  ( 40 U ) - 200679</t>
  </si>
  <si>
    <t>TOAL.COCI. PRAC. JUMBO P 12X1 150H FSC-M - 202380</t>
  </si>
  <si>
    <t xml:space="preserve">BLANCOX  PODER NAT. SACHET 150 ML x 124 unid Display 30 SOBRES (4X1) - </t>
  </si>
  <si>
    <t>Baygon Aerosol Verde 285 ML. 12/1 - 323742</t>
  </si>
  <si>
    <t>Comercial Fila</t>
  </si>
  <si>
    <t>NOSOTRAS INVISIBLES (8x60) - 120311</t>
  </si>
  <si>
    <t>NOSOTRAS PLUS (8 X 60) - 120310</t>
  </si>
  <si>
    <t>BBB CHERRY JUMBO (25BS/48/20g) - 35491</t>
  </si>
  <si>
    <t>COLOMBINA</t>
  </si>
  <si>
    <t>TIPITIN BESOS (36BS/24/12g) - 34651</t>
  </si>
  <si>
    <t>XTIME MENTAS XTREMO (18BS/100/3,1g) - 14113</t>
  </si>
  <si>
    <t>Maria del Carmen</t>
  </si>
  <si>
    <t>OFERTA 1 UNID. NOSOTRAS BUENAS NOCHES - 40284</t>
  </si>
  <si>
    <t>PAPEL HIGIENICO FAMILIA AROMA 48X1 - 201873</t>
  </si>
  <si>
    <t>BLANCOX DESMANCHADOR ROPA COLOR 12 x 500 ml - 100301009</t>
  </si>
  <si>
    <t>REFISAL ALTA PUREZA 50X142 GRS - 100107003</t>
  </si>
  <si>
    <t>REFISAL ALTA PUREZA 24X500GRS - 100107007</t>
  </si>
  <si>
    <t>BLANCOX LIMON FUSION 24X500ML. - 100301004</t>
  </si>
  <si>
    <t xml:space="preserve">BLANCOX PODER NAT. TRADICIONAL 24X500ML - </t>
  </si>
  <si>
    <t>BLANCOX PODER NATURAL 4X3700ML - 100304001</t>
  </si>
  <si>
    <t>OFERTA PAPEL HIG AROMA GDE NP 48PQX1R 26M - 201873</t>
  </si>
  <si>
    <t>Baygon Aerosol 400 ML. 12/1 - 220748</t>
  </si>
  <si>
    <t xml:space="preserve">Oferta Baygon Vela Espiral Mata Mosquito - </t>
  </si>
  <si>
    <t xml:space="preserve">Bombonera exhibidora. - </t>
  </si>
  <si>
    <t>BBB FRESA JUMBO (25BS/48/20g) - 35490</t>
  </si>
  <si>
    <t>BBB STDO JUMBO (25BS/48/20g) - 35492</t>
  </si>
  <si>
    <t xml:space="preserve">SARDINAS DIMAR TIPO TALL EN SALSA DE TOMATE 24X 425GRS - </t>
  </si>
  <si>
    <t xml:space="preserve">OFERTA SARDINA TALL DIMAR EN SALSA 425 GRAMOS - </t>
  </si>
  <si>
    <t xml:space="preserve">SARDINAS DIMAR ACEITE PLANA 50/125 GR - </t>
  </si>
  <si>
    <t>COFFEE DELIGHT (16BS/100/3.8g) - 35452</t>
  </si>
  <si>
    <t>MINI BUM SANDIA 16/100/4,5G - 35394</t>
  </si>
  <si>
    <t>XTIME GUM CANELA (12BS/100/3.7g) - 35403</t>
  </si>
  <si>
    <t>GRISSLY GAMER CA (36BS/1/80g) - 16179</t>
  </si>
  <si>
    <t xml:space="preserve">Combo 2 BBB (1 Cherry, 1STDO) - </t>
  </si>
  <si>
    <t>BOTELLITAS AGUA CRYSTAL 1.5 L (1/12) - 904554</t>
  </si>
  <si>
    <t>Agua Crystal</t>
  </si>
  <si>
    <t>Yeuri Montaño</t>
  </si>
  <si>
    <t>NOSOTRAS DIARIOS 10X150 - 40982</t>
  </si>
  <si>
    <t>PAÑOS HUMEDOS PEQUENIN ALOE 24X24 - 10751</t>
  </si>
  <si>
    <t>OFERTA PANOS HUMEDOS PEQUENIN ORIG. 24X24 - 31327</t>
  </si>
  <si>
    <t>Paños Húmedos Pequeñín Aloe 12x(4x24). - 203220</t>
  </si>
  <si>
    <t>BBB BLACK &amp; BLUE JUMBO (25BS/48/20g) - 35495</t>
  </si>
  <si>
    <t>OFERTA PAÑOS HUMEDOS  ALOE 100X10 - 31327</t>
  </si>
  <si>
    <t xml:space="preserve">SARDINAS DIMAR JUNIOR SALSA TOMATE 48/215 GRS. - </t>
  </si>
  <si>
    <t xml:space="preserve">ATUN DIMAR ACEITE TROZOS 48/142GR - </t>
  </si>
  <si>
    <t xml:space="preserve">ATUN DIMAR ACEITE DESMENUZADO  48/142GR - </t>
  </si>
  <si>
    <t>NUCITA CREMA (16PL/18/10g) - 30349</t>
  </si>
  <si>
    <t>BON BON BUM CLEAR2 (25BS/48/20g) - 35588</t>
  </si>
  <si>
    <t>DETERGENTE ULTREX 144Ux100 GR - PTS144</t>
  </si>
  <si>
    <t>P.Q.P.</t>
  </si>
  <si>
    <t xml:space="preserve">BOTELLITA AGUA CRYSTAL 0.5 L (1/20) - </t>
  </si>
  <si>
    <t>Bernabet Reyes</t>
  </si>
  <si>
    <t>FAMILIA AROMA GDE (4x1) (FARDO DE 12X4) - 201874</t>
  </si>
  <si>
    <t>E Raid Fik Silvestre 11 oz. (Azul) 12/1 - 41708</t>
  </si>
  <si>
    <t>E Raid Fik Frescura de Campo 11 oz.(Amarillo)12/1 - 41709</t>
  </si>
  <si>
    <t xml:space="preserve">OFERTA ATUN DIMAR AGUA DESMENUZADO  48/142GR - </t>
  </si>
  <si>
    <t>DETERGENTE ULTREX  36X400 GR - PTS137</t>
  </si>
  <si>
    <t>Irvin de los Santos</t>
  </si>
  <si>
    <t xml:space="preserve">PALITO DE QUESO 1/36 UDS. RICO PAC 26 GRS. - </t>
  </si>
  <si>
    <t>Corporacion Poiroto SRL</t>
  </si>
  <si>
    <t>COMPOTA CHUP FLEX  MANZANA 113G 24/1 - 753089</t>
  </si>
  <si>
    <t>Grupo Rodriguez Fernandez</t>
  </si>
  <si>
    <t>COMPOTA CHUP FLEX  POSTRE DE FRUTAS 113G 24/1 - 753096</t>
  </si>
  <si>
    <t xml:space="preserve">ATUN DIMAR AGUA DESMENUZADO  48/142GR - </t>
  </si>
  <si>
    <t>MINI CHOCOMANI  (16BS/100/4g) RD - 33276</t>
  </si>
  <si>
    <t>MINIBUM MANGO (16BS/100/4.5g) - 33277</t>
  </si>
  <si>
    <t>TIPITIN BESOS MORA AZUL (36BS/24/12.5g) - 35441</t>
  </si>
  <si>
    <t>TIPITIN SURTIDAS (15BS/40/12.5g) - 35404</t>
  </si>
  <si>
    <t>COLOMBINETA CHOCOMANI (25BS/48/24g) - 35007</t>
  </si>
  <si>
    <t>TIPITIN CORAZÓN (30BS/25/9g) - 34205</t>
  </si>
  <si>
    <t>ilumia LED Emergency Recargable 12W 6500K - 7464467800406</t>
  </si>
  <si>
    <t>AMPOULE</t>
  </si>
  <si>
    <t>Melvin Mariñez</t>
  </si>
  <si>
    <t>Oferta Nosotras Plus 8X30 - 120309</t>
  </si>
  <si>
    <t>COMPOTA CHUP FLEX  PERA 113G 24/1 - 753164</t>
  </si>
  <si>
    <t>COLOMBINETA YOGURT STDO (25BS/48/24g) - 35006</t>
  </si>
  <si>
    <t>GRISSLY MUNDO MARINO (36BS/1/80g) - 14759</t>
  </si>
  <si>
    <t>GRISSLY GUSANOS (36BS/1/80g) - 14755</t>
  </si>
  <si>
    <t>GRISSLY DELFIN CA (36BS/1/80g) - 14753</t>
  </si>
  <si>
    <t>GRISSLY OSOS CA (36BS/1/80g) - 14756</t>
  </si>
  <si>
    <t>GRISSLY SPLASH CA (36BS/1/80g) - 14757</t>
  </si>
  <si>
    <t>GRISSLY SANDIA CA (36BS/1/80g) - 14754</t>
  </si>
  <si>
    <t>GOMITAS BBB CA (36BS/1/80g) - 16178</t>
  </si>
  <si>
    <t>Katherine moronta</t>
  </si>
  <si>
    <t xml:space="preserve">BACALAO DIMAR - </t>
  </si>
  <si>
    <t>Daniel Gutierrez</t>
  </si>
  <si>
    <t>PAPEL HIG FAMILIA MED 48PQX1R 19M(unid) - 201884</t>
  </si>
  <si>
    <t>PANI. HUM. PEQUENIN MULTI CUIDADO 24X80 - 200645</t>
  </si>
  <si>
    <t>COMPOTA CHUP FLEX FRUTAS MIXTAS 113G 24/1 - 753164</t>
  </si>
  <si>
    <t>Paquete Cigarrillos 252 Regular (Rojo) - C0001</t>
  </si>
  <si>
    <t>GALISA GROUP</t>
  </si>
  <si>
    <t>Paquete Cigarrillos 252 Light (Azul) - C0002</t>
  </si>
  <si>
    <t>BBB STDO (15BS/24/17g) - 35060</t>
  </si>
  <si>
    <t>XTIME GUM YERBABUENA (12BS/100/3.7g) - 35229</t>
  </si>
  <si>
    <t>TIGER POPS CHOCO CARAMEL (16BS/48/16g) - 16076</t>
  </si>
  <si>
    <t>GRISSLY SURTIDO (36BS/1/80g) - 15985</t>
  </si>
  <si>
    <t>WILSON M. QUEZADA</t>
  </si>
  <si>
    <t>Martina Ramirez</t>
  </si>
  <si>
    <t>Miguel Acosta</t>
  </si>
  <si>
    <t xml:space="preserve">Baygon Vela Espiral Mata Mosquito (60/1) - </t>
  </si>
  <si>
    <t>TUTTI FRUTTI MIX  (20BS/240/3.4g) - 33154</t>
  </si>
  <si>
    <t>COLOMBINETAS HELADO DE FRESA (25BS/48/22g) - 34205</t>
  </si>
  <si>
    <t>GRISSLY SOUR (24BS/1/72g) - 14129</t>
  </si>
  <si>
    <t>Dilcio Navarro</t>
  </si>
  <si>
    <t>JABON INTIMO AGUA DE ROSAS (48X130ML) - 41617</t>
  </si>
  <si>
    <t>JABON INTIMO NOSOTRAS HERBAL (48X130ML) - 41620</t>
  </si>
  <si>
    <t>PANL.TENA SLIP CLASICO / COMFORT M 8X9 - 130006</t>
  </si>
  <si>
    <t>Pañales DOKIDS Ultra - Regular Talla M 6x20 Uds. Etapa 3 - 110102</t>
  </si>
  <si>
    <t>Pañales DOKIDS Ultra - Regular Talla L 6x18 Uds. Etapa 4 - 110103</t>
  </si>
  <si>
    <t>Pañales DOKIDS  Ultra - Regular  Talla XL 6x16 Uds. Etapa 5 - 110104</t>
  </si>
  <si>
    <t xml:space="preserve">OFERTA SARDINA DIMAR JUNIOR 48/215 - </t>
  </si>
  <si>
    <t xml:space="preserve">SARDINAS DIMAR TALL COCO 24/425gr - </t>
  </si>
  <si>
    <t>Carla Valdez (WC)</t>
  </si>
  <si>
    <t xml:space="preserve">PALOMITAS CARAMELIZADAS 1/36UD RICO PACK 26GR - </t>
  </si>
  <si>
    <t>BAY RUM CONSTANZA 30GR 1/2 BOT - 100645</t>
  </si>
  <si>
    <t>MAXIMO GOMEZ P</t>
  </si>
  <si>
    <t>OFERTA BAY RUM CONSTANZA 30GR 1/2 BOT - 100645</t>
  </si>
  <si>
    <t>Nosotras Dia y Noche 10x40. - 202863</t>
  </si>
  <si>
    <t>ACIPOGO FLOW 1UND  (28/100/2.9g) - 35238</t>
  </si>
  <si>
    <t>TIPITIN DOS CORAZONES (15BS/24/12.5g) - 34232</t>
  </si>
  <si>
    <t>Samuel Castillo</t>
  </si>
  <si>
    <t>Miguel A. Berroa (T)</t>
  </si>
  <si>
    <t>NOSOTRAS MATERNIDAD 24 x 10 U ) - 120273</t>
  </si>
  <si>
    <t>Pañales DOKIDS Jumbo Talla M 6x36 Uds. Etapa 3 - 110202</t>
  </si>
  <si>
    <t>Pañales DOKIDS Jumbo Talla L 6x32 Uds. Etapa 4 - 110203</t>
  </si>
  <si>
    <t>COMPOTA CHUP FLEX MELOCOTON 113G 24/1 - 753096</t>
  </si>
  <si>
    <t>Josue Fabian</t>
  </si>
  <si>
    <t>Disponible Ex Joan M. Liriano</t>
  </si>
  <si>
    <t>ilumia Light Bulb 9W Luz Blanca 6500K Box - 7464467800024</t>
  </si>
  <si>
    <t>Enrrique Morillo (DN)</t>
  </si>
  <si>
    <t>GLADE AEROSOL HAWAIIAN BREEZE 7.3 OZ., 6/1 - 73333</t>
  </si>
  <si>
    <t xml:space="preserve">GLADE AEROSOL CLEAN LINEN 7.3 OZ., 6/1 - </t>
  </si>
  <si>
    <t xml:space="preserve">GLADE AEROSOL CASHEMERE WOODS 7.3 OZ., 6/1 - </t>
  </si>
  <si>
    <t>Junior M. Ramos (Isaac Maria)</t>
  </si>
  <si>
    <t>Vicente Cruz</t>
  </si>
  <si>
    <t xml:space="preserve">Nosotras Combo (1 INV+1Plus+1BN+1Diario) - </t>
  </si>
  <si>
    <t>GLADE AEROSOL APPLE CINNAMON 7.3 OZ., 6/1 - 73343</t>
  </si>
  <si>
    <t>GLADE AEROSOL COZY VANILLA 7.3 OZ., 6/1 - 73343</t>
  </si>
  <si>
    <t xml:space="preserve">OFERTA NOS. BUENAS NOCHES NAT.24X8 - </t>
  </si>
  <si>
    <t>ilumia Light Bulb 15W Luz Blanca 6500K Box - 7464467800048</t>
  </si>
  <si>
    <t>Benigno Paniagua (T)</t>
  </si>
  <si>
    <t>Heriberto Nuñez</t>
  </si>
  <si>
    <t>COMPOTA CHUP FLEX  COCTEL DE FRUTAS 113G 24/1 - 753102</t>
  </si>
  <si>
    <t>COMPOTA CHUP VIDRIO BANANA 113G 24/1 - 723174</t>
  </si>
  <si>
    <t>COMPOTA CHUP VIDRIO MANZANA 113G 24/1 - 723136</t>
  </si>
  <si>
    <t xml:space="preserve">Exhibidores Grissly - </t>
  </si>
  <si>
    <t xml:space="preserve">Combo Grissly (12-Sandia, 12-Gusanos, 12 Gomitas BBB) - </t>
  </si>
  <si>
    <t>Jonathan A. Familia Guzman</t>
  </si>
  <si>
    <t>COMPOTA CHUP FLEX BANANA 113G 24/1 - 753140</t>
  </si>
  <si>
    <t>Joan M. Liriano</t>
  </si>
  <si>
    <t>FRUTICAS CRUJI MASTICABLE(16BS/100/5,5g) - 5530</t>
  </si>
  <si>
    <t>FRUTICAS LOVE CANDY (16BS/100/4,5g) - 972</t>
  </si>
  <si>
    <t>Wellinton Carpio</t>
  </si>
  <si>
    <t>Wascar Alvarez (May)</t>
  </si>
  <si>
    <t xml:space="preserve">Paul de los Santos </t>
  </si>
  <si>
    <t>Sandra Reyes Polanco</t>
  </si>
  <si>
    <t>Giancarlo Tavarez</t>
  </si>
  <si>
    <t>LIMPIAYA ESPONJA DOBLE USO X 1 0622 - 482010622</t>
  </si>
  <si>
    <t>ETERNA</t>
  </si>
  <si>
    <t>LIMPIAYA FIBRA ABRASIVA 24UND 0312 - 482010312</t>
  </si>
  <si>
    <t>Vendedor</t>
  </si>
  <si>
    <t>NumProductos</t>
  </si>
  <si>
    <t>VendedoresOrigen</t>
  </si>
  <si>
    <t>PresupuestoActual_Ago2026</t>
  </si>
  <si>
    <t>TienePresupuestoPrevio</t>
  </si>
  <si>
    <t>PresupuestoNuevo</t>
  </si>
  <si>
    <t>Estatus</t>
  </si>
  <si>
    <t>Columna1</t>
  </si>
  <si>
    <t>precio</t>
  </si>
  <si>
    <t>Nueva Cantidad</t>
  </si>
  <si>
    <t>Insert into PresupuestosHistoricos Values (</t>
  </si>
  <si>
    <t xml:space="preserve"> '185','UNDDPROD','2026','08',</t>
  </si>
  <si>
    <t>Columna2</t>
  </si>
  <si>
    <t>Columna3</t>
  </si>
  <si>
    <t>Columna4</t>
  </si>
  <si>
    <t>MdSoft</t>
  </si>
  <si>
    <t>Getdate(), NewID(), Null, Null)</t>
  </si>
  <si>
    <t>Unidades</t>
  </si>
  <si>
    <t>Monto A Rebajhar</t>
  </si>
  <si>
    <t>Variacion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</si>
</sst>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&quot;RD$&quot;#,##0"/>
    <numFmt numFmtId="166" formatCode="&quot;RD$&quot;#,##0.00"/>
  </numFmts>
  <fonts count="10" x14ac:knownFonts="1">
    <font>
      <sz val="11"/>
      <color theme="1"/>
      <name val="Calibri"/>
      <family val="2"/>
      <scheme val="minor"/>
    </font>
    <font>
      <b/>
      <sz val="16"/>
      <color rgb="FF1F2937"/>
      <name val="Arial"/>
    </font>
    <font>
      <i/>
      <sz val="10"/>
      <color rgb="FF555555"/>
      <name val="Arial"/>
    </font>
    <font>
      <b/>
      <sz val="10"/>
      <color rgb="FF1F2937"/>
      <name val="Arial"/>
    </font>
    <font>
      <b/>
      <sz val="14"/>
      <color rgb="FF0B5FA5"/>
      <name val="Arial"/>
    </font>
    <font>
      <i/>
      <sz val="9"/>
      <color rgb="FF777777"/>
      <name val="Arial"/>
    </font>
    <font>
      <sz val="10"/>
      <name val="Arial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1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7" fillId="2" borderId="0" xfId="0" applyFont="1" applyFill="1" applyAlignment="1">
      <alignment horizontal="left" vertical="center" wrapText="1"/>
    </xf>
    <xf numFmtId="0" fontId="6" fillId="0" borderId="0" xfId="0" applyFont="1"/>
    <xf numFmtId="4" fontId="6" fillId="0" borderId="0" xfId="0" applyNumberFormat="1" applyFont="1"/>
    <xf numFmtId="166" fontId="6" fillId="0" borderId="0" xfId="0" applyNumberFormat="1" applyFont="1"/>
    <xf numFmtId="0" fontId="6" fillId="0" borderId="0" xfId="0" applyFont="1" applyAlignment="1">
      <alignment wrapText="1"/>
    </xf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/>
    <xf numFmtId="43" fontId="7" fillId="2" borderId="0" xfId="1" applyFont="1" applyFill="1" applyAlignment="1">
      <alignment horizontal="left" vertical="center" wrapText="1"/>
    </xf>
    <xf numFmtId="43" fontId="6" fillId="0" borderId="0" xfId="1" applyFont="1"/>
    <xf numFmtId="43" fontId="0" fillId="0" borderId="0" xfId="1" applyFont="1"/>
  </cellXfs>
  <cellStyles count="2">
    <cellStyle name="Millares" xfId="1" builtinId="3"/>
    <cellStyle name="Normal" xfId="0" builtinId="0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rgb="FFD4EDDA"/>
        </patternFill>
      </fill>
    </dxf>
    <dxf>
      <fill>
        <patternFill patternType="solid">
          <fgColor rgb="FFF1F1F1"/>
        </patternFill>
      </fill>
    </dxf>
    <dxf>
      <fill>
        <patternFill patternType="solid">
          <fgColor rgb="FFFFF3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lientes" displayName="TblClientes" ref="A1:D180">
  <autoFilter ref="A1:D180" xr:uid="{00000000-0009-0000-0100-000001000000}"/>
  <tableColumns count="4">
    <tableColumn id="1" xr3:uid="{00000000-0010-0000-0000-000001000000}" name="CliID"/>
    <tableColumn id="2" xr3:uid="{00000000-0010-0000-0000-000002000000}" name="Cliente"/>
    <tableColumn id="3" xr3:uid="{00000000-0010-0000-0000-000003000000}" name="En_ClientesDetalle"/>
    <tableColumn id="4" xr3:uid="{00000000-0010-0000-0000-000004000000}" name="En_RutaVisi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talle" displayName="TblDetalle" ref="A1:J926">
  <autoFilter ref="A1:J926" xr:uid="{00000000-0009-0000-0100-000002000000}"/>
  <tableColumns count="10">
    <tableColumn id="1" xr3:uid="{00000000-0010-0000-0100-000001000000}" name="RepCodigo"/>
    <tableColumn id="2" xr3:uid="{00000000-0010-0000-0100-000002000000}" name="RepNombre"/>
    <tableColumn id="3" xr3:uid="{00000000-0010-0000-0100-000003000000}" name="ProID"/>
    <tableColumn id="4" xr3:uid="{00000000-0010-0000-0100-000004000000}" name="ProDescripcion"/>
    <tableColumn id="5" xr3:uid="{00000000-0010-0000-0100-000005000000}" name="Suplidor"/>
    <tableColumn id="8" xr3:uid="{C660DD50-651E-4199-AFBB-038C609668D6}" name="Unidades" dataDxfId="5">
      <calculatedColumnFormula>+ROUNDDOWN(H2*0.8,0)</calculatedColumnFormula>
    </tableColumn>
    <tableColumn id="9" xr3:uid="{244D33C7-118A-428D-B486-5BA2E680D065}" name="Monto A Rebajhar" dataDxfId="1" dataCellStyle="Millares">
      <calculatedColumnFormula>+(TblDetalle[[#This Row],[MontoBrutoProm_Mes]]/TblDetalle[[#This Row],[UnidadesProm_Mes]])*TblDetalle[[#This Row],[Unidades]]</calculatedColumnFormula>
    </tableColumn>
    <tableColumn id="6" xr3:uid="{00000000-0010-0000-0100-000006000000}" name="UnidadesProm_Mes"/>
    <tableColumn id="7" xr3:uid="{00000000-0010-0000-0100-000007000000}" name="MontoBrutoProm_Mes"/>
    <tableColumn id="10" xr3:uid="{954F283E-F8CC-48A9-A07F-211A1A2674CD}" name="Variacion" dataDxfId="0">
      <calculatedColumnFormula>+TblDetalle[[#This Row],[Monto A Rebajhar]]/TblDetalle[[#This Row],[MontoBrutoProm_Mes]]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orVendedor" displayName="TblPorVendedor" ref="A1:E32">
  <autoFilter ref="A1:E32" xr:uid="{00000000-0009-0000-0100-000003000000}"/>
  <sortState xmlns:xlrd2="http://schemas.microsoft.com/office/spreadsheetml/2017/richdata2" ref="A2:E32">
    <sortCondition ref="A2:A32"/>
  </sortState>
  <tableColumns count="5">
    <tableColumn id="1" xr3:uid="{00000000-0010-0000-0200-000001000000}" name="RepCodigo"/>
    <tableColumn id="2" xr3:uid="{00000000-0010-0000-0200-000002000000}" name="Vendedor"/>
    <tableColumn id="3" xr3:uid="{00000000-0010-0000-0200-000003000000}" name="NumProductos"/>
    <tableColumn id="4" xr3:uid="{00000000-0010-0000-0200-000004000000}" name="UnidadesProm_Mes"/>
    <tableColumn id="5" xr3:uid="{00000000-0010-0000-0200-000005000000}" name="MontoBrutoProm_M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orSuplidor" displayName="TblPorSuplidor" ref="A1:D15">
  <autoFilter ref="A1:D15" xr:uid="{00000000-0009-0000-0100-000004000000}"/>
  <tableColumns count="4">
    <tableColumn id="1" xr3:uid="{00000000-0010-0000-0300-000001000000}" name="Suplidor"/>
    <tableColumn id="2" xr3:uid="{00000000-0010-0000-0300-000002000000}" name="NumProductos"/>
    <tableColumn id="3" xr3:uid="{00000000-0010-0000-0300-000003000000}" name="UnidadesProm_Mes"/>
    <tableColumn id="4" xr3:uid="{00000000-0010-0000-0300-000004000000}" name="MontoBrutoProm_M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esupuesto185" displayName="TblPresupuesto185" ref="A1:L138">
  <autoFilter ref="A1:L138" xr:uid="{00000000-0009-0000-0100-000005000000}"/>
  <tableColumns count="12">
    <tableColumn id="1" xr3:uid="{00000000-0010-0000-0400-000001000000}" name="ProID"/>
    <tableColumn id="2" xr3:uid="{00000000-0010-0000-0400-000002000000}" name="ProDescripcion"/>
    <tableColumn id="3" xr3:uid="{00000000-0010-0000-0400-000003000000}" name="Suplidor"/>
    <tableColumn id="4" xr3:uid="{00000000-0010-0000-0400-000004000000}" name="VendedoresOrigen"/>
    <tableColumn id="5" xr3:uid="{00000000-0010-0000-0400-000005000000}" name="UnidadesProm_Mes"/>
    <tableColumn id="8" xr3:uid="{A141DACD-84D7-4D16-B3E7-4BA1BE509E7C}" name="Nueva Cantidad" dataDxfId="10">
      <calculatedColumnFormula>+ROUNDUP(TblPresupuesto185[[#This Row],[UnidadesProm_Mes]]*1.5,0)</calculatedColumnFormula>
    </tableColumn>
    <tableColumn id="10" xr3:uid="{A4EA7CBD-928C-4F59-BC14-68F01E45A166}" name="Columna2" dataDxfId="8"/>
    <tableColumn id="11" xr3:uid="{5B4710DE-F36A-4732-908E-05B9173976C8}" name="Columna3" dataDxfId="7"/>
    <tableColumn id="12" xr3:uid="{5943015F-D1D7-4E8C-82B1-9639B0E1F9A9}" name="Columna4" dataDxfId="6"/>
    <tableColumn id="7" xr3:uid="{421184EA-CB26-4865-8DED-2C03E9DF26D1}" name="precio" dataDxfId="11">
      <calculatedColumnFormula>+TblPresupuesto185[[#This Row],[MontoBrutoProm_Mes]]/TblPresupuesto185[[#This Row],[UnidadesProm_Mes]]</calculatedColumnFormula>
    </tableColumn>
    <tableColumn id="9" xr3:uid="{78E967DD-75F2-4026-872A-7A44172BB63D}" name="Columna1" dataDxfId="9">
      <calculatedColumnFormula>+TblPresupuesto185[[#This Row],[precio]]*TblPresupuesto185[[#This Row],[Nueva Cantidad]]</calculatedColumnFormula>
    </tableColumn>
    <tableColumn id="6" xr3:uid="{00000000-0010-0000-0400-000006000000}" name="MontoBrutoProm_M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Impacto" displayName="TblImpacto" ref="A1:J938">
  <autoFilter ref="A1:J938" xr:uid="{00000000-0009-0000-0100-000006000000}"/>
  <tableColumns count="10">
    <tableColumn id="1" xr3:uid="{00000000-0010-0000-0500-000001000000}" name="RepCodigo"/>
    <tableColumn id="2" xr3:uid="{00000000-0010-0000-0500-000002000000}" name="RepNombre"/>
    <tableColumn id="3" xr3:uid="{00000000-0010-0000-0500-000003000000}" name="ProID"/>
    <tableColumn id="4" xr3:uid="{00000000-0010-0000-0500-000004000000}" name="ProDescripcion"/>
    <tableColumn id="5" xr3:uid="{00000000-0010-0000-0500-000005000000}" name="Suplidor"/>
    <tableColumn id="6" xr3:uid="{00000000-0010-0000-0500-000006000000}" name="UnidadesProm_Mes"/>
    <tableColumn id="7" xr3:uid="{00000000-0010-0000-0500-000007000000}" name="PresupuestoActual_Ago2026"/>
    <tableColumn id="8" xr3:uid="{00000000-0010-0000-0500-000008000000}" name="TienePresupuestoPrevio"/>
    <tableColumn id="9" xr3:uid="{00000000-0010-0000-0500-000009000000}" name="PresupuestoNuevo"/>
    <tableColumn id="10" xr3:uid="{00000000-0010-0000-0500-00000A000000}" name="E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7"/>
  <sheetViews>
    <sheetView showGridLines="0" topLeftCell="B8" workbookViewId="0">
      <selection activeCell="C22" sqref="C22"/>
    </sheetView>
  </sheetViews>
  <sheetFormatPr baseColWidth="10" defaultColWidth="8.88671875" defaultRowHeight="14.4" x14ac:dyDescent="0.3"/>
  <cols>
    <col min="1" max="1" width="2" customWidth="1"/>
    <col min="2" max="2" width="24.109375" customWidth="1"/>
    <col min="3" max="3" width="16" customWidth="1"/>
    <col min="4" max="4" width="70" customWidth="1"/>
    <col min="5" max="10" width="16" customWidth="1"/>
  </cols>
  <sheetData>
    <row r="2" spans="2:9" ht="21" x14ac:dyDescent="0.4">
      <c r="B2" s="13" t="s">
        <v>0</v>
      </c>
      <c r="C2" s="11"/>
      <c r="D2" s="11"/>
      <c r="E2" s="11"/>
      <c r="F2" s="11"/>
      <c r="G2" s="11"/>
      <c r="H2" s="11"/>
    </row>
    <row r="3" spans="2:9" x14ac:dyDescent="0.3">
      <c r="B3" s="14" t="s">
        <v>1</v>
      </c>
      <c r="C3" s="11"/>
      <c r="D3" s="11"/>
      <c r="E3" s="11"/>
      <c r="F3" s="11"/>
      <c r="G3" s="11"/>
      <c r="H3" s="11"/>
    </row>
    <row r="6" spans="2:9" x14ac:dyDescent="0.3">
      <c r="B6" s="1" t="s">
        <v>2</v>
      </c>
      <c r="D6" s="1" t="s">
        <v>3</v>
      </c>
    </row>
    <row r="7" spans="2:9" ht="28.05" customHeight="1" x14ac:dyDescent="0.3">
      <c r="B7" s="2">
        <f>COUNTA(Clientes!A:A)-1</f>
        <v>179</v>
      </c>
      <c r="D7" s="10" t="s">
        <v>4</v>
      </c>
      <c r="E7" s="11"/>
      <c r="F7" s="11"/>
      <c r="G7" s="11"/>
      <c r="H7" s="11"/>
      <c r="I7" s="11"/>
    </row>
    <row r="8" spans="2:9" ht="28.05" customHeight="1" x14ac:dyDescent="0.3">
      <c r="B8" s="3" t="s">
        <v>5</v>
      </c>
      <c r="D8" s="10" t="s">
        <v>6</v>
      </c>
      <c r="E8" s="11"/>
      <c r="F8" s="11"/>
      <c r="G8" s="11"/>
      <c r="H8" s="11"/>
      <c r="I8" s="11"/>
    </row>
    <row r="9" spans="2:9" ht="28.05" customHeight="1" x14ac:dyDescent="0.3">
      <c r="B9" s="1" t="s">
        <v>7</v>
      </c>
      <c r="D9" s="10" t="s">
        <v>8</v>
      </c>
      <c r="E9" s="11"/>
      <c r="F9" s="11"/>
      <c r="G9" s="11"/>
      <c r="H9" s="11"/>
      <c r="I9" s="11"/>
    </row>
    <row r="10" spans="2:9" ht="28.05" customHeight="1" x14ac:dyDescent="0.3">
      <c r="B10" s="2">
        <f>COUNTA('Por Vendedor'!A:A)-1</f>
        <v>31</v>
      </c>
      <c r="D10" s="10" t="s">
        <v>9</v>
      </c>
      <c r="E10" s="11"/>
      <c r="F10" s="11"/>
      <c r="G10" s="11"/>
      <c r="H10" s="11"/>
      <c r="I10" s="11"/>
    </row>
    <row r="11" spans="2:9" ht="28.05" customHeight="1" x14ac:dyDescent="0.3">
      <c r="B11" s="3" t="s">
        <v>10</v>
      </c>
      <c r="D11" s="10" t="s">
        <v>11</v>
      </c>
      <c r="E11" s="11"/>
      <c r="F11" s="11"/>
      <c r="G11" s="11"/>
      <c r="H11" s="11"/>
      <c r="I11" s="11"/>
    </row>
    <row r="12" spans="2:9" x14ac:dyDescent="0.3">
      <c r="B12" s="1" t="s">
        <v>12</v>
      </c>
    </row>
    <row r="13" spans="2:9" ht="17.399999999999999" x14ac:dyDescent="0.3">
      <c r="B13" s="2">
        <f>COUNTA('Presupuesto 185'!A:A)-1</f>
        <v>137</v>
      </c>
    </row>
    <row r="14" spans="2:9" x14ac:dyDescent="0.3">
      <c r="B14" s="3" t="s">
        <v>13</v>
      </c>
    </row>
    <row r="15" spans="2:9" x14ac:dyDescent="0.3">
      <c r="B15" s="1" t="s">
        <v>14</v>
      </c>
    </row>
    <row r="16" spans="2:9" ht="17.399999999999999" x14ac:dyDescent="0.3">
      <c r="B16" s="4">
        <f>SUM('Presupuesto 185'!E:E)</f>
        <v>14906.509999999997</v>
      </c>
    </row>
    <row r="17" spans="2:10" x14ac:dyDescent="0.3">
      <c r="B17" s="3" t="s">
        <v>15</v>
      </c>
    </row>
    <row r="18" spans="2:10" x14ac:dyDescent="0.3">
      <c r="B18" s="1" t="s">
        <v>16</v>
      </c>
    </row>
    <row r="19" spans="2:10" ht="17.399999999999999" x14ac:dyDescent="0.3">
      <c r="B19" s="5">
        <f>SUM('Presupuesto 185'!L:L)</f>
        <v>1570572.2899999998</v>
      </c>
    </row>
    <row r="20" spans="2:10" x14ac:dyDescent="0.3">
      <c r="B20" s="3" t="s">
        <v>17</v>
      </c>
    </row>
    <row r="21" spans="2:10" x14ac:dyDescent="0.3">
      <c r="B21" s="1" t="s">
        <v>18</v>
      </c>
    </row>
    <row r="22" spans="2:10" ht="17.399999999999999" x14ac:dyDescent="0.3">
      <c r="B22" s="5">
        <v>0</v>
      </c>
    </row>
    <row r="23" spans="2:10" x14ac:dyDescent="0.3">
      <c r="B23" s="3" t="s">
        <v>19</v>
      </c>
    </row>
    <row r="27" spans="2:10" x14ac:dyDescent="0.3">
      <c r="B27" s="12" t="s">
        <v>20</v>
      </c>
      <c r="C27" s="11"/>
      <c r="D27" s="11"/>
      <c r="E27" s="11"/>
      <c r="F27" s="11"/>
      <c r="G27" s="11"/>
      <c r="H27" s="11"/>
      <c r="I27" s="11"/>
      <c r="J27" s="11"/>
    </row>
  </sheetData>
  <mergeCells count="8">
    <mergeCell ref="D11:I11"/>
    <mergeCell ref="D10:I10"/>
    <mergeCell ref="D9:I9"/>
    <mergeCell ref="B27:J27"/>
    <mergeCell ref="B2:H2"/>
    <mergeCell ref="B3:H3"/>
    <mergeCell ref="D7:I7"/>
    <mergeCell ref="D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0"/>
  <sheetViews>
    <sheetView workbookViewId="0">
      <pane ySplit="1" topLeftCell="A2" activePane="bottomLeft" state="frozen"/>
      <selection pane="bottomLeft" activeCell="C15" sqref="C15"/>
    </sheetView>
  </sheetViews>
  <sheetFormatPr baseColWidth="10" defaultColWidth="8.88671875" defaultRowHeight="14.4" x14ac:dyDescent="0.3"/>
  <cols>
    <col min="1" max="1" width="10" customWidth="1"/>
    <col min="2" max="2" width="45" customWidth="1"/>
    <col min="3" max="3" width="20" customWidth="1"/>
    <col min="4" max="4" width="16" customWidth="1"/>
  </cols>
  <sheetData>
    <row r="1" spans="1:4" ht="28.05" customHeight="1" x14ac:dyDescent="0.3">
      <c r="A1" s="6" t="s">
        <v>21</v>
      </c>
      <c r="B1" s="6" t="s">
        <v>22</v>
      </c>
      <c r="C1" s="6" t="s">
        <v>23</v>
      </c>
      <c r="D1" s="6" t="s">
        <v>24</v>
      </c>
    </row>
    <row r="2" spans="1:4" x14ac:dyDescent="0.3">
      <c r="A2" s="7">
        <v>193</v>
      </c>
      <c r="B2" s="7" t="s">
        <v>25</v>
      </c>
      <c r="C2" s="7" t="s">
        <v>26</v>
      </c>
      <c r="D2" s="7" t="s">
        <v>26</v>
      </c>
    </row>
    <row r="3" spans="1:4" x14ac:dyDescent="0.3">
      <c r="A3" s="7">
        <v>300</v>
      </c>
      <c r="B3" s="7" t="s">
        <v>27</v>
      </c>
      <c r="C3" s="7" t="s">
        <v>26</v>
      </c>
      <c r="D3" s="7" t="s">
        <v>26</v>
      </c>
    </row>
    <row r="4" spans="1:4" x14ac:dyDescent="0.3">
      <c r="A4" s="7">
        <v>427</v>
      </c>
      <c r="B4" s="7" t="s">
        <v>28</v>
      </c>
      <c r="C4" s="7" t="s">
        <v>26</v>
      </c>
      <c r="D4" s="7" t="s">
        <v>26</v>
      </c>
    </row>
    <row r="5" spans="1:4" x14ac:dyDescent="0.3">
      <c r="A5" s="7">
        <v>490</v>
      </c>
      <c r="B5" s="7" t="s">
        <v>29</v>
      </c>
      <c r="C5" s="7" t="s">
        <v>26</v>
      </c>
      <c r="D5" s="7" t="s">
        <v>26</v>
      </c>
    </row>
    <row r="6" spans="1:4" x14ac:dyDescent="0.3">
      <c r="A6" s="7">
        <v>521</v>
      </c>
      <c r="B6" s="7" t="s">
        <v>30</v>
      </c>
      <c r="C6" s="7" t="s">
        <v>26</v>
      </c>
      <c r="D6" s="7" t="s">
        <v>26</v>
      </c>
    </row>
    <row r="7" spans="1:4" x14ac:dyDescent="0.3">
      <c r="A7" s="7">
        <v>683</v>
      </c>
      <c r="B7" s="7" t="s">
        <v>31</v>
      </c>
      <c r="C7" s="7" t="s">
        <v>26</v>
      </c>
      <c r="D7" s="7" t="s">
        <v>26</v>
      </c>
    </row>
    <row r="8" spans="1:4" x14ac:dyDescent="0.3">
      <c r="A8" s="7">
        <v>767</v>
      </c>
      <c r="B8" s="7" t="s">
        <v>32</v>
      </c>
      <c r="C8" s="7" t="s">
        <v>26</v>
      </c>
      <c r="D8" s="7" t="s">
        <v>26</v>
      </c>
    </row>
    <row r="9" spans="1:4" x14ac:dyDescent="0.3">
      <c r="A9" s="7">
        <v>883</v>
      </c>
      <c r="B9" s="7" t="s">
        <v>33</v>
      </c>
      <c r="C9" s="7" t="s">
        <v>26</v>
      </c>
      <c r="D9" s="7" t="s">
        <v>26</v>
      </c>
    </row>
    <row r="10" spans="1:4" x14ac:dyDescent="0.3">
      <c r="A10" s="7">
        <v>1161</v>
      </c>
      <c r="B10" s="7" t="s">
        <v>34</v>
      </c>
      <c r="C10" s="7" t="s">
        <v>26</v>
      </c>
      <c r="D10" s="7" t="s">
        <v>26</v>
      </c>
    </row>
    <row r="11" spans="1:4" x14ac:dyDescent="0.3">
      <c r="A11" s="7">
        <v>1266</v>
      </c>
      <c r="B11" s="7" t="s">
        <v>35</v>
      </c>
      <c r="C11" s="7" t="s">
        <v>26</v>
      </c>
      <c r="D11" s="7" t="s">
        <v>26</v>
      </c>
    </row>
    <row r="12" spans="1:4" x14ac:dyDescent="0.3">
      <c r="A12" s="7">
        <v>1270</v>
      </c>
      <c r="B12" s="7" t="s">
        <v>36</v>
      </c>
      <c r="C12" s="7" t="s">
        <v>26</v>
      </c>
      <c r="D12" s="7" t="s">
        <v>26</v>
      </c>
    </row>
    <row r="13" spans="1:4" x14ac:dyDescent="0.3">
      <c r="A13" s="7">
        <v>1377</v>
      </c>
      <c r="B13" s="7" t="s">
        <v>37</v>
      </c>
      <c r="C13" s="7" t="s">
        <v>26</v>
      </c>
      <c r="D13" s="7" t="s">
        <v>26</v>
      </c>
    </row>
    <row r="14" spans="1:4" x14ac:dyDescent="0.3">
      <c r="A14" s="7">
        <v>1407</v>
      </c>
      <c r="B14" s="7" t="s">
        <v>38</v>
      </c>
      <c r="C14" s="7" t="s">
        <v>26</v>
      </c>
      <c r="D14" s="7" t="s">
        <v>26</v>
      </c>
    </row>
    <row r="15" spans="1:4" x14ac:dyDescent="0.3">
      <c r="A15" s="7">
        <v>1550</v>
      </c>
      <c r="B15" s="7" t="s">
        <v>39</v>
      </c>
      <c r="C15" s="7" t="s">
        <v>26</v>
      </c>
      <c r="D15" s="7" t="s">
        <v>26</v>
      </c>
    </row>
    <row r="16" spans="1:4" x14ac:dyDescent="0.3">
      <c r="A16" s="7">
        <v>1704</v>
      </c>
      <c r="B16" s="7" t="s">
        <v>40</v>
      </c>
      <c r="C16" s="7" t="s">
        <v>26</v>
      </c>
      <c r="D16" s="7" t="s">
        <v>26</v>
      </c>
    </row>
    <row r="17" spans="1:4" x14ac:dyDescent="0.3">
      <c r="A17" s="7">
        <v>1717</v>
      </c>
      <c r="B17" s="7" t="s">
        <v>41</v>
      </c>
      <c r="C17" s="7" t="s">
        <v>26</v>
      </c>
      <c r="D17" s="7" t="s">
        <v>26</v>
      </c>
    </row>
    <row r="18" spans="1:4" x14ac:dyDescent="0.3">
      <c r="A18" s="7">
        <v>1835</v>
      </c>
      <c r="B18" s="7" t="s">
        <v>42</v>
      </c>
      <c r="C18" s="7" t="s">
        <v>26</v>
      </c>
      <c r="D18" s="7" t="s">
        <v>26</v>
      </c>
    </row>
    <row r="19" spans="1:4" x14ac:dyDescent="0.3">
      <c r="A19" s="7">
        <v>1973</v>
      </c>
      <c r="B19" s="7" t="s">
        <v>43</v>
      </c>
      <c r="C19" s="7" t="s">
        <v>26</v>
      </c>
      <c r="D19" s="7" t="s">
        <v>26</v>
      </c>
    </row>
    <row r="20" spans="1:4" x14ac:dyDescent="0.3">
      <c r="A20" s="7">
        <v>1986</v>
      </c>
      <c r="B20" s="7" t="s">
        <v>44</v>
      </c>
      <c r="C20" s="7" t="s">
        <v>26</v>
      </c>
      <c r="D20" s="7" t="s">
        <v>26</v>
      </c>
    </row>
    <row r="21" spans="1:4" x14ac:dyDescent="0.3">
      <c r="A21" s="7">
        <v>2007</v>
      </c>
      <c r="B21" s="7" t="s">
        <v>45</v>
      </c>
      <c r="C21" s="7" t="s">
        <v>26</v>
      </c>
      <c r="D21" s="7" t="s">
        <v>26</v>
      </c>
    </row>
    <row r="22" spans="1:4" x14ac:dyDescent="0.3">
      <c r="A22" s="7">
        <v>2102</v>
      </c>
      <c r="B22" s="7" t="s">
        <v>46</v>
      </c>
      <c r="C22" s="7" t="s">
        <v>26</v>
      </c>
      <c r="D22" s="7" t="s">
        <v>26</v>
      </c>
    </row>
    <row r="23" spans="1:4" x14ac:dyDescent="0.3">
      <c r="A23" s="7">
        <v>2184</v>
      </c>
      <c r="B23" s="7" t="s">
        <v>47</v>
      </c>
      <c r="C23" s="7" t="s">
        <v>26</v>
      </c>
      <c r="D23" s="7" t="s">
        <v>26</v>
      </c>
    </row>
    <row r="24" spans="1:4" x14ac:dyDescent="0.3">
      <c r="A24" s="7">
        <v>2280</v>
      </c>
      <c r="B24" s="7" t="s">
        <v>48</v>
      </c>
      <c r="C24" s="7" t="s">
        <v>26</v>
      </c>
      <c r="D24" s="7" t="s">
        <v>26</v>
      </c>
    </row>
    <row r="25" spans="1:4" x14ac:dyDescent="0.3">
      <c r="A25" s="7">
        <v>2325</v>
      </c>
      <c r="B25" s="7" t="s">
        <v>49</v>
      </c>
      <c r="C25" s="7" t="s">
        <v>26</v>
      </c>
      <c r="D25" s="7" t="s">
        <v>26</v>
      </c>
    </row>
    <row r="26" spans="1:4" x14ac:dyDescent="0.3">
      <c r="A26" s="7">
        <v>2360</v>
      </c>
      <c r="B26" s="7" t="s">
        <v>50</v>
      </c>
      <c r="C26" s="7" t="s">
        <v>26</v>
      </c>
      <c r="D26" s="7" t="s">
        <v>26</v>
      </c>
    </row>
    <row r="27" spans="1:4" x14ac:dyDescent="0.3">
      <c r="A27" s="7">
        <v>2570</v>
      </c>
      <c r="B27" s="7" t="s">
        <v>51</v>
      </c>
      <c r="C27" s="7" t="s">
        <v>26</v>
      </c>
      <c r="D27" s="7" t="s">
        <v>26</v>
      </c>
    </row>
    <row r="28" spans="1:4" x14ac:dyDescent="0.3">
      <c r="A28" s="7">
        <v>2711</v>
      </c>
      <c r="B28" s="7" t="s">
        <v>52</v>
      </c>
      <c r="C28" s="7" t="s">
        <v>26</v>
      </c>
      <c r="D28" s="7" t="s">
        <v>26</v>
      </c>
    </row>
    <row r="29" spans="1:4" x14ac:dyDescent="0.3">
      <c r="A29" s="7">
        <v>2735</v>
      </c>
      <c r="B29" s="7" t="s">
        <v>53</v>
      </c>
      <c r="C29" s="7" t="s">
        <v>26</v>
      </c>
      <c r="D29" s="7" t="s">
        <v>26</v>
      </c>
    </row>
    <row r="30" spans="1:4" x14ac:dyDescent="0.3">
      <c r="A30" s="7">
        <v>2743</v>
      </c>
      <c r="B30" s="7" t="s">
        <v>54</v>
      </c>
      <c r="C30" s="7" t="s">
        <v>26</v>
      </c>
      <c r="D30" s="7" t="s">
        <v>26</v>
      </c>
    </row>
    <row r="31" spans="1:4" x14ac:dyDescent="0.3">
      <c r="A31" s="7">
        <v>2881</v>
      </c>
      <c r="B31" s="7" t="s">
        <v>55</v>
      </c>
      <c r="C31" s="7" t="s">
        <v>26</v>
      </c>
      <c r="D31" s="7" t="s">
        <v>26</v>
      </c>
    </row>
    <row r="32" spans="1:4" x14ac:dyDescent="0.3">
      <c r="A32" s="7">
        <v>3160</v>
      </c>
      <c r="B32" s="7" t="s">
        <v>56</v>
      </c>
      <c r="C32" s="7" t="s">
        <v>26</v>
      </c>
      <c r="D32" s="7" t="s">
        <v>26</v>
      </c>
    </row>
    <row r="33" spans="1:4" x14ac:dyDescent="0.3">
      <c r="A33" s="7">
        <v>3688</v>
      </c>
      <c r="B33" s="7" t="s">
        <v>57</v>
      </c>
      <c r="C33" s="7" t="s">
        <v>26</v>
      </c>
      <c r="D33" s="7" t="s">
        <v>26</v>
      </c>
    </row>
    <row r="34" spans="1:4" x14ac:dyDescent="0.3">
      <c r="A34" s="7">
        <v>3694</v>
      </c>
      <c r="B34" s="7" t="s">
        <v>58</v>
      </c>
      <c r="C34" s="7" t="s">
        <v>26</v>
      </c>
      <c r="D34" s="7" t="s">
        <v>26</v>
      </c>
    </row>
    <row r="35" spans="1:4" x14ac:dyDescent="0.3">
      <c r="A35" s="7">
        <v>4537</v>
      </c>
      <c r="B35" s="7" t="s">
        <v>59</v>
      </c>
      <c r="C35" s="7" t="s">
        <v>26</v>
      </c>
      <c r="D35" s="7" t="s">
        <v>26</v>
      </c>
    </row>
    <row r="36" spans="1:4" x14ac:dyDescent="0.3">
      <c r="A36" s="7">
        <v>4642</v>
      </c>
      <c r="B36" s="7" t="s">
        <v>60</v>
      </c>
      <c r="C36" s="7" t="s">
        <v>26</v>
      </c>
      <c r="D36" s="7" t="s">
        <v>26</v>
      </c>
    </row>
    <row r="37" spans="1:4" x14ac:dyDescent="0.3">
      <c r="A37" s="7">
        <v>5010</v>
      </c>
      <c r="B37" s="7" t="s">
        <v>61</v>
      </c>
      <c r="C37" s="7" t="s">
        <v>26</v>
      </c>
      <c r="D37" s="7" t="s">
        <v>26</v>
      </c>
    </row>
    <row r="38" spans="1:4" x14ac:dyDescent="0.3">
      <c r="A38" s="7">
        <v>5230</v>
      </c>
      <c r="B38" s="7" t="s">
        <v>62</v>
      </c>
      <c r="C38" s="7" t="s">
        <v>26</v>
      </c>
      <c r="D38" s="7" t="s">
        <v>26</v>
      </c>
    </row>
    <row r="39" spans="1:4" x14ac:dyDescent="0.3">
      <c r="A39" s="7">
        <v>5474</v>
      </c>
      <c r="B39" s="7" t="s">
        <v>63</v>
      </c>
      <c r="C39" s="7" t="s">
        <v>26</v>
      </c>
      <c r="D39" s="7" t="s">
        <v>26</v>
      </c>
    </row>
    <row r="40" spans="1:4" x14ac:dyDescent="0.3">
      <c r="A40" s="7">
        <v>5542</v>
      </c>
      <c r="B40" s="7" t="s">
        <v>64</v>
      </c>
      <c r="C40" s="7" t="s">
        <v>26</v>
      </c>
      <c r="D40" s="7" t="s">
        <v>26</v>
      </c>
    </row>
    <row r="41" spans="1:4" x14ac:dyDescent="0.3">
      <c r="A41" s="7">
        <v>5687</v>
      </c>
      <c r="B41" s="7" t="s">
        <v>65</v>
      </c>
      <c r="C41" s="7" t="s">
        <v>26</v>
      </c>
      <c r="D41" s="7" t="s">
        <v>26</v>
      </c>
    </row>
    <row r="42" spans="1:4" x14ac:dyDescent="0.3">
      <c r="A42" s="7">
        <v>5828</v>
      </c>
      <c r="B42" s="7" t="s">
        <v>66</v>
      </c>
      <c r="C42" s="7" t="s">
        <v>26</v>
      </c>
      <c r="D42" s="7" t="s">
        <v>26</v>
      </c>
    </row>
    <row r="43" spans="1:4" x14ac:dyDescent="0.3">
      <c r="A43" s="7">
        <v>5973</v>
      </c>
      <c r="B43" s="7" t="s">
        <v>67</v>
      </c>
      <c r="C43" s="7" t="s">
        <v>26</v>
      </c>
      <c r="D43" s="7" t="s">
        <v>26</v>
      </c>
    </row>
    <row r="44" spans="1:4" x14ac:dyDescent="0.3">
      <c r="A44" s="7">
        <v>5976</v>
      </c>
      <c r="B44" s="7" t="s">
        <v>68</v>
      </c>
      <c r="C44" s="7" t="s">
        <v>26</v>
      </c>
      <c r="D44" s="7" t="s">
        <v>26</v>
      </c>
    </row>
    <row r="45" spans="1:4" x14ac:dyDescent="0.3">
      <c r="A45" s="7">
        <v>6072</v>
      </c>
      <c r="B45" s="7" t="s">
        <v>69</v>
      </c>
      <c r="C45" s="7" t="s">
        <v>26</v>
      </c>
      <c r="D45" s="7" t="s">
        <v>26</v>
      </c>
    </row>
    <row r="46" spans="1:4" x14ac:dyDescent="0.3">
      <c r="A46" s="7">
        <v>6290</v>
      </c>
      <c r="B46" s="7" t="s">
        <v>70</v>
      </c>
      <c r="C46" s="7" t="s">
        <v>26</v>
      </c>
      <c r="D46" s="7" t="s">
        <v>26</v>
      </c>
    </row>
    <row r="47" spans="1:4" x14ac:dyDescent="0.3">
      <c r="A47" s="7">
        <v>6322</v>
      </c>
      <c r="B47" s="7" t="s">
        <v>71</v>
      </c>
      <c r="C47" s="7" t="s">
        <v>26</v>
      </c>
      <c r="D47" s="7" t="s">
        <v>26</v>
      </c>
    </row>
    <row r="48" spans="1:4" x14ac:dyDescent="0.3">
      <c r="A48" s="7">
        <v>6658</v>
      </c>
      <c r="B48" s="7" t="s">
        <v>72</v>
      </c>
      <c r="C48" s="7" t="s">
        <v>26</v>
      </c>
      <c r="D48" s="7" t="s">
        <v>26</v>
      </c>
    </row>
    <row r="49" spans="1:4" x14ac:dyDescent="0.3">
      <c r="A49" s="7">
        <v>7125</v>
      </c>
      <c r="B49" s="7" t="s">
        <v>73</v>
      </c>
      <c r="C49" s="7" t="s">
        <v>26</v>
      </c>
      <c r="D49" s="7" t="s">
        <v>26</v>
      </c>
    </row>
    <row r="50" spans="1:4" x14ac:dyDescent="0.3">
      <c r="A50" s="7">
        <v>7642</v>
      </c>
      <c r="B50" s="7" t="s">
        <v>74</v>
      </c>
      <c r="C50" s="7" t="s">
        <v>75</v>
      </c>
      <c r="D50" s="7" t="s">
        <v>26</v>
      </c>
    </row>
    <row r="51" spans="1:4" x14ac:dyDescent="0.3">
      <c r="A51" s="7">
        <v>7879</v>
      </c>
      <c r="B51" s="7" t="s">
        <v>76</v>
      </c>
      <c r="C51" s="7" t="s">
        <v>26</v>
      </c>
      <c r="D51" s="7" t="s">
        <v>26</v>
      </c>
    </row>
    <row r="52" spans="1:4" x14ac:dyDescent="0.3">
      <c r="A52" s="7">
        <v>7948</v>
      </c>
      <c r="B52" s="7" t="s">
        <v>77</v>
      </c>
      <c r="C52" s="7" t="s">
        <v>26</v>
      </c>
      <c r="D52" s="7" t="s">
        <v>26</v>
      </c>
    </row>
    <row r="53" spans="1:4" x14ac:dyDescent="0.3">
      <c r="A53" s="7">
        <v>8068</v>
      </c>
      <c r="B53" s="7" t="s">
        <v>78</v>
      </c>
      <c r="C53" s="7" t="s">
        <v>26</v>
      </c>
      <c r="D53" s="7" t="s">
        <v>26</v>
      </c>
    </row>
    <row r="54" spans="1:4" x14ac:dyDescent="0.3">
      <c r="A54" s="7">
        <v>8584</v>
      </c>
      <c r="B54" s="7" t="s">
        <v>79</v>
      </c>
      <c r="C54" s="7" t="s">
        <v>26</v>
      </c>
      <c r="D54" s="7" t="s">
        <v>26</v>
      </c>
    </row>
    <row r="55" spans="1:4" x14ac:dyDescent="0.3">
      <c r="A55" s="7">
        <v>8878</v>
      </c>
      <c r="B55" s="7" t="s">
        <v>80</v>
      </c>
      <c r="C55" s="7" t="s">
        <v>26</v>
      </c>
      <c r="D55" s="7" t="s">
        <v>26</v>
      </c>
    </row>
    <row r="56" spans="1:4" x14ac:dyDescent="0.3">
      <c r="A56" s="7">
        <v>9349</v>
      </c>
      <c r="B56" s="7" t="s">
        <v>81</v>
      </c>
      <c r="C56" s="7" t="s">
        <v>26</v>
      </c>
      <c r="D56" s="7" t="s">
        <v>26</v>
      </c>
    </row>
    <row r="57" spans="1:4" x14ac:dyDescent="0.3">
      <c r="A57" s="7">
        <v>9942</v>
      </c>
      <c r="B57" s="7" t="s">
        <v>82</v>
      </c>
      <c r="C57" s="7" t="s">
        <v>26</v>
      </c>
      <c r="D57" s="7" t="s">
        <v>26</v>
      </c>
    </row>
    <row r="58" spans="1:4" x14ac:dyDescent="0.3">
      <c r="A58" s="7">
        <v>10744</v>
      </c>
      <c r="B58" s="7" t="s">
        <v>83</v>
      </c>
      <c r="C58" s="7" t="s">
        <v>26</v>
      </c>
      <c r="D58" s="7" t="s">
        <v>26</v>
      </c>
    </row>
    <row r="59" spans="1:4" x14ac:dyDescent="0.3">
      <c r="A59" s="7">
        <v>10821</v>
      </c>
      <c r="B59" s="7" t="s">
        <v>84</v>
      </c>
      <c r="C59" s="7" t="s">
        <v>26</v>
      </c>
      <c r="D59" s="7" t="s">
        <v>26</v>
      </c>
    </row>
    <row r="60" spans="1:4" x14ac:dyDescent="0.3">
      <c r="A60" s="7">
        <v>10946</v>
      </c>
      <c r="B60" s="7" t="s">
        <v>85</v>
      </c>
      <c r="C60" s="7" t="s">
        <v>26</v>
      </c>
      <c r="D60" s="7" t="s">
        <v>75</v>
      </c>
    </row>
    <row r="61" spans="1:4" x14ac:dyDescent="0.3">
      <c r="A61" s="7">
        <v>10971</v>
      </c>
      <c r="B61" s="7" t="s">
        <v>86</v>
      </c>
      <c r="C61" s="7" t="s">
        <v>26</v>
      </c>
      <c r="D61" s="7" t="s">
        <v>26</v>
      </c>
    </row>
    <row r="62" spans="1:4" x14ac:dyDescent="0.3">
      <c r="A62" s="7">
        <v>11319</v>
      </c>
      <c r="B62" s="7" t="s">
        <v>87</v>
      </c>
      <c r="C62" s="7" t="s">
        <v>26</v>
      </c>
      <c r="D62" s="7" t="s">
        <v>26</v>
      </c>
    </row>
    <row r="63" spans="1:4" x14ac:dyDescent="0.3">
      <c r="A63" s="7">
        <v>11619</v>
      </c>
      <c r="B63" s="7" t="s">
        <v>88</v>
      </c>
      <c r="C63" s="7" t="s">
        <v>26</v>
      </c>
      <c r="D63" s="7" t="s">
        <v>26</v>
      </c>
    </row>
    <row r="64" spans="1:4" x14ac:dyDescent="0.3">
      <c r="A64" s="7">
        <v>11636</v>
      </c>
      <c r="B64" s="7" t="s">
        <v>89</v>
      </c>
      <c r="C64" s="7" t="s">
        <v>26</v>
      </c>
      <c r="D64" s="7" t="s">
        <v>26</v>
      </c>
    </row>
    <row r="65" spans="1:4" x14ac:dyDescent="0.3">
      <c r="A65" s="7">
        <v>11923</v>
      </c>
      <c r="B65" s="7" t="s">
        <v>90</v>
      </c>
      <c r="C65" s="7" t="s">
        <v>26</v>
      </c>
      <c r="D65" s="7" t="s">
        <v>26</v>
      </c>
    </row>
    <row r="66" spans="1:4" x14ac:dyDescent="0.3">
      <c r="A66" s="7">
        <v>12116</v>
      </c>
      <c r="B66" s="7" t="s">
        <v>91</v>
      </c>
      <c r="C66" s="7" t="s">
        <v>26</v>
      </c>
      <c r="D66" s="7" t="s">
        <v>26</v>
      </c>
    </row>
    <row r="67" spans="1:4" x14ac:dyDescent="0.3">
      <c r="A67" s="7">
        <v>12773</v>
      </c>
      <c r="B67" s="7" t="s">
        <v>92</v>
      </c>
      <c r="C67" s="7" t="s">
        <v>26</v>
      </c>
      <c r="D67" s="7" t="s">
        <v>26</v>
      </c>
    </row>
    <row r="68" spans="1:4" x14ac:dyDescent="0.3">
      <c r="A68" s="7">
        <v>12913</v>
      </c>
      <c r="B68" s="7" t="s">
        <v>93</v>
      </c>
      <c r="C68" s="7" t="s">
        <v>26</v>
      </c>
      <c r="D68" s="7" t="s">
        <v>26</v>
      </c>
    </row>
    <row r="69" spans="1:4" x14ac:dyDescent="0.3">
      <c r="A69" s="7">
        <v>13045</v>
      </c>
      <c r="B69" s="7" t="s">
        <v>94</v>
      </c>
      <c r="C69" s="7" t="s">
        <v>26</v>
      </c>
      <c r="D69" s="7" t="s">
        <v>26</v>
      </c>
    </row>
    <row r="70" spans="1:4" x14ac:dyDescent="0.3">
      <c r="A70" s="7">
        <v>13046</v>
      </c>
      <c r="B70" s="7" t="s">
        <v>95</v>
      </c>
      <c r="C70" s="7" t="s">
        <v>75</v>
      </c>
      <c r="D70" s="7" t="s">
        <v>26</v>
      </c>
    </row>
    <row r="71" spans="1:4" x14ac:dyDescent="0.3">
      <c r="A71" s="7">
        <v>13182</v>
      </c>
      <c r="B71" s="7" t="s">
        <v>96</v>
      </c>
      <c r="C71" s="7" t="s">
        <v>26</v>
      </c>
      <c r="D71" s="7" t="s">
        <v>26</v>
      </c>
    </row>
    <row r="72" spans="1:4" x14ac:dyDescent="0.3">
      <c r="A72" s="7">
        <v>13292</v>
      </c>
      <c r="B72" s="7" t="s">
        <v>97</v>
      </c>
      <c r="C72" s="7" t="s">
        <v>26</v>
      </c>
      <c r="D72" s="7" t="s">
        <v>26</v>
      </c>
    </row>
    <row r="73" spans="1:4" x14ac:dyDescent="0.3">
      <c r="A73" s="7">
        <v>13332</v>
      </c>
      <c r="B73" s="7" t="s">
        <v>98</v>
      </c>
      <c r="C73" s="7" t="s">
        <v>26</v>
      </c>
      <c r="D73" s="7" t="s">
        <v>26</v>
      </c>
    </row>
    <row r="74" spans="1:4" x14ac:dyDescent="0.3">
      <c r="A74" s="7">
        <v>13367</v>
      </c>
      <c r="B74" s="7" t="s">
        <v>99</v>
      </c>
      <c r="C74" s="7" t="s">
        <v>26</v>
      </c>
      <c r="D74" s="7" t="s">
        <v>26</v>
      </c>
    </row>
    <row r="75" spans="1:4" x14ac:dyDescent="0.3">
      <c r="A75" s="7">
        <v>13764</v>
      </c>
      <c r="B75" s="7" t="s">
        <v>100</v>
      </c>
      <c r="C75" s="7" t="s">
        <v>26</v>
      </c>
      <c r="D75" s="7" t="s">
        <v>26</v>
      </c>
    </row>
    <row r="76" spans="1:4" x14ac:dyDescent="0.3">
      <c r="A76" s="7">
        <v>13874</v>
      </c>
      <c r="B76" s="7" t="s">
        <v>101</v>
      </c>
      <c r="C76" s="7" t="s">
        <v>26</v>
      </c>
      <c r="D76" s="7" t="s">
        <v>26</v>
      </c>
    </row>
    <row r="77" spans="1:4" x14ac:dyDescent="0.3">
      <c r="A77" s="7">
        <v>13905</v>
      </c>
      <c r="B77" s="7" t="s">
        <v>102</v>
      </c>
      <c r="C77" s="7" t="s">
        <v>26</v>
      </c>
      <c r="D77" s="7" t="s">
        <v>26</v>
      </c>
    </row>
    <row r="78" spans="1:4" x14ac:dyDescent="0.3">
      <c r="A78" s="7">
        <v>13933</v>
      </c>
      <c r="B78" s="7" t="s">
        <v>103</v>
      </c>
      <c r="C78" s="7" t="s">
        <v>26</v>
      </c>
      <c r="D78" s="7" t="s">
        <v>26</v>
      </c>
    </row>
    <row r="79" spans="1:4" x14ac:dyDescent="0.3">
      <c r="A79" s="7">
        <v>14045</v>
      </c>
      <c r="B79" s="7" t="s">
        <v>104</v>
      </c>
      <c r="C79" s="7" t="s">
        <v>26</v>
      </c>
      <c r="D79" s="7" t="s">
        <v>26</v>
      </c>
    </row>
    <row r="80" spans="1:4" x14ac:dyDescent="0.3">
      <c r="A80" s="7">
        <v>14098</v>
      </c>
      <c r="B80" s="7" t="s">
        <v>105</v>
      </c>
      <c r="C80" s="7" t="s">
        <v>26</v>
      </c>
      <c r="D80" s="7" t="s">
        <v>26</v>
      </c>
    </row>
    <row r="81" spans="1:4" x14ac:dyDescent="0.3">
      <c r="A81" s="7">
        <v>14122</v>
      </c>
      <c r="B81" s="7" t="s">
        <v>106</v>
      </c>
      <c r="C81" s="7" t="s">
        <v>26</v>
      </c>
      <c r="D81" s="7" t="s">
        <v>26</v>
      </c>
    </row>
    <row r="82" spans="1:4" x14ac:dyDescent="0.3">
      <c r="A82" s="7">
        <v>14143</v>
      </c>
      <c r="B82" s="7" t="s">
        <v>107</v>
      </c>
      <c r="C82" s="7" t="s">
        <v>26</v>
      </c>
      <c r="D82" s="7" t="s">
        <v>26</v>
      </c>
    </row>
    <row r="83" spans="1:4" x14ac:dyDescent="0.3">
      <c r="A83" s="7">
        <v>14312</v>
      </c>
      <c r="B83" s="7" t="s">
        <v>108</v>
      </c>
      <c r="C83" s="7" t="s">
        <v>26</v>
      </c>
      <c r="D83" s="7" t="s">
        <v>26</v>
      </c>
    </row>
    <row r="84" spans="1:4" x14ac:dyDescent="0.3">
      <c r="A84" s="7">
        <v>14334</v>
      </c>
      <c r="B84" s="7" t="s">
        <v>109</v>
      </c>
      <c r="C84" s="7" t="s">
        <v>26</v>
      </c>
      <c r="D84" s="7" t="s">
        <v>26</v>
      </c>
    </row>
    <row r="85" spans="1:4" x14ac:dyDescent="0.3">
      <c r="A85" s="7">
        <v>14745</v>
      </c>
      <c r="B85" s="7" t="s">
        <v>110</v>
      </c>
      <c r="C85" s="7" t="s">
        <v>26</v>
      </c>
      <c r="D85" s="7" t="s">
        <v>26</v>
      </c>
    </row>
    <row r="86" spans="1:4" x14ac:dyDescent="0.3">
      <c r="A86" s="7">
        <v>14823</v>
      </c>
      <c r="B86" s="7" t="s">
        <v>111</v>
      </c>
      <c r="C86" s="7" t="s">
        <v>26</v>
      </c>
      <c r="D86" s="7" t="s">
        <v>26</v>
      </c>
    </row>
    <row r="87" spans="1:4" x14ac:dyDescent="0.3">
      <c r="A87" s="7">
        <v>14828</v>
      </c>
      <c r="B87" s="7" t="s">
        <v>112</v>
      </c>
      <c r="C87" s="7" t="s">
        <v>26</v>
      </c>
      <c r="D87" s="7" t="s">
        <v>26</v>
      </c>
    </row>
    <row r="88" spans="1:4" x14ac:dyDescent="0.3">
      <c r="A88" s="7">
        <v>15044</v>
      </c>
      <c r="B88" s="7" t="s">
        <v>113</v>
      </c>
      <c r="C88" s="7" t="s">
        <v>75</v>
      </c>
      <c r="D88" s="7" t="s">
        <v>26</v>
      </c>
    </row>
    <row r="89" spans="1:4" x14ac:dyDescent="0.3">
      <c r="A89" s="7">
        <v>15049</v>
      </c>
      <c r="B89" s="7" t="s">
        <v>114</v>
      </c>
      <c r="C89" s="7" t="s">
        <v>26</v>
      </c>
      <c r="D89" s="7" t="s">
        <v>26</v>
      </c>
    </row>
    <row r="90" spans="1:4" x14ac:dyDescent="0.3">
      <c r="A90" s="7">
        <v>15052</v>
      </c>
      <c r="B90" s="7" t="s">
        <v>115</v>
      </c>
      <c r="C90" s="7" t="s">
        <v>26</v>
      </c>
      <c r="D90" s="7" t="s">
        <v>26</v>
      </c>
    </row>
    <row r="91" spans="1:4" x14ac:dyDescent="0.3">
      <c r="A91" s="7">
        <v>15173</v>
      </c>
      <c r="B91" s="7" t="s">
        <v>116</v>
      </c>
      <c r="C91" s="7" t="s">
        <v>26</v>
      </c>
      <c r="D91" s="7" t="s">
        <v>26</v>
      </c>
    </row>
    <row r="92" spans="1:4" x14ac:dyDescent="0.3">
      <c r="A92" s="7">
        <v>15479</v>
      </c>
      <c r="B92" s="7" t="s">
        <v>117</v>
      </c>
      <c r="C92" s="7" t="s">
        <v>26</v>
      </c>
      <c r="D92" s="7" t="s">
        <v>26</v>
      </c>
    </row>
    <row r="93" spans="1:4" x14ac:dyDescent="0.3">
      <c r="A93" s="7">
        <v>15552</v>
      </c>
      <c r="B93" s="7" t="s">
        <v>118</v>
      </c>
      <c r="C93" s="7" t="s">
        <v>26</v>
      </c>
      <c r="D93" s="7" t="s">
        <v>26</v>
      </c>
    </row>
    <row r="94" spans="1:4" x14ac:dyDescent="0.3">
      <c r="A94" s="7">
        <v>15741</v>
      </c>
      <c r="B94" s="7" t="s">
        <v>119</v>
      </c>
      <c r="C94" s="7" t="s">
        <v>26</v>
      </c>
      <c r="D94" s="7" t="s">
        <v>26</v>
      </c>
    </row>
    <row r="95" spans="1:4" x14ac:dyDescent="0.3">
      <c r="A95" s="7">
        <v>15832</v>
      </c>
      <c r="B95" s="7" t="s">
        <v>120</v>
      </c>
      <c r="C95" s="7" t="s">
        <v>26</v>
      </c>
      <c r="D95" s="7" t="s">
        <v>26</v>
      </c>
    </row>
    <row r="96" spans="1:4" x14ac:dyDescent="0.3">
      <c r="A96" s="7">
        <v>15841</v>
      </c>
      <c r="B96" s="7" t="s">
        <v>121</v>
      </c>
      <c r="C96" s="7" t="s">
        <v>26</v>
      </c>
      <c r="D96" s="7" t="s">
        <v>26</v>
      </c>
    </row>
    <row r="97" spans="1:4" x14ac:dyDescent="0.3">
      <c r="A97" s="7">
        <v>16038</v>
      </c>
      <c r="B97" s="7" t="s">
        <v>122</v>
      </c>
      <c r="C97" s="7" t="s">
        <v>26</v>
      </c>
      <c r="D97" s="7" t="s">
        <v>26</v>
      </c>
    </row>
    <row r="98" spans="1:4" x14ac:dyDescent="0.3">
      <c r="A98" s="7">
        <v>16607</v>
      </c>
      <c r="B98" s="7" t="s">
        <v>123</v>
      </c>
      <c r="C98" s="7" t="s">
        <v>26</v>
      </c>
      <c r="D98" s="7" t="s">
        <v>26</v>
      </c>
    </row>
    <row r="99" spans="1:4" x14ac:dyDescent="0.3">
      <c r="A99" s="7">
        <v>17224</v>
      </c>
      <c r="B99" s="7" t="s">
        <v>124</v>
      </c>
      <c r="C99" s="7" t="s">
        <v>26</v>
      </c>
      <c r="D99" s="7" t="s">
        <v>26</v>
      </c>
    </row>
    <row r="100" spans="1:4" x14ac:dyDescent="0.3">
      <c r="A100" s="7">
        <v>17235</v>
      </c>
      <c r="B100" s="7" t="s">
        <v>125</v>
      </c>
      <c r="C100" s="7" t="s">
        <v>26</v>
      </c>
      <c r="D100" s="7" t="s">
        <v>26</v>
      </c>
    </row>
    <row r="101" spans="1:4" x14ac:dyDescent="0.3">
      <c r="A101" s="7">
        <v>17313</v>
      </c>
      <c r="B101" s="7" t="s">
        <v>126</v>
      </c>
      <c r="C101" s="7" t="s">
        <v>26</v>
      </c>
      <c r="D101" s="7" t="s">
        <v>26</v>
      </c>
    </row>
    <row r="102" spans="1:4" x14ac:dyDescent="0.3">
      <c r="A102" s="7">
        <v>17824</v>
      </c>
      <c r="B102" s="7" t="s">
        <v>127</v>
      </c>
      <c r="C102" s="7" t="s">
        <v>26</v>
      </c>
      <c r="D102" s="7" t="s">
        <v>26</v>
      </c>
    </row>
    <row r="103" spans="1:4" x14ac:dyDescent="0.3">
      <c r="A103" s="7">
        <v>17973</v>
      </c>
      <c r="B103" s="7" t="s">
        <v>128</v>
      </c>
      <c r="C103" s="7" t="s">
        <v>26</v>
      </c>
      <c r="D103" s="7" t="s">
        <v>26</v>
      </c>
    </row>
    <row r="104" spans="1:4" x14ac:dyDescent="0.3">
      <c r="A104" s="7">
        <v>18300</v>
      </c>
      <c r="B104" s="7" t="s">
        <v>129</v>
      </c>
      <c r="C104" s="7" t="s">
        <v>26</v>
      </c>
      <c r="D104" s="7" t="s">
        <v>26</v>
      </c>
    </row>
    <row r="105" spans="1:4" x14ac:dyDescent="0.3">
      <c r="A105" s="7">
        <v>18374</v>
      </c>
      <c r="B105" s="7" t="s">
        <v>130</v>
      </c>
      <c r="C105" s="7" t="s">
        <v>26</v>
      </c>
      <c r="D105" s="7" t="s">
        <v>26</v>
      </c>
    </row>
    <row r="106" spans="1:4" x14ac:dyDescent="0.3">
      <c r="A106" s="7">
        <v>18628</v>
      </c>
      <c r="B106" s="7" t="s">
        <v>131</v>
      </c>
      <c r="C106" s="7" t="s">
        <v>26</v>
      </c>
      <c r="D106" s="7" t="s">
        <v>26</v>
      </c>
    </row>
    <row r="107" spans="1:4" x14ac:dyDescent="0.3">
      <c r="A107" s="7">
        <v>18879</v>
      </c>
      <c r="B107" s="7" t="s">
        <v>132</v>
      </c>
      <c r="C107" s="7" t="s">
        <v>26</v>
      </c>
      <c r="D107" s="7" t="s">
        <v>26</v>
      </c>
    </row>
    <row r="108" spans="1:4" x14ac:dyDescent="0.3">
      <c r="A108" s="7">
        <v>19083</v>
      </c>
      <c r="B108" s="7" t="s">
        <v>133</v>
      </c>
      <c r="C108" s="7" t="s">
        <v>26</v>
      </c>
      <c r="D108" s="7" t="s">
        <v>26</v>
      </c>
    </row>
    <row r="109" spans="1:4" x14ac:dyDescent="0.3">
      <c r="A109" s="7">
        <v>19585</v>
      </c>
      <c r="B109" s="7" t="s">
        <v>134</v>
      </c>
      <c r="C109" s="7" t="s">
        <v>26</v>
      </c>
      <c r="D109" s="7" t="s">
        <v>26</v>
      </c>
    </row>
    <row r="110" spans="1:4" x14ac:dyDescent="0.3">
      <c r="A110" s="7">
        <v>19661</v>
      </c>
      <c r="B110" s="7" t="s">
        <v>135</v>
      </c>
      <c r="C110" s="7" t="s">
        <v>26</v>
      </c>
      <c r="D110" s="7" t="s">
        <v>26</v>
      </c>
    </row>
    <row r="111" spans="1:4" x14ac:dyDescent="0.3">
      <c r="A111" s="7">
        <v>19882</v>
      </c>
      <c r="B111" s="7" t="s">
        <v>136</v>
      </c>
      <c r="C111" s="7" t="s">
        <v>26</v>
      </c>
      <c r="D111" s="7" t="s">
        <v>26</v>
      </c>
    </row>
    <row r="112" spans="1:4" x14ac:dyDescent="0.3">
      <c r="A112" s="7">
        <v>20117</v>
      </c>
      <c r="B112" s="7" t="s">
        <v>137</v>
      </c>
      <c r="C112" s="7" t="s">
        <v>26</v>
      </c>
      <c r="D112" s="7" t="s">
        <v>26</v>
      </c>
    </row>
    <row r="113" spans="1:4" x14ac:dyDescent="0.3">
      <c r="A113" s="7">
        <v>20409</v>
      </c>
      <c r="B113" s="7" t="s">
        <v>138</v>
      </c>
      <c r="C113" s="7" t="s">
        <v>26</v>
      </c>
      <c r="D113" s="7" t="s">
        <v>26</v>
      </c>
    </row>
    <row r="114" spans="1:4" x14ac:dyDescent="0.3">
      <c r="A114" s="7">
        <v>20783</v>
      </c>
      <c r="B114" s="7" t="s">
        <v>139</v>
      </c>
      <c r="C114" s="7" t="s">
        <v>26</v>
      </c>
      <c r="D114" s="7" t="s">
        <v>26</v>
      </c>
    </row>
    <row r="115" spans="1:4" x14ac:dyDescent="0.3">
      <c r="A115" s="7">
        <v>20868</v>
      </c>
      <c r="B115" s="7" t="s">
        <v>140</v>
      </c>
      <c r="C115" s="7" t="s">
        <v>26</v>
      </c>
      <c r="D115" s="7" t="s">
        <v>26</v>
      </c>
    </row>
    <row r="116" spans="1:4" x14ac:dyDescent="0.3">
      <c r="A116" s="7">
        <v>21266</v>
      </c>
      <c r="B116" s="7" t="s">
        <v>141</v>
      </c>
      <c r="C116" s="7" t="s">
        <v>75</v>
      </c>
      <c r="D116" s="7" t="s">
        <v>26</v>
      </c>
    </row>
    <row r="117" spans="1:4" x14ac:dyDescent="0.3">
      <c r="A117" s="7">
        <v>21368</v>
      </c>
      <c r="B117" s="7" t="s">
        <v>142</v>
      </c>
      <c r="C117" s="7" t="s">
        <v>26</v>
      </c>
      <c r="D117" s="7" t="s">
        <v>26</v>
      </c>
    </row>
    <row r="118" spans="1:4" x14ac:dyDescent="0.3">
      <c r="A118" s="7">
        <v>21522</v>
      </c>
      <c r="B118" s="7" t="s">
        <v>143</v>
      </c>
      <c r="C118" s="7" t="s">
        <v>26</v>
      </c>
      <c r="D118" s="7" t="s">
        <v>26</v>
      </c>
    </row>
    <row r="119" spans="1:4" x14ac:dyDescent="0.3">
      <c r="A119" s="7">
        <v>21523</v>
      </c>
      <c r="B119" s="7" t="s">
        <v>144</v>
      </c>
      <c r="C119" s="7" t="s">
        <v>26</v>
      </c>
      <c r="D119" s="7" t="s">
        <v>26</v>
      </c>
    </row>
    <row r="120" spans="1:4" x14ac:dyDescent="0.3">
      <c r="A120" s="7">
        <v>21816</v>
      </c>
      <c r="B120" s="7" t="s">
        <v>145</v>
      </c>
      <c r="C120" s="7" t="s">
        <v>26</v>
      </c>
      <c r="D120" s="7" t="s">
        <v>26</v>
      </c>
    </row>
    <row r="121" spans="1:4" x14ac:dyDescent="0.3">
      <c r="A121" s="7">
        <v>22032</v>
      </c>
      <c r="B121" s="7" t="s">
        <v>146</v>
      </c>
      <c r="C121" s="7" t="s">
        <v>26</v>
      </c>
      <c r="D121" s="7" t="s">
        <v>26</v>
      </c>
    </row>
    <row r="122" spans="1:4" x14ac:dyDescent="0.3">
      <c r="A122" s="7">
        <v>22341</v>
      </c>
      <c r="B122" s="7" t="s">
        <v>147</v>
      </c>
      <c r="C122" s="7" t="s">
        <v>26</v>
      </c>
      <c r="D122" s="7" t="s">
        <v>26</v>
      </c>
    </row>
    <row r="123" spans="1:4" x14ac:dyDescent="0.3">
      <c r="A123" s="7">
        <v>22729</v>
      </c>
      <c r="B123" s="7" t="s">
        <v>148</v>
      </c>
      <c r="C123" s="7" t="s">
        <v>26</v>
      </c>
      <c r="D123" s="7" t="s">
        <v>26</v>
      </c>
    </row>
    <row r="124" spans="1:4" x14ac:dyDescent="0.3">
      <c r="A124" s="7">
        <v>22741</v>
      </c>
      <c r="B124" s="7" t="s">
        <v>149</v>
      </c>
      <c r="C124" s="7" t="s">
        <v>26</v>
      </c>
      <c r="D124" s="7" t="s">
        <v>26</v>
      </c>
    </row>
    <row r="125" spans="1:4" x14ac:dyDescent="0.3">
      <c r="A125" s="7">
        <v>22748</v>
      </c>
      <c r="B125" s="7" t="s">
        <v>150</v>
      </c>
      <c r="C125" s="7" t="s">
        <v>75</v>
      </c>
      <c r="D125" s="7" t="s">
        <v>26</v>
      </c>
    </row>
    <row r="126" spans="1:4" x14ac:dyDescent="0.3">
      <c r="A126" s="7">
        <v>23138</v>
      </c>
      <c r="B126" s="7" t="s">
        <v>151</v>
      </c>
      <c r="C126" s="7" t="s">
        <v>26</v>
      </c>
      <c r="D126" s="7" t="s">
        <v>26</v>
      </c>
    </row>
    <row r="127" spans="1:4" x14ac:dyDescent="0.3">
      <c r="A127" s="7">
        <v>23224</v>
      </c>
      <c r="B127" s="7" t="s">
        <v>152</v>
      </c>
      <c r="C127" s="7" t="s">
        <v>26</v>
      </c>
      <c r="D127" s="7" t="s">
        <v>26</v>
      </c>
    </row>
    <row r="128" spans="1:4" x14ac:dyDescent="0.3">
      <c r="A128" s="7">
        <v>23300</v>
      </c>
      <c r="B128" s="7" t="s">
        <v>153</v>
      </c>
      <c r="C128" s="7" t="s">
        <v>26</v>
      </c>
      <c r="D128" s="7" t="s">
        <v>26</v>
      </c>
    </row>
    <row r="129" spans="1:4" x14ac:dyDescent="0.3">
      <c r="A129" s="7">
        <v>23540</v>
      </c>
      <c r="B129" s="7" t="s">
        <v>154</v>
      </c>
      <c r="C129" s="7" t="s">
        <v>26</v>
      </c>
      <c r="D129" s="7" t="s">
        <v>26</v>
      </c>
    </row>
    <row r="130" spans="1:4" x14ac:dyDescent="0.3">
      <c r="A130" s="7">
        <v>23853</v>
      </c>
      <c r="B130" s="7" t="s">
        <v>155</v>
      </c>
      <c r="C130" s="7" t="s">
        <v>26</v>
      </c>
      <c r="D130" s="7" t="s">
        <v>26</v>
      </c>
    </row>
    <row r="131" spans="1:4" x14ac:dyDescent="0.3">
      <c r="A131" s="7">
        <v>24067</v>
      </c>
      <c r="B131" s="7" t="s">
        <v>156</v>
      </c>
      <c r="C131" s="7" t="s">
        <v>26</v>
      </c>
      <c r="D131" s="7" t="s">
        <v>26</v>
      </c>
    </row>
    <row r="132" spans="1:4" x14ac:dyDescent="0.3">
      <c r="A132" s="7">
        <v>24645</v>
      </c>
      <c r="B132" s="7" t="s">
        <v>157</v>
      </c>
      <c r="C132" s="7" t="s">
        <v>26</v>
      </c>
      <c r="D132" s="7" t="s">
        <v>26</v>
      </c>
    </row>
    <row r="133" spans="1:4" x14ac:dyDescent="0.3">
      <c r="A133" s="7">
        <v>24649</v>
      </c>
      <c r="B133" s="7" t="s">
        <v>158</v>
      </c>
      <c r="C133" s="7" t="s">
        <v>26</v>
      </c>
      <c r="D133" s="7" t="s">
        <v>26</v>
      </c>
    </row>
    <row r="134" spans="1:4" x14ac:dyDescent="0.3">
      <c r="A134" s="7">
        <v>25765</v>
      </c>
      <c r="B134" s="7" t="s">
        <v>159</v>
      </c>
      <c r="C134" s="7" t="s">
        <v>26</v>
      </c>
      <c r="D134" s="7" t="s">
        <v>26</v>
      </c>
    </row>
    <row r="135" spans="1:4" x14ac:dyDescent="0.3">
      <c r="A135" s="7">
        <v>26110</v>
      </c>
      <c r="B135" s="7" t="s">
        <v>160</v>
      </c>
      <c r="C135" s="7" t="s">
        <v>26</v>
      </c>
      <c r="D135" s="7" t="s">
        <v>26</v>
      </c>
    </row>
    <row r="136" spans="1:4" x14ac:dyDescent="0.3">
      <c r="A136" s="7">
        <v>27669</v>
      </c>
      <c r="B136" s="7" t="s">
        <v>161</v>
      </c>
      <c r="C136" s="7" t="s">
        <v>26</v>
      </c>
      <c r="D136" s="7" t="s">
        <v>26</v>
      </c>
    </row>
    <row r="137" spans="1:4" x14ac:dyDescent="0.3">
      <c r="A137" s="7">
        <v>27690</v>
      </c>
      <c r="B137" s="7" t="s">
        <v>162</v>
      </c>
      <c r="C137" s="7" t="s">
        <v>26</v>
      </c>
      <c r="D137" s="7" t="s">
        <v>26</v>
      </c>
    </row>
    <row r="138" spans="1:4" x14ac:dyDescent="0.3">
      <c r="A138" s="7">
        <v>28099</v>
      </c>
      <c r="B138" s="7" t="s">
        <v>163</v>
      </c>
      <c r="C138" s="7" t="s">
        <v>26</v>
      </c>
      <c r="D138" s="7" t="s">
        <v>26</v>
      </c>
    </row>
    <row r="139" spans="1:4" x14ac:dyDescent="0.3">
      <c r="A139" s="7">
        <v>28310</v>
      </c>
      <c r="B139" s="7" t="s">
        <v>164</v>
      </c>
      <c r="C139" s="7" t="s">
        <v>26</v>
      </c>
      <c r="D139" s="7" t="s">
        <v>26</v>
      </c>
    </row>
    <row r="140" spans="1:4" x14ac:dyDescent="0.3">
      <c r="A140" s="7">
        <v>28330</v>
      </c>
      <c r="B140" s="7" t="s">
        <v>165</v>
      </c>
      <c r="C140" s="7" t="s">
        <v>26</v>
      </c>
      <c r="D140" s="7" t="s">
        <v>26</v>
      </c>
    </row>
    <row r="141" spans="1:4" x14ac:dyDescent="0.3">
      <c r="A141" s="7">
        <v>28394</v>
      </c>
      <c r="B141" s="7" t="s">
        <v>166</v>
      </c>
      <c r="C141" s="7" t="s">
        <v>26</v>
      </c>
      <c r="D141" s="7" t="s">
        <v>26</v>
      </c>
    </row>
    <row r="142" spans="1:4" x14ac:dyDescent="0.3">
      <c r="A142" s="7">
        <v>29401</v>
      </c>
      <c r="B142" s="7" t="s">
        <v>167</v>
      </c>
      <c r="C142" s="7" t="s">
        <v>26</v>
      </c>
      <c r="D142" s="7" t="s">
        <v>26</v>
      </c>
    </row>
    <row r="143" spans="1:4" x14ac:dyDescent="0.3">
      <c r="A143" s="7">
        <v>29579</v>
      </c>
      <c r="B143" s="7" t="s">
        <v>168</v>
      </c>
      <c r="C143" s="7" t="s">
        <v>26</v>
      </c>
      <c r="D143" s="7" t="s">
        <v>26</v>
      </c>
    </row>
    <row r="144" spans="1:4" x14ac:dyDescent="0.3">
      <c r="A144" s="7">
        <v>32062</v>
      </c>
      <c r="B144" s="7" t="s">
        <v>169</v>
      </c>
      <c r="C144" s="7" t="s">
        <v>75</v>
      </c>
      <c r="D144" s="7" t="s">
        <v>26</v>
      </c>
    </row>
    <row r="145" spans="1:4" x14ac:dyDescent="0.3">
      <c r="A145" s="7">
        <v>32361</v>
      </c>
      <c r="B145" s="7" t="s">
        <v>170</v>
      </c>
      <c r="C145" s="7" t="s">
        <v>26</v>
      </c>
      <c r="D145" s="7" t="s">
        <v>26</v>
      </c>
    </row>
    <row r="146" spans="1:4" x14ac:dyDescent="0.3">
      <c r="A146" s="7">
        <v>32395</v>
      </c>
      <c r="B146" s="7" t="s">
        <v>171</v>
      </c>
      <c r="C146" s="7" t="s">
        <v>26</v>
      </c>
      <c r="D146" s="7" t="s">
        <v>26</v>
      </c>
    </row>
    <row r="147" spans="1:4" x14ac:dyDescent="0.3">
      <c r="A147" s="7">
        <v>32523</v>
      </c>
      <c r="B147" s="7" t="s">
        <v>172</v>
      </c>
      <c r="C147" s="7" t="s">
        <v>26</v>
      </c>
      <c r="D147" s="7" t="s">
        <v>26</v>
      </c>
    </row>
    <row r="148" spans="1:4" x14ac:dyDescent="0.3">
      <c r="A148" s="7">
        <v>32944</v>
      </c>
      <c r="B148" s="7" t="s">
        <v>173</v>
      </c>
      <c r="C148" s="7" t="s">
        <v>26</v>
      </c>
      <c r="D148" s="7" t="s">
        <v>26</v>
      </c>
    </row>
    <row r="149" spans="1:4" x14ac:dyDescent="0.3">
      <c r="A149" s="7">
        <v>32948</v>
      </c>
      <c r="B149" s="7" t="s">
        <v>174</v>
      </c>
      <c r="C149" s="7" t="s">
        <v>26</v>
      </c>
      <c r="D149" s="7" t="s">
        <v>26</v>
      </c>
    </row>
    <row r="150" spans="1:4" x14ac:dyDescent="0.3">
      <c r="A150" s="7">
        <v>33151</v>
      </c>
      <c r="B150" s="7" t="s">
        <v>175</v>
      </c>
      <c r="C150" s="7" t="s">
        <v>26</v>
      </c>
      <c r="D150" s="7" t="s">
        <v>26</v>
      </c>
    </row>
    <row r="151" spans="1:4" x14ac:dyDescent="0.3">
      <c r="A151" s="7">
        <v>33182</v>
      </c>
      <c r="B151" s="7" t="s">
        <v>176</v>
      </c>
      <c r="C151" s="7" t="s">
        <v>26</v>
      </c>
      <c r="D151" s="7" t="s">
        <v>26</v>
      </c>
    </row>
    <row r="152" spans="1:4" x14ac:dyDescent="0.3">
      <c r="A152" s="7">
        <v>34092</v>
      </c>
      <c r="B152" s="7" t="s">
        <v>177</v>
      </c>
      <c r="C152" s="7" t="s">
        <v>26</v>
      </c>
      <c r="D152" s="7" t="s">
        <v>26</v>
      </c>
    </row>
    <row r="153" spans="1:4" x14ac:dyDescent="0.3">
      <c r="A153" s="7">
        <v>34146</v>
      </c>
      <c r="B153" s="7" t="s">
        <v>178</v>
      </c>
      <c r="C153" s="7" t="s">
        <v>26</v>
      </c>
      <c r="D153" s="7" t="s">
        <v>26</v>
      </c>
    </row>
    <row r="154" spans="1:4" x14ac:dyDescent="0.3">
      <c r="A154" s="7">
        <v>35016</v>
      </c>
      <c r="B154" s="7" t="s">
        <v>179</v>
      </c>
      <c r="C154" s="7" t="s">
        <v>26</v>
      </c>
      <c r="D154" s="7" t="s">
        <v>26</v>
      </c>
    </row>
    <row r="155" spans="1:4" x14ac:dyDescent="0.3">
      <c r="A155" s="7">
        <v>36482</v>
      </c>
      <c r="B155" s="7" t="s">
        <v>180</v>
      </c>
      <c r="C155" s="7" t="s">
        <v>26</v>
      </c>
      <c r="D155" s="7" t="s">
        <v>26</v>
      </c>
    </row>
    <row r="156" spans="1:4" x14ac:dyDescent="0.3">
      <c r="A156" s="7">
        <v>37051</v>
      </c>
      <c r="B156" s="7" t="s">
        <v>181</v>
      </c>
      <c r="C156" s="7" t="s">
        <v>26</v>
      </c>
      <c r="D156" s="7" t="s">
        <v>26</v>
      </c>
    </row>
    <row r="157" spans="1:4" x14ac:dyDescent="0.3">
      <c r="A157" s="7">
        <v>37572</v>
      </c>
      <c r="B157" s="7" t="s">
        <v>182</v>
      </c>
      <c r="C157" s="7" t="s">
        <v>26</v>
      </c>
      <c r="D157" s="7" t="s">
        <v>26</v>
      </c>
    </row>
    <row r="158" spans="1:4" x14ac:dyDescent="0.3">
      <c r="A158" s="7">
        <v>37594</v>
      </c>
      <c r="B158" s="7" t="s">
        <v>183</v>
      </c>
      <c r="C158" s="7" t="s">
        <v>26</v>
      </c>
      <c r="D158" s="7" t="s">
        <v>26</v>
      </c>
    </row>
    <row r="159" spans="1:4" x14ac:dyDescent="0.3">
      <c r="A159" s="7">
        <v>38231</v>
      </c>
      <c r="B159" s="7" t="s">
        <v>184</v>
      </c>
      <c r="C159" s="7" t="s">
        <v>26</v>
      </c>
      <c r="D159" s="7" t="s">
        <v>26</v>
      </c>
    </row>
    <row r="160" spans="1:4" x14ac:dyDescent="0.3">
      <c r="A160" s="7">
        <v>39242</v>
      </c>
      <c r="B160" s="7" t="s">
        <v>185</v>
      </c>
      <c r="C160" s="7" t="s">
        <v>26</v>
      </c>
      <c r="D160" s="7" t="s">
        <v>26</v>
      </c>
    </row>
    <row r="161" spans="1:4" x14ac:dyDescent="0.3">
      <c r="A161" s="7">
        <v>40347</v>
      </c>
      <c r="B161" s="7" t="s">
        <v>186</v>
      </c>
      <c r="C161" s="7" t="s">
        <v>26</v>
      </c>
      <c r="D161" s="7" t="s">
        <v>26</v>
      </c>
    </row>
    <row r="162" spans="1:4" x14ac:dyDescent="0.3">
      <c r="A162" s="7">
        <v>41698</v>
      </c>
      <c r="B162" s="7" t="s">
        <v>187</v>
      </c>
      <c r="C162" s="7" t="s">
        <v>26</v>
      </c>
      <c r="D162" s="7" t="s">
        <v>26</v>
      </c>
    </row>
    <row r="163" spans="1:4" x14ac:dyDescent="0.3">
      <c r="A163" s="7">
        <v>41847</v>
      </c>
      <c r="B163" s="7" t="s">
        <v>188</v>
      </c>
      <c r="C163" s="7" t="s">
        <v>26</v>
      </c>
      <c r="D163" s="7" t="s">
        <v>26</v>
      </c>
    </row>
    <row r="164" spans="1:4" x14ac:dyDescent="0.3">
      <c r="A164" s="7">
        <v>41863</v>
      </c>
      <c r="B164" s="7" t="s">
        <v>189</v>
      </c>
      <c r="C164" s="7" t="s">
        <v>26</v>
      </c>
      <c r="D164" s="7" t="s">
        <v>26</v>
      </c>
    </row>
    <row r="165" spans="1:4" x14ac:dyDescent="0.3">
      <c r="A165" s="7">
        <v>42389</v>
      </c>
      <c r="B165" s="7" t="s">
        <v>190</v>
      </c>
      <c r="C165" s="7" t="s">
        <v>26</v>
      </c>
      <c r="D165" s="7" t="s">
        <v>26</v>
      </c>
    </row>
    <row r="166" spans="1:4" x14ac:dyDescent="0.3">
      <c r="A166" s="7">
        <v>85110</v>
      </c>
      <c r="B166" s="7" t="s">
        <v>191</v>
      </c>
      <c r="C166" s="7" t="s">
        <v>26</v>
      </c>
      <c r="D166" s="7" t="s">
        <v>26</v>
      </c>
    </row>
    <row r="167" spans="1:4" x14ac:dyDescent="0.3">
      <c r="A167" s="7">
        <v>86023</v>
      </c>
      <c r="B167" s="7" t="s">
        <v>192</v>
      </c>
      <c r="C167" s="7" t="s">
        <v>26</v>
      </c>
      <c r="D167" s="7" t="s">
        <v>26</v>
      </c>
    </row>
    <row r="168" spans="1:4" x14ac:dyDescent="0.3">
      <c r="A168" s="7">
        <v>86025</v>
      </c>
      <c r="B168" s="7" t="s">
        <v>193</v>
      </c>
      <c r="C168" s="7" t="s">
        <v>26</v>
      </c>
      <c r="D168" s="7" t="s">
        <v>26</v>
      </c>
    </row>
    <row r="169" spans="1:4" x14ac:dyDescent="0.3">
      <c r="A169" s="7">
        <v>86153</v>
      </c>
      <c r="B169" s="7" t="s">
        <v>194</v>
      </c>
      <c r="C169" s="7" t="s">
        <v>26</v>
      </c>
      <c r="D169" s="7" t="s">
        <v>26</v>
      </c>
    </row>
    <row r="170" spans="1:4" x14ac:dyDescent="0.3">
      <c r="A170" s="7">
        <v>86236</v>
      </c>
      <c r="B170" s="7" t="s">
        <v>195</v>
      </c>
      <c r="C170" s="7" t="s">
        <v>26</v>
      </c>
      <c r="D170" s="7" t="s">
        <v>75</v>
      </c>
    </row>
    <row r="171" spans="1:4" x14ac:dyDescent="0.3">
      <c r="A171" s="7">
        <v>86609</v>
      </c>
      <c r="B171" s="7" t="s">
        <v>196</v>
      </c>
      <c r="C171" s="7" t="s">
        <v>26</v>
      </c>
      <c r="D171" s="7" t="s">
        <v>26</v>
      </c>
    </row>
    <row r="172" spans="1:4" x14ac:dyDescent="0.3">
      <c r="A172" s="7">
        <v>86802</v>
      </c>
      <c r="B172" s="7" t="s">
        <v>197</v>
      </c>
      <c r="C172" s="7" t="s">
        <v>26</v>
      </c>
      <c r="D172" s="7" t="s">
        <v>26</v>
      </c>
    </row>
    <row r="173" spans="1:4" x14ac:dyDescent="0.3">
      <c r="A173" s="7">
        <v>86803</v>
      </c>
      <c r="B173" s="7" t="s">
        <v>198</v>
      </c>
      <c r="C173" s="7" t="s">
        <v>26</v>
      </c>
      <c r="D173" s="7" t="s">
        <v>26</v>
      </c>
    </row>
    <row r="174" spans="1:4" x14ac:dyDescent="0.3">
      <c r="A174" s="7">
        <v>86804</v>
      </c>
      <c r="B174" s="7" t="s">
        <v>199</v>
      </c>
      <c r="C174" s="7" t="s">
        <v>26</v>
      </c>
      <c r="D174" s="7" t="s">
        <v>26</v>
      </c>
    </row>
    <row r="175" spans="1:4" x14ac:dyDescent="0.3">
      <c r="A175" s="7">
        <v>86805</v>
      </c>
      <c r="B175" s="7" t="s">
        <v>200</v>
      </c>
      <c r="C175" s="7" t="s">
        <v>26</v>
      </c>
      <c r="D175" s="7" t="s">
        <v>26</v>
      </c>
    </row>
    <row r="176" spans="1:4" x14ac:dyDescent="0.3">
      <c r="A176" s="7">
        <v>86808</v>
      </c>
      <c r="B176" s="7" t="s">
        <v>201</v>
      </c>
      <c r="C176" s="7" t="s">
        <v>26</v>
      </c>
      <c r="D176" s="7" t="s">
        <v>26</v>
      </c>
    </row>
    <row r="177" spans="1:4" x14ac:dyDescent="0.3">
      <c r="A177" s="7">
        <v>86810</v>
      </c>
      <c r="B177" s="7" t="s">
        <v>202</v>
      </c>
      <c r="C177" s="7" t="s">
        <v>26</v>
      </c>
      <c r="D177" s="7" t="s">
        <v>26</v>
      </c>
    </row>
    <row r="178" spans="1:4" x14ac:dyDescent="0.3">
      <c r="A178" s="7">
        <v>86811</v>
      </c>
      <c r="B178" s="7" t="s">
        <v>203</v>
      </c>
      <c r="C178" s="7" t="s">
        <v>26</v>
      </c>
      <c r="D178" s="7" t="s">
        <v>26</v>
      </c>
    </row>
    <row r="179" spans="1:4" x14ac:dyDescent="0.3">
      <c r="A179" s="7">
        <v>86818</v>
      </c>
      <c r="B179" s="7" t="s">
        <v>204</v>
      </c>
      <c r="C179" s="7" t="s">
        <v>26</v>
      </c>
      <c r="D179" s="7" t="s">
        <v>26</v>
      </c>
    </row>
    <row r="180" spans="1:4" x14ac:dyDescent="0.3">
      <c r="A180" s="7">
        <v>87941</v>
      </c>
      <c r="B180" s="7" t="s">
        <v>205</v>
      </c>
      <c r="C180" s="7" t="s">
        <v>26</v>
      </c>
      <c r="D180" s="7" t="s">
        <v>75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6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1" customWidth="1"/>
    <col min="2" max="2" width="31" customWidth="1"/>
    <col min="3" max="3" width="10" customWidth="1"/>
    <col min="4" max="4" width="55" customWidth="1"/>
    <col min="5" max="5" width="27" customWidth="1"/>
    <col min="6" max="6" width="11.33203125" bestFit="1" customWidth="1"/>
    <col min="7" max="7" width="11.33203125" style="17" customWidth="1"/>
    <col min="8" max="8" width="18" hidden="1" customWidth="1"/>
    <col min="9" max="9" width="20" hidden="1" customWidth="1"/>
    <col min="10" max="10" width="12" hidden="1" customWidth="1"/>
  </cols>
  <sheetData>
    <row r="1" spans="1:10" ht="28.05" customHeight="1" x14ac:dyDescent="0.3">
      <c r="A1" s="6" t="s">
        <v>206</v>
      </c>
      <c r="B1" s="6" t="s">
        <v>207</v>
      </c>
      <c r="C1" s="6" t="s">
        <v>208</v>
      </c>
      <c r="D1" s="6" t="s">
        <v>209</v>
      </c>
      <c r="E1" s="6" t="s">
        <v>210</v>
      </c>
      <c r="F1" s="6" t="s">
        <v>412</v>
      </c>
      <c r="G1" s="15" t="s">
        <v>413</v>
      </c>
      <c r="H1" s="6" t="s">
        <v>211</v>
      </c>
      <c r="I1" s="6" t="s">
        <v>212</v>
      </c>
      <c r="J1" t="s">
        <v>414</v>
      </c>
    </row>
    <row r="2" spans="1:10" x14ac:dyDescent="0.3">
      <c r="A2" s="7">
        <v>7</v>
      </c>
      <c r="B2" s="7" t="s">
        <v>231</v>
      </c>
      <c r="C2" s="7">
        <v>101005</v>
      </c>
      <c r="D2" s="7" t="s">
        <v>232</v>
      </c>
      <c r="E2" s="7" t="s">
        <v>215</v>
      </c>
      <c r="F2" s="7">
        <f>+ROUNDDOWN(H2*0.8,0)</f>
        <v>24</v>
      </c>
      <c r="G2" s="16">
        <f>+(TblDetalle[[#This Row],[MontoBrutoProm_Mes]]/TblDetalle[[#This Row],[UnidadesProm_Mes]])*TblDetalle[[#This Row],[Unidades]]</f>
        <v>1827.92</v>
      </c>
      <c r="H2" s="8">
        <v>30</v>
      </c>
      <c r="I2" s="9">
        <v>2284.9</v>
      </c>
      <c r="J2">
        <f>+TblDetalle[[#This Row],[Monto A Rebajhar]]/TblDetalle[[#This Row],[MontoBrutoProm_Mes]]</f>
        <v>0.8</v>
      </c>
    </row>
    <row r="3" spans="1:10" x14ac:dyDescent="0.3">
      <c r="A3" s="7">
        <v>7</v>
      </c>
      <c r="B3" s="7" t="s">
        <v>231</v>
      </c>
      <c r="C3" s="7">
        <v>101026</v>
      </c>
      <c r="D3" s="7" t="s">
        <v>233</v>
      </c>
      <c r="E3" s="7" t="s">
        <v>215</v>
      </c>
      <c r="F3" s="7">
        <f>+ROUNDDOWN(H3*0.8,0)</f>
        <v>12</v>
      </c>
      <c r="G3" s="16">
        <f>+(TblDetalle[[#This Row],[MontoBrutoProm_Mes]]/TblDetalle[[#This Row],[UnidadesProm_Mes]])*TblDetalle[[#This Row],[Unidades]]</f>
        <v>419.04</v>
      </c>
      <c r="H3" s="8">
        <v>16</v>
      </c>
      <c r="I3" s="9">
        <v>558.72</v>
      </c>
      <c r="J3">
        <f>+TblDetalle[[#This Row],[Monto A Rebajhar]]/TblDetalle[[#This Row],[MontoBrutoProm_Mes]]</f>
        <v>0.75</v>
      </c>
    </row>
    <row r="4" spans="1:10" x14ac:dyDescent="0.3">
      <c r="A4" s="7">
        <v>7</v>
      </c>
      <c r="B4" s="7" t="s">
        <v>231</v>
      </c>
      <c r="C4" s="7">
        <v>101027</v>
      </c>
      <c r="D4" s="7" t="s">
        <v>234</v>
      </c>
      <c r="E4" s="7" t="s">
        <v>215</v>
      </c>
      <c r="F4" s="7">
        <f>+ROUNDDOWN(H4*0.8,0)</f>
        <v>12</v>
      </c>
      <c r="G4" s="16">
        <f>+(TblDetalle[[#This Row],[MontoBrutoProm_Mes]]/TblDetalle[[#This Row],[UnidadesProm_Mes]])*TblDetalle[[#This Row],[Unidades]]</f>
        <v>930.48</v>
      </c>
      <c r="H4" s="8">
        <v>16</v>
      </c>
      <c r="I4" s="9">
        <v>1240.6400000000001</v>
      </c>
      <c r="J4">
        <f>+TblDetalle[[#This Row],[Monto A Rebajhar]]/TblDetalle[[#This Row],[MontoBrutoProm_Mes]]</f>
        <v>0.75</v>
      </c>
    </row>
    <row r="5" spans="1:10" x14ac:dyDescent="0.3">
      <c r="A5" s="7">
        <v>7</v>
      </c>
      <c r="B5" s="7" t="s">
        <v>231</v>
      </c>
      <c r="C5" s="7">
        <v>101028</v>
      </c>
      <c r="D5" s="7" t="s">
        <v>214</v>
      </c>
      <c r="E5" s="7" t="s">
        <v>215</v>
      </c>
      <c r="F5" s="7">
        <f>+ROUNDDOWN(H5*0.8,0)</f>
        <v>14</v>
      </c>
      <c r="G5" s="16">
        <f>+(TblDetalle[[#This Row],[MontoBrutoProm_Mes]]/TblDetalle[[#This Row],[UnidadesProm_Mes]])*TblDetalle[[#This Row],[Unidades]]</f>
        <v>1388.1000000000001</v>
      </c>
      <c r="H5" s="8">
        <v>18</v>
      </c>
      <c r="I5" s="9">
        <v>1784.7</v>
      </c>
      <c r="J5">
        <f>+TblDetalle[[#This Row],[Monto A Rebajhar]]/TblDetalle[[#This Row],[MontoBrutoProm_Mes]]</f>
        <v>0.77777777777777779</v>
      </c>
    </row>
    <row r="6" spans="1:10" x14ac:dyDescent="0.3">
      <c r="A6" s="7">
        <v>7</v>
      </c>
      <c r="B6" s="7" t="s">
        <v>231</v>
      </c>
      <c r="C6" s="7">
        <v>101038</v>
      </c>
      <c r="D6" s="7" t="s">
        <v>235</v>
      </c>
      <c r="E6" s="7" t="s">
        <v>215</v>
      </c>
      <c r="F6" s="7">
        <f>+ROUNDDOWN(H6*0.8,0)</f>
        <v>2</v>
      </c>
      <c r="G6" s="16">
        <f>+(TblDetalle[[#This Row],[MontoBrutoProm_Mes]]/TblDetalle[[#This Row],[UnidadesProm_Mes]])*TblDetalle[[#This Row],[Unidades]]</f>
        <v>729.54954954954951</v>
      </c>
      <c r="H6" s="8">
        <v>3.33</v>
      </c>
      <c r="I6" s="9">
        <v>1214.7</v>
      </c>
      <c r="J6">
        <f>+TblDetalle[[#This Row],[Monto A Rebajhar]]/TblDetalle[[#This Row],[MontoBrutoProm_Mes]]</f>
        <v>0.6006006006006005</v>
      </c>
    </row>
    <row r="7" spans="1:10" x14ac:dyDescent="0.3">
      <c r="A7" s="7">
        <v>7</v>
      </c>
      <c r="B7" s="7" t="s">
        <v>231</v>
      </c>
      <c r="C7" s="7">
        <v>103208</v>
      </c>
      <c r="D7" s="7" t="s">
        <v>236</v>
      </c>
      <c r="E7" s="7" t="s">
        <v>215</v>
      </c>
      <c r="F7" s="7">
        <f>+ROUNDDOWN(H7*0.8,0)</f>
        <v>6</v>
      </c>
      <c r="G7" s="16">
        <f>+(TblDetalle[[#This Row],[MontoBrutoProm_Mes]]/TblDetalle[[#This Row],[UnidadesProm_Mes]])*TblDetalle[[#This Row],[Unidades]]</f>
        <v>461.34000000000003</v>
      </c>
      <c r="H7" s="8">
        <v>8</v>
      </c>
      <c r="I7" s="9">
        <v>615.12</v>
      </c>
      <c r="J7">
        <f>+TblDetalle[[#This Row],[Monto A Rebajhar]]/TblDetalle[[#This Row],[MontoBrutoProm_Mes]]</f>
        <v>0.75</v>
      </c>
    </row>
    <row r="8" spans="1:10" x14ac:dyDescent="0.3">
      <c r="A8" s="7">
        <v>7</v>
      </c>
      <c r="B8" s="7" t="s">
        <v>231</v>
      </c>
      <c r="C8" s="7">
        <v>201001</v>
      </c>
      <c r="D8" s="7" t="s">
        <v>216</v>
      </c>
      <c r="E8" s="7" t="s">
        <v>217</v>
      </c>
      <c r="F8" s="7">
        <f>+ROUNDDOWN(H8*0.8,0)</f>
        <v>8</v>
      </c>
      <c r="G8" s="16">
        <f>+(TblDetalle[[#This Row],[MontoBrutoProm_Mes]]/TblDetalle[[#This Row],[UnidadesProm_Mes]])*TblDetalle[[#This Row],[Unidades]]</f>
        <v>1941.8400000000001</v>
      </c>
      <c r="H8" s="8">
        <v>10</v>
      </c>
      <c r="I8" s="9">
        <v>2427.3000000000002</v>
      </c>
      <c r="J8">
        <f>+TblDetalle[[#This Row],[Monto A Rebajhar]]/TblDetalle[[#This Row],[MontoBrutoProm_Mes]]</f>
        <v>0.8</v>
      </c>
    </row>
    <row r="9" spans="1:10" x14ac:dyDescent="0.3">
      <c r="A9" s="7">
        <v>7</v>
      </c>
      <c r="B9" s="7" t="s">
        <v>231</v>
      </c>
      <c r="C9" s="7">
        <v>501000</v>
      </c>
      <c r="D9" s="7" t="s">
        <v>237</v>
      </c>
      <c r="E9" s="7" t="s">
        <v>217</v>
      </c>
      <c r="F9" s="7">
        <f>+ROUNDDOWN(H9*0.8,0)</f>
        <v>2</v>
      </c>
      <c r="G9" s="16">
        <f>+(TblDetalle[[#This Row],[MontoBrutoProm_Mes]]/TblDetalle[[#This Row],[UnidadesProm_Mes]])*TblDetalle[[#This Row],[Unidades]]</f>
        <v>245.45318352059925</v>
      </c>
      <c r="H9" s="8">
        <v>2.67</v>
      </c>
      <c r="I9" s="9">
        <v>327.68</v>
      </c>
      <c r="J9">
        <f>+TblDetalle[[#This Row],[Monto A Rebajhar]]/TblDetalle[[#This Row],[MontoBrutoProm_Mes]]</f>
        <v>0.74906367041198496</v>
      </c>
    </row>
    <row r="10" spans="1:10" x14ac:dyDescent="0.3">
      <c r="A10" s="7">
        <v>7</v>
      </c>
      <c r="B10" s="7" t="s">
        <v>231</v>
      </c>
      <c r="C10" s="7">
        <v>621045</v>
      </c>
      <c r="D10" s="7" t="s">
        <v>238</v>
      </c>
      <c r="E10" s="7" t="s">
        <v>239</v>
      </c>
      <c r="F10" s="7">
        <f>+ROUNDDOWN(H10*0.8,0)</f>
        <v>3</v>
      </c>
      <c r="G10" s="16">
        <f>+(TblDetalle[[#This Row],[MontoBrutoProm_Mes]]/TblDetalle[[#This Row],[UnidadesProm_Mes]])*TblDetalle[[#This Row],[Unidades]]</f>
        <v>509.37</v>
      </c>
      <c r="H10" s="8">
        <v>4</v>
      </c>
      <c r="I10" s="9">
        <v>679.16</v>
      </c>
      <c r="J10">
        <f>+TblDetalle[[#This Row],[Monto A Rebajhar]]/TblDetalle[[#This Row],[MontoBrutoProm_Mes]]</f>
        <v>0.75</v>
      </c>
    </row>
    <row r="11" spans="1:10" x14ac:dyDescent="0.3">
      <c r="A11" s="7">
        <v>7</v>
      </c>
      <c r="B11" s="7" t="s">
        <v>231</v>
      </c>
      <c r="C11" s="7">
        <v>800088</v>
      </c>
      <c r="D11" s="7" t="s">
        <v>240</v>
      </c>
      <c r="E11" s="7" t="s">
        <v>215</v>
      </c>
      <c r="F11" s="7">
        <f>+ROUNDDOWN(H11*0.8,0)</f>
        <v>3</v>
      </c>
      <c r="G11" s="16">
        <f>+(TblDetalle[[#This Row],[MontoBrutoProm_Mes]]/TblDetalle[[#This Row],[UnidadesProm_Mes]])*TblDetalle[[#This Row],[Unidades]]</f>
        <v>1110.1725000000001</v>
      </c>
      <c r="H11" s="8">
        <v>4</v>
      </c>
      <c r="I11" s="9">
        <v>1480.23</v>
      </c>
      <c r="J11">
        <f>+TblDetalle[[#This Row],[Monto A Rebajhar]]/TblDetalle[[#This Row],[MontoBrutoProm_Mes]]</f>
        <v>0.75000000000000011</v>
      </c>
    </row>
    <row r="12" spans="1:10" x14ac:dyDescent="0.3">
      <c r="A12" s="7">
        <v>7</v>
      </c>
      <c r="B12" s="7" t="s">
        <v>231</v>
      </c>
      <c r="C12" s="7">
        <v>800089</v>
      </c>
      <c r="D12" s="7" t="s">
        <v>241</v>
      </c>
      <c r="E12" s="7" t="s">
        <v>215</v>
      </c>
      <c r="F12" s="7">
        <f>+ROUNDDOWN(H12*0.8,0)</f>
        <v>2</v>
      </c>
      <c r="G12" s="16">
        <f>+(TblDetalle[[#This Row],[MontoBrutoProm_Mes]]/TblDetalle[[#This Row],[UnidadesProm_Mes]])*TblDetalle[[#This Row],[Unidades]]</f>
        <v>727.91011235955057</v>
      </c>
      <c r="H12" s="8">
        <v>2.67</v>
      </c>
      <c r="I12" s="9">
        <v>971.76</v>
      </c>
      <c r="J12">
        <f>+TblDetalle[[#This Row],[Monto A Rebajhar]]/TblDetalle[[#This Row],[MontoBrutoProm_Mes]]</f>
        <v>0.74906367041198507</v>
      </c>
    </row>
    <row r="13" spans="1:10" x14ac:dyDescent="0.3">
      <c r="A13" s="7">
        <v>7</v>
      </c>
      <c r="B13" s="7" t="s">
        <v>231</v>
      </c>
      <c r="C13" s="7">
        <v>800792</v>
      </c>
      <c r="D13" s="7" t="s">
        <v>242</v>
      </c>
      <c r="E13" s="7" t="s">
        <v>243</v>
      </c>
      <c r="F13" s="7">
        <f>+ROUNDDOWN(H13*0.8,0)</f>
        <v>7</v>
      </c>
      <c r="G13" s="16">
        <f>+(TblDetalle[[#This Row],[MontoBrutoProm_Mes]]/TblDetalle[[#This Row],[UnidadesProm_Mes]])*TblDetalle[[#This Row],[Unidades]]</f>
        <v>1079.0351602895553</v>
      </c>
      <c r="H13" s="8">
        <v>9.67</v>
      </c>
      <c r="I13" s="9">
        <v>1490.61</v>
      </c>
      <c r="J13">
        <f>+TblDetalle[[#This Row],[Monto A Rebajhar]]/TblDetalle[[#This Row],[MontoBrutoProm_Mes]]</f>
        <v>0.72388831437435364</v>
      </c>
    </row>
    <row r="14" spans="1:10" x14ac:dyDescent="0.3">
      <c r="A14" s="7">
        <v>7</v>
      </c>
      <c r="B14" s="7" t="s">
        <v>231</v>
      </c>
      <c r="C14" s="7">
        <v>930025</v>
      </c>
      <c r="D14" s="7" t="s">
        <v>244</v>
      </c>
      <c r="E14" s="7" t="s">
        <v>243</v>
      </c>
      <c r="F14" s="7">
        <f>+ROUNDDOWN(H14*0.8,0)</f>
        <v>2</v>
      </c>
      <c r="G14" s="16">
        <f>+(TblDetalle[[#This Row],[MontoBrutoProm_Mes]]/TblDetalle[[#This Row],[UnidadesProm_Mes]])*TblDetalle[[#This Row],[Unidades]]</f>
        <v>116.17228464419476</v>
      </c>
      <c r="H14" s="8">
        <v>2.67</v>
      </c>
      <c r="I14" s="9">
        <v>155.09</v>
      </c>
      <c r="J14">
        <f>+TblDetalle[[#This Row],[Monto A Rebajhar]]/TblDetalle[[#This Row],[MontoBrutoProm_Mes]]</f>
        <v>0.74906367041198507</v>
      </c>
    </row>
    <row r="15" spans="1:10" x14ac:dyDescent="0.3">
      <c r="A15" s="7">
        <v>7</v>
      </c>
      <c r="B15" s="7" t="s">
        <v>231</v>
      </c>
      <c r="C15" s="7">
        <v>930154</v>
      </c>
      <c r="D15" s="7" t="s">
        <v>245</v>
      </c>
      <c r="E15" s="7" t="s">
        <v>243</v>
      </c>
      <c r="F15" s="7">
        <f>+ROUNDDOWN(H15*0.8,0)</f>
        <v>0</v>
      </c>
      <c r="G15" s="16">
        <f>+(TblDetalle[[#This Row],[MontoBrutoProm_Mes]]/TblDetalle[[#This Row],[UnidadesProm_Mes]])*TblDetalle[[#This Row],[Unidades]]</f>
        <v>0</v>
      </c>
      <c r="H15" s="8">
        <v>0.33</v>
      </c>
      <c r="I15" s="9">
        <v>29.67</v>
      </c>
      <c r="J15">
        <f>+TblDetalle[[#This Row],[Monto A Rebajhar]]/TblDetalle[[#This Row],[MontoBrutoProm_Mes]]</f>
        <v>0</v>
      </c>
    </row>
    <row r="16" spans="1:10" x14ac:dyDescent="0.3">
      <c r="A16" s="7">
        <v>8</v>
      </c>
      <c r="B16" s="7" t="s">
        <v>246</v>
      </c>
      <c r="C16" s="7">
        <v>101005</v>
      </c>
      <c r="D16" s="7" t="s">
        <v>232</v>
      </c>
      <c r="E16" s="7" t="s">
        <v>215</v>
      </c>
      <c r="F16" s="7">
        <f>+ROUNDDOWN(H16*0.8,0)</f>
        <v>35</v>
      </c>
      <c r="G16" s="16">
        <f>+(TblDetalle[[#This Row],[MontoBrutoProm_Mes]]/TblDetalle[[#This Row],[UnidadesProm_Mes]])*TblDetalle[[#This Row],[Unidades]]</f>
        <v>2615.3431818181821</v>
      </c>
      <c r="H16" s="8">
        <v>44</v>
      </c>
      <c r="I16" s="9">
        <v>3287.86</v>
      </c>
      <c r="J16">
        <f>+TblDetalle[[#This Row],[Monto A Rebajhar]]/TblDetalle[[#This Row],[MontoBrutoProm_Mes]]</f>
        <v>0.79545454545454553</v>
      </c>
    </row>
    <row r="17" spans="1:10" x14ac:dyDescent="0.3">
      <c r="A17" s="7">
        <v>8</v>
      </c>
      <c r="B17" s="7" t="s">
        <v>246</v>
      </c>
      <c r="C17" s="7">
        <v>101026</v>
      </c>
      <c r="D17" s="7" t="s">
        <v>233</v>
      </c>
      <c r="E17" s="7" t="s">
        <v>215</v>
      </c>
      <c r="F17" s="7">
        <f>+ROUNDDOWN(H17*0.8,0)</f>
        <v>9</v>
      </c>
      <c r="G17" s="16">
        <f>+(TblDetalle[[#This Row],[MontoBrutoProm_Mes]]/TblDetalle[[#This Row],[UnidadesProm_Mes]])*TblDetalle[[#This Row],[Unidades]]</f>
        <v>314.28000000000003</v>
      </c>
      <c r="H17" s="8">
        <v>12</v>
      </c>
      <c r="I17" s="9">
        <v>419.04</v>
      </c>
      <c r="J17">
        <f>+TblDetalle[[#This Row],[Monto A Rebajhar]]/TblDetalle[[#This Row],[MontoBrutoProm_Mes]]</f>
        <v>0.75</v>
      </c>
    </row>
    <row r="18" spans="1:10" x14ac:dyDescent="0.3">
      <c r="A18" s="7">
        <v>8</v>
      </c>
      <c r="B18" s="7" t="s">
        <v>246</v>
      </c>
      <c r="C18" s="7">
        <v>101027</v>
      </c>
      <c r="D18" s="7" t="s">
        <v>234</v>
      </c>
      <c r="E18" s="7" t="s">
        <v>215</v>
      </c>
      <c r="F18" s="7">
        <f>+ROUNDDOWN(H18*0.8,0)</f>
        <v>21</v>
      </c>
      <c r="G18" s="16">
        <f>+(TblDetalle[[#This Row],[MontoBrutoProm_Mes]]/TblDetalle[[#This Row],[UnidadesProm_Mes]])*TblDetalle[[#This Row],[Unidades]]</f>
        <v>1577.7661909989024</v>
      </c>
      <c r="H18" s="8">
        <v>27.33</v>
      </c>
      <c r="I18" s="9">
        <v>2053.35</v>
      </c>
      <c r="J18">
        <f>+TblDetalle[[#This Row],[Monto A Rebajhar]]/TblDetalle[[#This Row],[MontoBrutoProm_Mes]]</f>
        <v>0.76838638858397379</v>
      </c>
    </row>
    <row r="19" spans="1:10" x14ac:dyDescent="0.3">
      <c r="A19" s="7">
        <v>8</v>
      </c>
      <c r="B19" s="7" t="s">
        <v>246</v>
      </c>
      <c r="C19" s="7">
        <v>101028</v>
      </c>
      <c r="D19" s="7" t="s">
        <v>214</v>
      </c>
      <c r="E19" s="7" t="s">
        <v>215</v>
      </c>
      <c r="F19" s="7">
        <f>+ROUNDDOWN(H19*0.8,0)</f>
        <v>50</v>
      </c>
      <c r="G19" s="16">
        <f>+(TblDetalle[[#This Row],[MontoBrutoProm_Mes]]/TblDetalle[[#This Row],[UnidadesProm_Mes]])*TblDetalle[[#This Row],[Unidades]]</f>
        <v>4943.5496605084481</v>
      </c>
      <c r="H19" s="8">
        <v>63.33</v>
      </c>
      <c r="I19" s="9">
        <v>6261.5</v>
      </c>
      <c r="J19">
        <f>+TblDetalle[[#This Row],[Monto A Rebajhar]]/TblDetalle[[#This Row],[MontoBrutoProm_Mes]]</f>
        <v>0.7895152376440866</v>
      </c>
    </row>
    <row r="20" spans="1:10" x14ac:dyDescent="0.3">
      <c r="A20" s="7">
        <v>8</v>
      </c>
      <c r="B20" s="7" t="s">
        <v>246</v>
      </c>
      <c r="C20" s="7">
        <v>101038</v>
      </c>
      <c r="D20" s="7" t="s">
        <v>235</v>
      </c>
      <c r="E20" s="7" t="s">
        <v>215</v>
      </c>
      <c r="F20" s="7">
        <f>+ROUNDDOWN(H20*0.8,0)</f>
        <v>13</v>
      </c>
      <c r="G20" s="16">
        <f>+(TblDetalle[[#This Row],[MontoBrutoProm_Mes]]/TblDetalle[[#This Row],[UnidadesProm_Mes]])*TblDetalle[[#This Row],[Unidades]]</f>
        <v>4850.7052941176471</v>
      </c>
      <c r="H20" s="8">
        <v>17</v>
      </c>
      <c r="I20" s="9">
        <v>6343.23</v>
      </c>
      <c r="J20">
        <f>+TblDetalle[[#This Row],[Monto A Rebajhar]]/TblDetalle[[#This Row],[MontoBrutoProm_Mes]]</f>
        <v>0.76470588235294124</v>
      </c>
    </row>
    <row r="21" spans="1:10" x14ac:dyDescent="0.3">
      <c r="A21" s="7">
        <v>8</v>
      </c>
      <c r="B21" s="7" t="s">
        <v>246</v>
      </c>
      <c r="C21" s="7">
        <v>101130</v>
      </c>
      <c r="D21" s="7" t="s">
        <v>247</v>
      </c>
      <c r="E21" s="7" t="s">
        <v>215</v>
      </c>
      <c r="F21" s="7">
        <f>+ROUNDDOWN(H21*0.8,0)</f>
        <v>13</v>
      </c>
      <c r="G21" s="16">
        <f>+(TblDetalle[[#This Row],[MontoBrutoProm_Mes]]/TblDetalle[[#This Row],[UnidadesProm_Mes]])*TblDetalle[[#This Row],[Unidades]]</f>
        <v>0.12752452394691288</v>
      </c>
      <c r="H21" s="8">
        <v>17.329999999999998</v>
      </c>
      <c r="I21" s="9">
        <v>0.17</v>
      </c>
      <c r="J21">
        <f>+TblDetalle[[#This Row],[Monto A Rebajhar]]/TblDetalle[[#This Row],[MontoBrutoProm_Mes]]</f>
        <v>0.75014425851125222</v>
      </c>
    </row>
    <row r="22" spans="1:10" x14ac:dyDescent="0.3">
      <c r="A22" s="7">
        <v>8</v>
      </c>
      <c r="B22" s="7" t="s">
        <v>246</v>
      </c>
      <c r="C22" s="7">
        <v>103001</v>
      </c>
      <c r="D22" s="7" t="s">
        <v>248</v>
      </c>
      <c r="E22" s="7" t="s">
        <v>215</v>
      </c>
      <c r="F22" s="7">
        <f>+ROUNDDOWN(H22*0.8,0)</f>
        <v>25</v>
      </c>
      <c r="G22" s="16">
        <f>+(TblDetalle[[#This Row],[MontoBrutoProm_Mes]]/TblDetalle[[#This Row],[UnidadesProm_Mes]])*TblDetalle[[#This Row],[Unidades]]</f>
        <v>552.25</v>
      </c>
      <c r="H22" s="8">
        <v>32</v>
      </c>
      <c r="I22" s="9">
        <v>706.88</v>
      </c>
      <c r="J22">
        <f>+TblDetalle[[#This Row],[Monto A Rebajhar]]/TblDetalle[[#This Row],[MontoBrutoProm_Mes]]</f>
        <v>0.78125</v>
      </c>
    </row>
    <row r="23" spans="1:10" x14ac:dyDescent="0.3">
      <c r="A23" s="7">
        <v>8</v>
      </c>
      <c r="B23" s="7" t="s">
        <v>246</v>
      </c>
      <c r="C23" s="7">
        <v>201001</v>
      </c>
      <c r="D23" s="7" t="s">
        <v>216</v>
      </c>
      <c r="E23" s="7" t="s">
        <v>217</v>
      </c>
      <c r="F23" s="7">
        <f>+ROUNDDOWN(H23*0.8,0)</f>
        <v>41</v>
      </c>
      <c r="G23" s="16">
        <f>+(TblDetalle[[#This Row],[MontoBrutoProm_Mes]]/TblDetalle[[#This Row],[UnidadesProm_Mes]])*TblDetalle[[#This Row],[Unidades]]</f>
        <v>9225.4730769230773</v>
      </c>
      <c r="H23" s="8">
        <v>52</v>
      </c>
      <c r="I23" s="9">
        <v>11700.6</v>
      </c>
      <c r="J23">
        <f>+TblDetalle[[#This Row],[Monto A Rebajhar]]/TblDetalle[[#This Row],[MontoBrutoProm_Mes]]</f>
        <v>0.78846153846153844</v>
      </c>
    </row>
    <row r="24" spans="1:10" x14ac:dyDescent="0.3">
      <c r="A24" s="7">
        <v>8</v>
      </c>
      <c r="B24" s="7" t="s">
        <v>246</v>
      </c>
      <c r="C24" s="7">
        <v>501000</v>
      </c>
      <c r="D24" s="7" t="s">
        <v>237</v>
      </c>
      <c r="E24" s="7" t="s">
        <v>217</v>
      </c>
      <c r="F24" s="7">
        <f>+ROUNDDOWN(H24*0.8,0)</f>
        <v>1</v>
      </c>
      <c r="G24" s="16">
        <f>+(TblDetalle[[#This Row],[MontoBrutoProm_Mes]]/TblDetalle[[#This Row],[UnidadesProm_Mes]])*TblDetalle[[#This Row],[Unidades]]</f>
        <v>114.68421052631578</v>
      </c>
      <c r="H24" s="8">
        <v>1.33</v>
      </c>
      <c r="I24" s="9">
        <v>152.53</v>
      </c>
      <c r="J24">
        <f>+TblDetalle[[#This Row],[Monto A Rebajhar]]/TblDetalle[[#This Row],[MontoBrutoProm_Mes]]</f>
        <v>0.75187969924812026</v>
      </c>
    </row>
    <row r="25" spans="1:10" x14ac:dyDescent="0.3">
      <c r="A25" s="7">
        <v>8</v>
      </c>
      <c r="B25" s="7" t="s">
        <v>246</v>
      </c>
      <c r="C25" s="7">
        <v>511005</v>
      </c>
      <c r="D25" s="7" t="s">
        <v>249</v>
      </c>
      <c r="E25" s="7" t="s">
        <v>217</v>
      </c>
      <c r="F25" s="7">
        <f>+ROUNDDOWN(H25*0.8,0)</f>
        <v>6</v>
      </c>
      <c r="G25" s="16">
        <f>+(TblDetalle[[#This Row],[MontoBrutoProm_Mes]]/TblDetalle[[#This Row],[UnidadesProm_Mes]])*TblDetalle[[#This Row],[Unidades]]</f>
        <v>401.70000000000005</v>
      </c>
      <c r="H25" s="8">
        <v>8</v>
      </c>
      <c r="I25" s="9">
        <v>535.6</v>
      </c>
      <c r="J25">
        <f>+TblDetalle[[#This Row],[Monto A Rebajhar]]/TblDetalle[[#This Row],[MontoBrutoProm_Mes]]</f>
        <v>0.75</v>
      </c>
    </row>
    <row r="26" spans="1:10" x14ac:dyDescent="0.3">
      <c r="A26" s="7">
        <v>8</v>
      </c>
      <c r="B26" s="7" t="s">
        <v>246</v>
      </c>
      <c r="C26" s="7">
        <v>611048</v>
      </c>
      <c r="D26" s="7" t="s">
        <v>250</v>
      </c>
      <c r="E26" s="7" t="s">
        <v>217</v>
      </c>
      <c r="F26" s="7">
        <f>+ROUNDDOWN(H26*0.8,0)</f>
        <v>26</v>
      </c>
      <c r="G26" s="16">
        <f>+(TblDetalle[[#This Row],[MontoBrutoProm_Mes]]/TblDetalle[[#This Row],[UnidadesProm_Mes]])*TblDetalle[[#This Row],[Unidades]]</f>
        <v>406.42064206420645</v>
      </c>
      <c r="H26" s="8">
        <v>33.33</v>
      </c>
      <c r="I26" s="9">
        <v>521</v>
      </c>
      <c r="J26">
        <f>+TblDetalle[[#This Row],[Monto A Rebajhar]]/TblDetalle[[#This Row],[MontoBrutoProm_Mes]]</f>
        <v>0.78007800780078018</v>
      </c>
    </row>
    <row r="27" spans="1:10" x14ac:dyDescent="0.3">
      <c r="A27" s="7">
        <v>8</v>
      </c>
      <c r="B27" s="7" t="s">
        <v>246</v>
      </c>
      <c r="C27" s="7">
        <v>611049</v>
      </c>
      <c r="D27" s="7" t="s">
        <v>251</v>
      </c>
      <c r="E27" s="7" t="s">
        <v>217</v>
      </c>
      <c r="F27" s="7">
        <f>+ROUNDDOWN(H27*0.8,0)</f>
        <v>45</v>
      </c>
      <c r="G27" s="16">
        <f>+(TblDetalle[[#This Row],[MontoBrutoProm_Mes]]/TblDetalle[[#This Row],[UnidadesProm_Mes]])*TblDetalle[[#This Row],[Unidades]]</f>
        <v>1319.0074113287453</v>
      </c>
      <c r="H27" s="8">
        <v>56.67</v>
      </c>
      <c r="I27" s="9">
        <v>1661.07</v>
      </c>
      <c r="J27">
        <f>+TblDetalle[[#This Row],[Monto A Rebajhar]]/TblDetalle[[#This Row],[MontoBrutoProm_Mes]]</f>
        <v>0.79407093700370568</v>
      </c>
    </row>
    <row r="28" spans="1:10" x14ac:dyDescent="0.3">
      <c r="A28" s="7">
        <v>8</v>
      </c>
      <c r="B28" s="7" t="s">
        <v>246</v>
      </c>
      <c r="C28" s="7">
        <v>611052</v>
      </c>
      <c r="D28" s="7" t="s">
        <v>252</v>
      </c>
      <c r="E28" s="7" t="s">
        <v>217</v>
      </c>
      <c r="F28" s="7">
        <f>+ROUNDDOWN(H28*0.8,0)</f>
        <v>6</v>
      </c>
      <c r="G28" s="16">
        <f>+(TblDetalle[[#This Row],[MontoBrutoProm_Mes]]/TblDetalle[[#This Row],[UnidadesProm_Mes]])*TblDetalle[[#This Row],[Unidades]]</f>
        <v>132.18</v>
      </c>
      <c r="H28" s="8">
        <v>8</v>
      </c>
      <c r="I28" s="9">
        <v>176.24</v>
      </c>
      <c r="J28">
        <f>+TblDetalle[[#This Row],[Monto A Rebajhar]]/TblDetalle[[#This Row],[MontoBrutoProm_Mes]]</f>
        <v>0.75</v>
      </c>
    </row>
    <row r="29" spans="1:10" x14ac:dyDescent="0.3">
      <c r="A29" s="7">
        <v>8</v>
      </c>
      <c r="B29" s="7" t="s">
        <v>246</v>
      </c>
      <c r="C29" s="7">
        <v>611053</v>
      </c>
      <c r="D29" s="7" t="s">
        <v>253</v>
      </c>
      <c r="E29" s="7" t="s">
        <v>217</v>
      </c>
      <c r="F29" s="7">
        <f>+ROUNDDOWN(H29*0.8,0)</f>
        <v>12</v>
      </c>
      <c r="G29" s="16">
        <f>+(TblDetalle[[#This Row],[MontoBrutoProm_Mes]]/TblDetalle[[#This Row],[UnidadesProm_Mes]])*TblDetalle[[#This Row],[Unidades]]</f>
        <v>240</v>
      </c>
      <c r="H29" s="8">
        <v>16</v>
      </c>
      <c r="I29" s="9">
        <v>320</v>
      </c>
      <c r="J29">
        <f>+TblDetalle[[#This Row],[Monto A Rebajhar]]/TblDetalle[[#This Row],[MontoBrutoProm_Mes]]</f>
        <v>0.75</v>
      </c>
    </row>
    <row r="30" spans="1:10" x14ac:dyDescent="0.3">
      <c r="A30" s="7">
        <v>8</v>
      </c>
      <c r="B30" s="7" t="s">
        <v>246</v>
      </c>
      <c r="C30" s="7">
        <v>611055</v>
      </c>
      <c r="D30" s="7" t="s">
        <v>254</v>
      </c>
      <c r="E30" s="7" t="s">
        <v>217</v>
      </c>
      <c r="F30" s="7">
        <f>+ROUNDDOWN(H30*0.8,0)</f>
        <v>2</v>
      </c>
      <c r="G30" s="16">
        <f>+(TblDetalle[[#This Row],[MontoBrutoProm_Mes]]/TblDetalle[[#This Row],[UnidadesProm_Mes]])*TblDetalle[[#This Row],[Unidades]]</f>
        <v>156.44194756554307</v>
      </c>
      <c r="H30" s="8">
        <v>2.67</v>
      </c>
      <c r="I30" s="9">
        <v>208.85</v>
      </c>
      <c r="J30">
        <f>+TblDetalle[[#This Row],[Monto A Rebajhar]]/TblDetalle[[#This Row],[MontoBrutoProm_Mes]]</f>
        <v>0.74906367041198507</v>
      </c>
    </row>
    <row r="31" spans="1:10" x14ac:dyDescent="0.3">
      <c r="A31" s="7">
        <v>8</v>
      </c>
      <c r="B31" s="7" t="s">
        <v>246</v>
      </c>
      <c r="C31" s="7">
        <v>611507</v>
      </c>
      <c r="D31" s="7" t="s">
        <v>255</v>
      </c>
      <c r="E31" s="7" t="s">
        <v>215</v>
      </c>
      <c r="F31" s="7">
        <f>+ROUNDDOWN(H31*0.8,0)</f>
        <v>4</v>
      </c>
      <c r="G31" s="16">
        <f>+(TblDetalle[[#This Row],[MontoBrutoProm_Mes]]/TblDetalle[[#This Row],[UnidadesProm_Mes]])*TblDetalle[[#This Row],[Unidades]]</f>
        <v>3.7523452157598502E-2</v>
      </c>
      <c r="H31" s="8">
        <v>5.33</v>
      </c>
      <c r="I31" s="9">
        <v>0.05</v>
      </c>
      <c r="J31">
        <f>+TblDetalle[[#This Row],[Monto A Rebajhar]]/TblDetalle[[#This Row],[MontoBrutoProm_Mes]]</f>
        <v>0.75046904315197005</v>
      </c>
    </row>
    <row r="32" spans="1:10" x14ac:dyDescent="0.3">
      <c r="A32" s="7">
        <v>8</v>
      </c>
      <c r="B32" s="7" t="s">
        <v>246</v>
      </c>
      <c r="C32" s="7">
        <v>621004</v>
      </c>
      <c r="D32" s="7" t="s">
        <v>256</v>
      </c>
      <c r="E32" s="7" t="s">
        <v>239</v>
      </c>
      <c r="F32" s="7">
        <f>+ROUNDDOWN(H32*0.8,0)</f>
        <v>6</v>
      </c>
      <c r="G32" s="16">
        <f>+(TblDetalle[[#This Row],[MontoBrutoProm_Mes]]/TblDetalle[[#This Row],[UnidadesProm_Mes]])*TblDetalle[[#This Row],[Unidades]]</f>
        <v>1593.54</v>
      </c>
      <c r="H32" s="8">
        <v>8</v>
      </c>
      <c r="I32" s="9">
        <v>2124.7199999999998</v>
      </c>
      <c r="J32">
        <f>+TblDetalle[[#This Row],[Monto A Rebajhar]]/TblDetalle[[#This Row],[MontoBrutoProm_Mes]]</f>
        <v>0.75</v>
      </c>
    </row>
    <row r="33" spans="1:10" x14ac:dyDescent="0.3">
      <c r="A33" s="7">
        <v>8</v>
      </c>
      <c r="B33" s="7" t="s">
        <v>246</v>
      </c>
      <c r="C33" s="7">
        <v>621043</v>
      </c>
      <c r="D33" s="7" t="s">
        <v>257</v>
      </c>
      <c r="E33" s="7" t="s">
        <v>239</v>
      </c>
      <c r="F33" s="7">
        <f>+ROUNDDOWN(H33*0.8,0)</f>
        <v>3</v>
      </c>
      <c r="G33" s="16">
        <f>+(TblDetalle[[#This Row],[MontoBrutoProm_Mes]]/TblDetalle[[#This Row],[UnidadesProm_Mes]])*TblDetalle[[#This Row],[Unidades]]</f>
        <v>2.2499999999999999E-2</v>
      </c>
      <c r="H33" s="8">
        <v>4</v>
      </c>
      <c r="I33" s="9">
        <v>0.03</v>
      </c>
      <c r="J33">
        <f>+TblDetalle[[#This Row],[Monto A Rebajhar]]/TblDetalle[[#This Row],[MontoBrutoProm_Mes]]</f>
        <v>0.75</v>
      </c>
    </row>
    <row r="34" spans="1:10" x14ac:dyDescent="0.3">
      <c r="A34" s="7">
        <v>8</v>
      </c>
      <c r="B34" s="7" t="s">
        <v>246</v>
      </c>
      <c r="C34" s="7">
        <v>621045</v>
      </c>
      <c r="D34" s="7" t="s">
        <v>238</v>
      </c>
      <c r="E34" s="7" t="s">
        <v>239</v>
      </c>
      <c r="F34" s="7">
        <f>+ROUNDDOWN(H34*0.8,0)</f>
        <v>16</v>
      </c>
      <c r="G34" s="16">
        <f>+(TblDetalle[[#This Row],[MontoBrutoProm_Mes]]/TblDetalle[[#This Row],[UnidadesProm_Mes]])*TblDetalle[[#This Row],[Unidades]]</f>
        <v>2666.4639999999999</v>
      </c>
      <c r="H34" s="8">
        <v>20</v>
      </c>
      <c r="I34" s="9">
        <v>3333.08</v>
      </c>
      <c r="J34">
        <f>+TblDetalle[[#This Row],[Monto A Rebajhar]]/TblDetalle[[#This Row],[MontoBrutoProm_Mes]]</f>
        <v>0.8</v>
      </c>
    </row>
    <row r="35" spans="1:10" x14ac:dyDescent="0.3">
      <c r="A35" s="7">
        <v>8</v>
      </c>
      <c r="B35" s="7" t="s">
        <v>246</v>
      </c>
      <c r="C35" s="7">
        <v>800088</v>
      </c>
      <c r="D35" s="7" t="s">
        <v>240</v>
      </c>
      <c r="E35" s="7" t="s">
        <v>215</v>
      </c>
      <c r="F35" s="7">
        <f>+ROUNDDOWN(H35*0.8,0)</f>
        <v>4</v>
      </c>
      <c r="G35" s="16">
        <f>+(TblDetalle[[#This Row],[MontoBrutoProm_Mes]]/TblDetalle[[#This Row],[UnidadesProm_Mes]])*TblDetalle[[#This Row],[Unidades]]</f>
        <v>1458.5515947467168</v>
      </c>
      <c r="H35" s="8">
        <v>5.33</v>
      </c>
      <c r="I35" s="9">
        <v>1943.52</v>
      </c>
      <c r="J35">
        <f>+TblDetalle[[#This Row],[Monto A Rebajhar]]/TblDetalle[[#This Row],[MontoBrutoProm_Mes]]</f>
        <v>0.75046904315197005</v>
      </c>
    </row>
    <row r="36" spans="1:10" x14ac:dyDescent="0.3">
      <c r="A36" s="7">
        <v>8</v>
      </c>
      <c r="B36" s="7" t="s">
        <v>246</v>
      </c>
      <c r="C36" s="7">
        <v>800089</v>
      </c>
      <c r="D36" s="7" t="s">
        <v>241</v>
      </c>
      <c r="E36" s="7" t="s">
        <v>215</v>
      </c>
      <c r="F36" s="7">
        <f>+ROUNDDOWN(H36*0.8,0)</f>
        <v>2</v>
      </c>
      <c r="G36" s="16">
        <f>+(TblDetalle[[#This Row],[MontoBrutoProm_Mes]]/TblDetalle[[#This Row],[UnidadesProm_Mes]])*TblDetalle[[#This Row],[Unidades]]</f>
        <v>727.91011235955057</v>
      </c>
      <c r="H36" s="8">
        <v>2.67</v>
      </c>
      <c r="I36" s="9">
        <v>971.76</v>
      </c>
      <c r="J36">
        <f>+TblDetalle[[#This Row],[Monto A Rebajhar]]/TblDetalle[[#This Row],[MontoBrutoProm_Mes]]</f>
        <v>0.74906367041198507</v>
      </c>
    </row>
    <row r="37" spans="1:10" x14ac:dyDescent="0.3">
      <c r="A37" s="7">
        <v>8</v>
      </c>
      <c r="B37" s="7" t="s">
        <v>246</v>
      </c>
      <c r="C37" s="7">
        <v>800783</v>
      </c>
      <c r="D37" s="7" t="s">
        <v>258</v>
      </c>
      <c r="E37" s="7" t="s">
        <v>243</v>
      </c>
      <c r="F37" s="7">
        <f>+ROUNDDOWN(H37*0.8,0)</f>
        <v>0</v>
      </c>
      <c r="G37" s="16">
        <f>+(TblDetalle[[#This Row],[MontoBrutoProm_Mes]]/TblDetalle[[#This Row],[UnidadesProm_Mes]])*TblDetalle[[#This Row],[Unidades]]</f>
        <v>0</v>
      </c>
      <c r="H37" s="8">
        <v>0.33</v>
      </c>
      <c r="I37" s="9">
        <v>0.02</v>
      </c>
      <c r="J37">
        <f>+TblDetalle[[#This Row],[Monto A Rebajhar]]/TblDetalle[[#This Row],[MontoBrutoProm_Mes]]</f>
        <v>0</v>
      </c>
    </row>
    <row r="38" spans="1:10" x14ac:dyDescent="0.3">
      <c r="A38" s="7">
        <v>8</v>
      </c>
      <c r="B38" s="7" t="s">
        <v>246</v>
      </c>
      <c r="C38" s="7">
        <v>800791</v>
      </c>
      <c r="D38" s="7" t="s">
        <v>259</v>
      </c>
      <c r="E38" s="7" t="s">
        <v>243</v>
      </c>
      <c r="F38" s="7">
        <f>+ROUNDDOWN(H38*0.8,0)</f>
        <v>0</v>
      </c>
      <c r="G38" s="16">
        <f>+(TblDetalle[[#This Row],[MontoBrutoProm_Mes]]/TblDetalle[[#This Row],[UnidadesProm_Mes]])*TblDetalle[[#This Row],[Unidades]]</f>
        <v>0</v>
      </c>
      <c r="H38" s="8">
        <v>1</v>
      </c>
      <c r="I38" s="9">
        <v>161.02000000000001</v>
      </c>
      <c r="J38">
        <f>+TblDetalle[[#This Row],[Monto A Rebajhar]]/TblDetalle[[#This Row],[MontoBrutoProm_Mes]]</f>
        <v>0</v>
      </c>
    </row>
    <row r="39" spans="1:10" x14ac:dyDescent="0.3">
      <c r="A39" s="7">
        <v>8</v>
      </c>
      <c r="B39" s="7" t="s">
        <v>246</v>
      </c>
      <c r="C39" s="7">
        <v>800792</v>
      </c>
      <c r="D39" s="7" t="s">
        <v>242</v>
      </c>
      <c r="E39" s="7" t="s">
        <v>243</v>
      </c>
      <c r="F39" s="7">
        <f>+ROUNDDOWN(H39*0.8,0)</f>
        <v>1</v>
      </c>
      <c r="G39" s="16">
        <f>+(TblDetalle[[#This Row],[MontoBrutoProm_Mes]]/TblDetalle[[#This Row],[UnidadesProm_Mes]])*TblDetalle[[#This Row],[Unidades]]</f>
        <v>161.24892703862659</v>
      </c>
      <c r="H39" s="8">
        <v>2.33</v>
      </c>
      <c r="I39" s="9">
        <v>375.71</v>
      </c>
      <c r="J39">
        <f>+TblDetalle[[#This Row],[Monto A Rebajhar]]/TblDetalle[[#This Row],[MontoBrutoProm_Mes]]</f>
        <v>0.42918454935622313</v>
      </c>
    </row>
    <row r="40" spans="1:10" x14ac:dyDescent="0.3">
      <c r="A40" s="7">
        <v>8</v>
      </c>
      <c r="B40" s="7" t="s">
        <v>246</v>
      </c>
      <c r="C40" s="7">
        <v>800793</v>
      </c>
      <c r="D40" s="7" t="s">
        <v>260</v>
      </c>
      <c r="E40" s="7" t="s">
        <v>243</v>
      </c>
      <c r="F40" s="7">
        <f>+ROUNDDOWN(H40*0.8,0)</f>
        <v>0</v>
      </c>
      <c r="G40" s="16">
        <f>+(TblDetalle[[#This Row],[MontoBrutoProm_Mes]]/TblDetalle[[#This Row],[UnidadesProm_Mes]])*TblDetalle[[#This Row],[Unidades]]</f>
        <v>0</v>
      </c>
      <c r="H40" s="8">
        <v>0.67</v>
      </c>
      <c r="I40" s="9">
        <v>107.35</v>
      </c>
      <c r="J40">
        <f>+TblDetalle[[#This Row],[Monto A Rebajhar]]/TblDetalle[[#This Row],[MontoBrutoProm_Mes]]</f>
        <v>0</v>
      </c>
    </row>
    <row r="41" spans="1:10" x14ac:dyDescent="0.3">
      <c r="A41" s="7">
        <v>8</v>
      </c>
      <c r="B41" s="7" t="s">
        <v>246</v>
      </c>
      <c r="C41" s="7">
        <v>925050</v>
      </c>
      <c r="D41" s="7" t="s">
        <v>261</v>
      </c>
      <c r="E41" s="7" t="s">
        <v>220</v>
      </c>
      <c r="F41" s="7">
        <f>+ROUNDDOWN(H41*0.8,0)</f>
        <v>6</v>
      </c>
      <c r="G41" s="16">
        <f>+(TblDetalle[[#This Row],[MontoBrutoProm_Mes]]/TblDetalle[[#This Row],[UnidadesProm_Mes]])*TblDetalle[[#This Row],[Unidades]]</f>
        <v>463.68</v>
      </c>
      <c r="H41" s="8">
        <v>8</v>
      </c>
      <c r="I41" s="9">
        <v>618.24</v>
      </c>
      <c r="J41">
        <f>+TblDetalle[[#This Row],[Monto A Rebajhar]]/TblDetalle[[#This Row],[MontoBrutoProm_Mes]]</f>
        <v>0.75</v>
      </c>
    </row>
    <row r="42" spans="1:10" x14ac:dyDescent="0.3">
      <c r="A42" s="7">
        <v>8</v>
      </c>
      <c r="B42" s="7" t="s">
        <v>246</v>
      </c>
      <c r="C42" s="7">
        <v>925059</v>
      </c>
      <c r="D42" s="7" t="s">
        <v>262</v>
      </c>
      <c r="E42" s="7" t="s">
        <v>220</v>
      </c>
      <c r="F42" s="7">
        <f>+ROUNDDOWN(H42*0.8,0)</f>
        <v>0</v>
      </c>
      <c r="G42" s="16">
        <f>+(TblDetalle[[#This Row],[MontoBrutoProm_Mes]]/TblDetalle[[#This Row],[UnidadesProm_Mes]])*TblDetalle[[#This Row],[Unidades]]</f>
        <v>0</v>
      </c>
      <c r="H42" s="8">
        <v>0.67</v>
      </c>
      <c r="I42" s="9">
        <v>0.01</v>
      </c>
      <c r="J42">
        <f>+TblDetalle[[#This Row],[Monto A Rebajhar]]/TblDetalle[[#This Row],[MontoBrutoProm_Mes]]</f>
        <v>0</v>
      </c>
    </row>
    <row r="43" spans="1:10" x14ac:dyDescent="0.3">
      <c r="A43" s="7">
        <v>8</v>
      </c>
      <c r="B43" s="7" t="s">
        <v>246</v>
      </c>
      <c r="C43" s="7">
        <v>925064</v>
      </c>
      <c r="D43" s="7" t="s">
        <v>263</v>
      </c>
      <c r="E43" s="7" t="s">
        <v>220</v>
      </c>
      <c r="F43" s="7">
        <f>+ROUNDDOWN(H43*0.8,0)</f>
        <v>1</v>
      </c>
      <c r="G43" s="16">
        <f>+(TblDetalle[[#This Row],[MontoBrutoProm_Mes]]/TblDetalle[[#This Row],[UnidadesProm_Mes]])*TblDetalle[[#This Row],[Unidades]]</f>
        <v>34.36</v>
      </c>
      <c r="H43" s="8">
        <v>2</v>
      </c>
      <c r="I43" s="9">
        <v>68.72</v>
      </c>
      <c r="J43">
        <f>+TblDetalle[[#This Row],[Monto A Rebajhar]]/TblDetalle[[#This Row],[MontoBrutoProm_Mes]]</f>
        <v>0.5</v>
      </c>
    </row>
    <row r="44" spans="1:10" x14ac:dyDescent="0.3">
      <c r="A44" s="7">
        <v>8</v>
      </c>
      <c r="B44" s="7" t="s">
        <v>246</v>
      </c>
      <c r="C44" s="7">
        <v>930012</v>
      </c>
      <c r="D44" s="7" t="s">
        <v>264</v>
      </c>
      <c r="E44" s="7" t="s">
        <v>243</v>
      </c>
      <c r="F44" s="7">
        <f>+ROUNDDOWN(H44*0.8,0)</f>
        <v>13</v>
      </c>
      <c r="G44" s="16">
        <f>+(TblDetalle[[#This Row],[MontoBrutoProm_Mes]]/TblDetalle[[#This Row],[UnidadesProm_Mes]])*TblDetalle[[#This Row],[Unidades]]</f>
        <v>1203.3488235294117</v>
      </c>
      <c r="H44" s="8">
        <v>17</v>
      </c>
      <c r="I44" s="9">
        <v>1573.61</v>
      </c>
      <c r="J44">
        <f>+TblDetalle[[#This Row],[Monto A Rebajhar]]/TblDetalle[[#This Row],[MontoBrutoProm_Mes]]</f>
        <v>0.76470588235294112</v>
      </c>
    </row>
    <row r="45" spans="1:10" x14ac:dyDescent="0.3">
      <c r="A45" s="7">
        <v>8</v>
      </c>
      <c r="B45" s="7" t="s">
        <v>246</v>
      </c>
      <c r="C45" s="7">
        <v>930022</v>
      </c>
      <c r="D45" s="7" t="s">
        <v>265</v>
      </c>
      <c r="E45" s="7" t="s">
        <v>243</v>
      </c>
      <c r="F45" s="7">
        <f>+ROUNDDOWN(H45*0.8,0)</f>
        <v>4</v>
      </c>
      <c r="G45" s="16">
        <f>+(TblDetalle[[#This Row],[MontoBrutoProm_Mes]]/TblDetalle[[#This Row],[UnidadesProm_Mes]])*TblDetalle[[#This Row],[Unidades]]</f>
        <v>364.58536585365852</v>
      </c>
      <c r="H45" s="8">
        <v>5.33</v>
      </c>
      <c r="I45" s="9">
        <v>485.81</v>
      </c>
      <c r="J45">
        <f>+TblDetalle[[#This Row],[Monto A Rebajhar]]/TblDetalle[[#This Row],[MontoBrutoProm_Mes]]</f>
        <v>0.75046904315196994</v>
      </c>
    </row>
    <row r="46" spans="1:10" x14ac:dyDescent="0.3">
      <c r="A46" s="7">
        <v>8</v>
      </c>
      <c r="B46" s="7" t="s">
        <v>246</v>
      </c>
      <c r="C46" s="7">
        <v>930025</v>
      </c>
      <c r="D46" s="7" t="s">
        <v>244</v>
      </c>
      <c r="E46" s="7" t="s">
        <v>243</v>
      </c>
      <c r="F46" s="7">
        <f>+ROUNDDOWN(H46*0.8,0)</f>
        <v>2</v>
      </c>
      <c r="G46" s="16">
        <f>+(TblDetalle[[#This Row],[MontoBrutoProm_Mes]]/TblDetalle[[#This Row],[UnidadesProm_Mes]])*TblDetalle[[#This Row],[Unidades]]</f>
        <v>117.45504087193461</v>
      </c>
      <c r="H46" s="8">
        <v>3.67</v>
      </c>
      <c r="I46" s="9">
        <v>215.53</v>
      </c>
      <c r="J46">
        <f>+TblDetalle[[#This Row],[Monto A Rebajhar]]/TblDetalle[[#This Row],[MontoBrutoProm_Mes]]</f>
        <v>0.54495912806539515</v>
      </c>
    </row>
    <row r="47" spans="1:10" x14ac:dyDescent="0.3">
      <c r="A47" s="7">
        <v>8</v>
      </c>
      <c r="B47" s="7" t="s">
        <v>246</v>
      </c>
      <c r="C47" s="7">
        <v>930034</v>
      </c>
      <c r="D47" s="7" t="s">
        <v>266</v>
      </c>
      <c r="E47" s="7" t="s">
        <v>243</v>
      </c>
      <c r="F47" s="7">
        <f>+ROUNDDOWN(H47*0.8,0)</f>
        <v>2</v>
      </c>
      <c r="G47" s="16">
        <f>+(TblDetalle[[#This Row],[MontoBrutoProm_Mes]]/TblDetalle[[#This Row],[UnidadesProm_Mes]])*TblDetalle[[#This Row],[Unidades]]</f>
        <v>174.67267267267266</v>
      </c>
      <c r="H47" s="8">
        <v>3.33</v>
      </c>
      <c r="I47" s="9">
        <v>290.83</v>
      </c>
      <c r="J47">
        <f>+TblDetalle[[#This Row],[Monto A Rebajhar]]/TblDetalle[[#This Row],[MontoBrutoProm_Mes]]</f>
        <v>0.60060060060060061</v>
      </c>
    </row>
    <row r="48" spans="1:10" x14ac:dyDescent="0.3">
      <c r="A48" s="7">
        <v>8</v>
      </c>
      <c r="B48" s="7" t="s">
        <v>246</v>
      </c>
      <c r="C48" s="7">
        <v>930154</v>
      </c>
      <c r="D48" s="7" t="s">
        <v>245</v>
      </c>
      <c r="E48" s="7" t="s">
        <v>243</v>
      </c>
      <c r="F48" s="7">
        <f>+ROUNDDOWN(H48*0.8,0)</f>
        <v>1</v>
      </c>
      <c r="G48" s="16">
        <f>+(TblDetalle[[#This Row],[MontoBrutoProm_Mes]]/TblDetalle[[#This Row],[UnidadesProm_Mes]])*TblDetalle[[#This Row],[Unidades]]</f>
        <v>89.225563909774436</v>
      </c>
      <c r="H48" s="8">
        <v>1.33</v>
      </c>
      <c r="I48" s="9">
        <v>118.67</v>
      </c>
      <c r="J48">
        <f>+TblDetalle[[#This Row],[Monto A Rebajhar]]/TblDetalle[[#This Row],[MontoBrutoProm_Mes]]</f>
        <v>0.75187969924812026</v>
      </c>
    </row>
    <row r="49" spans="1:10" x14ac:dyDescent="0.3">
      <c r="A49" s="7">
        <v>8</v>
      </c>
      <c r="B49" s="7" t="s">
        <v>246</v>
      </c>
      <c r="C49" s="7">
        <v>930178</v>
      </c>
      <c r="D49" s="7" t="s">
        <v>267</v>
      </c>
      <c r="E49" s="7" t="s">
        <v>243</v>
      </c>
      <c r="F49" s="7">
        <f>+ROUNDDOWN(H49*0.8,0)</f>
        <v>0</v>
      </c>
      <c r="G49" s="16">
        <f>+(TblDetalle[[#This Row],[MontoBrutoProm_Mes]]/TblDetalle[[#This Row],[UnidadesProm_Mes]])*TblDetalle[[#This Row],[Unidades]]</f>
        <v>0</v>
      </c>
      <c r="H49" s="8">
        <v>0.33</v>
      </c>
      <c r="I49" s="9">
        <v>9.5399999999999991</v>
      </c>
      <c r="J49">
        <f>+TblDetalle[[#This Row],[Monto A Rebajhar]]/TblDetalle[[#This Row],[MontoBrutoProm_Mes]]</f>
        <v>0</v>
      </c>
    </row>
    <row r="50" spans="1:10" x14ac:dyDescent="0.3">
      <c r="A50" s="7">
        <v>8</v>
      </c>
      <c r="B50" s="7" t="s">
        <v>246</v>
      </c>
      <c r="C50" s="7">
        <v>930193</v>
      </c>
      <c r="D50" s="7" t="s">
        <v>268</v>
      </c>
      <c r="E50" s="7" t="s">
        <v>243</v>
      </c>
      <c r="F50" s="7">
        <f>+ROUNDDOWN(H50*0.8,0)</f>
        <v>0</v>
      </c>
      <c r="G50" s="16">
        <f>+(TblDetalle[[#This Row],[MontoBrutoProm_Mes]]/TblDetalle[[#This Row],[UnidadesProm_Mes]])*TblDetalle[[#This Row],[Unidades]]</f>
        <v>0</v>
      </c>
      <c r="H50" s="8">
        <v>0.33</v>
      </c>
      <c r="I50" s="9">
        <v>0</v>
      </c>
      <c r="J50" t="e">
        <f>+TblDetalle[[#This Row],[Monto A Rebajhar]]/TblDetalle[[#This Row],[MontoBrutoProm_Mes]]</f>
        <v>#DIV/0!</v>
      </c>
    </row>
    <row r="51" spans="1:10" x14ac:dyDescent="0.3">
      <c r="A51" s="7">
        <v>8</v>
      </c>
      <c r="B51" s="7" t="s">
        <v>246</v>
      </c>
      <c r="C51" s="7">
        <v>982003</v>
      </c>
      <c r="D51" s="7" t="s">
        <v>269</v>
      </c>
      <c r="E51" s="7" t="s">
        <v>270</v>
      </c>
      <c r="F51" s="7">
        <f>+ROUNDDOWN(H51*0.8,0)</f>
        <v>2</v>
      </c>
      <c r="G51" s="16">
        <f>+(TblDetalle[[#This Row],[MontoBrutoProm_Mes]]/TblDetalle[[#This Row],[UnidadesProm_Mes]])*TblDetalle[[#This Row],[Unidades]]</f>
        <v>520.52252252252254</v>
      </c>
      <c r="H51" s="8">
        <v>3.33</v>
      </c>
      <c r="I51" s="9">
        <v>866.67</v>
      </c>
      <c r="J51">
        <f>+TblDetalle[[#This Row],[Monto A Rebajhar]]/TblDetalle[[#This Row],[MontoBrutoProm_Mes]]</f>
        <v>0.60060060060060061</v>
      </c>
    </row>
    <row r="52" spans="1:10" x14ac:dyDescent="0.3">
      <c r="A52" s="7">
        <v>11</v>
      </c>
      <c r="B52" s="7" t="s">
        <v>271</v>
      </c>
      <c r="C52" s="7">
        <v>101005</v>
      </c>
      <c r="D52" s="7" t="s">
        <v>232</v>
      </c>
      <c r="E52" s="7" t="s">
        <v>215</v>
      </c>
      <c r="F52" s="7">
        <f>+ROUNDDOWN(H52*0.8,0)</f>
        <v>10</v>
      </c>
      <c r="G52" s="16">
        <f>+(TblDetalle[[#This Row],[MontoBrutoProm_Mes]]/TblDetalle[[#This Row],[UnidadesProm_Mes]])*TblDetalle[[#This Row],[Unidades]]</f>
        <v>765.26631657914481</v>
      </c>
      <c r="H52" s="8">
        <v>13.33</v>
      </c>
      <c r="I52" s="9">
        <v>1020.1</v>
      </c>
      <c r="J52">
        <f>+TblDetalle[[#This Row],[Monto A Rebajhar]]/TblDetalle[[#This Row],[MontoBrutoProm_Mes]]</f>
        <v>0.75018754688672173</v>
      </c>
    </row>
    <row r="53" spans="1:10" x14ac:dyDescent="0.3">
      <c r="A53" s="7">
        <v>11</v>
      </c>
      <c r="B53" s="7" t="s">
        <v>271</v>
      </c>
      <c r="C53" s="7">
        <v>101026</v>
      </c>
      <c r="D53" s="7" t="s">
        <v>233</v>
      </c>
      <c r="E53" s="7" t="s">
        <v>215</v>
      </c>
      <c r="F53" s="7">
        <f>+ROUNDDOWN(H53*0.8,0)</f>
        <v>25</v>
      </c>
      <c r="G53" s="16">
        <f>+(TblDetalle[[#This Row],[MontoBrutoProm_Mes]]/TblDetalle[[#This Row],[UnidadesProm_Mes]])*TblDetalle[[#This Row],[Unidades]]</f>
        <v>873</v>
      </c>
      <c r="H53" s="8">
        <v>32</v>
      </c>
      <c r="I53" s="9">
        <v>1117.44</v>
      </c>
      <c r="J53">
        <f>+TblDetalle[[#This Row],[Monto A Rebajhar]]/TblDetalle[[#This Row],[MontoBrutoProm_Mes]]</f>
        <v>0.78125</v>
      </c>
    </row>
    <row r="54" spans="1:10" x14ac:dyDescent="0.3">
      <c r="A54" s="7">
        <v>11</v>
      </c>
      <c r="B54" s="7" t="s">
        <v>271</v>
      </c>
      <c r="C54" s="7">
        <v>101027</v>
      </c>
      <c r="D54" s="7" t="s">
        <v>234</v>
      </c>
      <c r="E54" s="7" t="s">
        <v>215</v>
      </c>
      <c r="F54" s="7">
        <f t="shared" ref="F54:F117" si="0">+ROUNDDOWN(H54*0.8,0)</f>
        <v>10</v>
      </c>
      <c r="G54" s="16">
        <f>+(TblDetalle[[#This Row],[MontoBrutoProm_Mes]]/TblDetalle[[#This Row],[UnidadesProm_Mes]])*TblDetalle[[#This Row],[Unidades]]</f>
        <v>775.39999999999986</v>
      </c>
      <c r="H54" s="8">
        <v>13</v>
      </c>
      <c r="I54" s="9">
        <v>1008.02</v>
      </c>
      <c r="J54">
        <f>+TblDetalle[[#This Row],[Monto A Rebajhar]]/TblDetalle[[#This Row],[MontoBrutoProm_Mes]]</f>
        <v>0.76923076923076916</v>
      </c>
    </row>
    <row r="55" spans="1:10" x14ac:dyDescent="0.3">
      <c r="A55" s="7">
        <v>11</v>
      </c>
      <c r="B55" s="7" t="s">
        <v>271</v>
      </c>
      <c r="C55" s="7">
        <v>101028</v>
      </c>
      <c r="D55" s="7" t="s">
        <v>214</v>
      </c>
      <c r="E55" s="7" t="s">
        <v>215</v>
      </c>
      <c r="F55" s="7">
        <f t="shared" si="0"/>
        <v>24</v>
      </c>
      <c r="G55" s="16">
        <f>+(TblDetalle[[#This Row],[MontoBrutoProm_Mes]]/TblDetalle[[#This Row],[UnidadesProm_Mes]])*TblDetalle[[#This Row],[Unidades]]</f>
        <v>2379.6000000000004</v>
      </c>
      <c r="H55" s="8">
        <v>30</v>
      </c>
      <c r="I55" s="9">
        <v>2974.5</v>
      </c>
      <c r="J55">
        <f>+TblDetalle[[#This Row],[Monto A Rebajhar]]/TblDetalle[[#This Row],[MontoBrutoProm_Mes]]</f>
        <v>0.80000000000000016</v>
      </c>
    </row>
    <row r="56" spans="1:10" x14ac:dyDescent="0.3">
      <c r="A56" s="7">
        <v>11</v>
      </c>
      <c r="B56" s="7" t="s">
        <v>271</v>
      </c>
      <c r="C56" s="7">
        <v>101034</v>
      </c>
      <c r="D56" s="7" t="s">
        <v>272</v>
      </c>
      <c r="E56" s="7" t="s">
        <v>215</v>
      </c>
      <c r="F56" s="7">
        <f t="shared" si="0"/>
        <v>5</v>
      </c>
      <c r="G56" s="16">
        <f>+(TblDetalle[[#This Row],[MontoBrutoProm_Mes]]/TblDetalle[[#This Row],[UnidadesProm_Mes]])*TblDetalle[[#This Row],[Unidades]]</f>
        <v>1196.4242878560719</v>
      </c>
      <c r="H56" s="8">
        <v>6.67</v>
      </c>
      <c r="I56" s="9">
        <v>1596.03</v>
      </c>
      <c r="J56">
        <f>+TblDetalle[[#This Row],[Monto A Rebajhar]]/TblDetalle[[#This Row],[MontoBrutoProm_Mes]]</f>
        <v>0.7496251874062968</v>
      </c>
    </row>
    <row r="57" spans="1:10" x14ac:dyDescent="0.3">
      <c r="A57" s="7">
        <v>11</v>
      </c>
      <c r="B57" s="7" t="s">
        <v>271</v>
      </c>
      <c r="C57" s="7">
        <v>101038</v>
      </c>
      <c r="D57" s="7" t="s">
        <v>235</v>
      </c>
      <c r="E57" s="7" t="s">
        <v>215</v>
      </c>
      <c r="F57" s="7">
        <f t="shared" si="0"/>
        <v>57</v>
      </c>
      <c r="G57" s="16">
        <f>+(TblDetalle[[#This Row],[MontoBrutoProm_Mes]]/TblDetalle[[#This Row],[UnidadesProm_Mes]])*TblDetalle[[#This Row],[Unidades]]</f>
        <v>20826.552951025533</v>
      </c>
      <c r="H57" s="8">
        <v>71.67</v>
      </c>
      <c r="I57" s="9">
        <v>26186.65</v>
      </c>
      <c r="J57">
        <f>+TblDetalle[[#This Row],[Monto A Rebajhar]]/TblDetalle[[#This Row],[MontoBrutoProm_Mes]]</f>
        <v>0.79531184596065296</v>
      </c>
    </row>
    <row r="58" spans="1:10" x14ac:dyDescent="0.3">
      <c r="A58" s="7">
        <v>11</v>
      </c>
      <c r="B58" s="7" t="s">
        <v>271</v>
      </c>
      <c r="C58" s="7">
        <v>101072</v>
      </c>
      <c r="D58" s="7" t="s">
        <v>273</v>
      </c>
      <c r="E58" s="7" t="s">
        <v>215</v>
      </c>
      <c r="F58" s="7">
        <f t="shared" si="0"/>
        <v>19</v>
      </c>
      <c r="G58" s="16">
        <f>+(TblDetalle[[#This Row],[MontoBrutoProm_Mes]]/TblDetalle[[#This Row],[UnidadesProm_Mes]])*TblDetalle[[#This Row],[Unidades]]</f>
        <v>827.45</v>
      </c>
      <c r="H58" s="8">
        <v>24</v>
      </c>
      <c r="I58" s="9">
        <v>1045.2</v>
      </c>
      <c r="J58">
        <f>+TblDetalle[[#This Row],[Monto A Rebajhar]]/TblDetalle[[#This Row],[MontoBrutoProm_Mes]]</f>
        <v>0.79166666666666663</v>
      </c>
    </row>
    <row r="59" spans="1:10" x14ac:dyDescent="0.3">
      <c r="A59" s="7">
        <v>11</v>
      </c>
      <c r="B59" s="7" t="s">
        <v>271</v>
      </c>
      <c r="C59" s="7">
        <v>101100</v>
      </c>
      <c r="D59" s="7" t="s">
        <v>274</v>
      </c>
      <c r="E59" s="7" t="s">
        <v>215</v>
      </c>
      <c r="F59" s="7">
        <f t="shared" si="0"/>
        <v>1</v>
      </c>
      <c r="G59" s="16">
        <f>+(TblDetalle[[#This Row],[MontoBrutoProm_Mes]]/TblDetalle[[#This Row],[UnidadesProm_Mes]])*TblDetalle[[#This Row],[Unidades]]</f>
        <v>0.01</v>
      </c>
      <c r="H59" s="8">
        <v>2</v>
      </c>
      <c r="I59" s="9">
        <v>0.02</v>
      </c>
      <c r="J59">
        <f>+TblDetalle[[#This Row],[Monto A Rebajhar]]/TblDetalle[[#This Row],[MontoBrutoProm_Mes]]</f>
        <v>0.5</v>
      </c>
    </row>
    <row r="60" spans="1:10" x14ac:dyDescent="0.3">
      <c r="A60" s="7">
        <v>11</v>
      </c>
      <c r="B60" s="7" t="s">
        <v>271</v>
      </c>
      <c r="C60" s="7">
        <v>101130</v>
      </c>
      <c r="D60" s="7" t="s">
        <v>247</v>
      </c>
      <c r="E60" s="7" t="s">
        <v>215</v>
      </c>
      <c r="F60" s="7">
        <f t="shared" si="0"/>
        <v>26</v>
      </c>
      <c r="G60" s="16">
        <f>+(TblDetalle[[#This Row],[MontoBrutoProm_Mes]]/TblDetalle[[#This Row],[UnidadesProm_Mes]])*TblDetalle[[#This Row],[Unidades]]</f>
        <v>0.25742574257425743</v>
      </c>
      <c r="H60" s="8">
        <v>33.33</v>
      </c>
      <c r="I60" s="9">
        <v>0.33</v>
      </c>
      <c r="J60">
        <f>+TblDetalle[[#This Row],[Monto A Rebajhar]]/TblDetalle[[#This Row],[MontoBrutoProm_Mes]]</f>
        <v>0.78007800780078007</v>
      </c>
    </row>
    <row r="61" spans="1:10" x14ac:dyDescent="0.3">
      <c r="A61" s="7">
        <v>11</v>
      </c>
      <c r="B61" s="7" t="s">
        <v>271</v>
      </c>
      <c r="C61" s="7">
        <v>101145</v>
      </c>
      <c r="D61" s="7" t="s">
        <v>275</v>
      </c>
      <c r="E61" s="7" t="s">
        <v>215</v>
      </c>
      <c r="F61" s="7">
        <f t="shared" si="0"/>
        <v>51</v>
      </c>
      <c r="G61" s="16">
        <f>+(TblDetalle[[#This Row],[MontoBrutoProm_Mes]]/TblDetalle[[#This Row],[UnidadesProm_Mes]])*TblDetalle[[#This Row],[Unidades]]</f>
        <v>2222.0700000000002</v>
      </c>
      <c r="H61" s="8">
        <v>64</v>
      </c>
      <c r="I61" s="9">
        <v>2788.48</v>
      </c>
      <c r="J61">
        <f>+TblDetalle[[#This Row],[Monto A Rebajhar]]/TblDetalle[[#This Row],[MontoBrutoProm_Mes]]</f>
        <v>0.796875</v>
      </c>
    </row>
    <row r="62" spans="1:10" x14ac:dyDescent="0.3">
      <c r="A62" s="7">
        <v>11</v>
      </c>
      <c r="B62" s="7" t="s">
        <v>271</v>
      </c>
      <c r="C62" s="7">
        <v>103001</v>
      </c>
      <c r="D62" s="7" t="s">
        <v>248</v>
      </c>
      <c r="E62" s="7" t="s">
        <v>215</v>
      </c>
      <c r="F62" s="7">
        <f t="shared" si="0"/>
        <v>198</v>
      </c>
      <c r="G62" s="16">
        <f>+(TblDetalle[[#This Row],[MontoBrutoProm_Mes]]/TblDetalle[[#This Row],[UnidadesProm_Mes]])*TblDetalle[[#This Row],[Unidades]]</f>
        <v>4296.1129838709676</v>
      </c>
      <c r="H62" s="8">
        <v>248</v>
      </c>
      <c r="I62" s="9">
        <v>5380.99</v>
      </c>
      <c r="J62">
        <f>+TblDetalle[[#This Row],[Monto A Rebajhar]]/TblDetalle[[#This Row],[MontoBrutoProm_Mes]]</f>
        <v>0.79838709677419351</v>
      </c>
    </row>
    <row r="63" spans="1:10" x14ac:dyDescent="0.3">
      <c r="A63" s="7">
        <v>11</v>
      </c>
      <c r="B63" s="7" t="s">
        <v>271</v>
      </c>
      <c r="C63" s="7">
        <v>201001</v>
      </c>
      <c r="D63" s="7" t="s">
        <v>216</v>
      </c>
      <c r="E63" s="7" t="s">
        <v>217</v>
      </c>
      <c r="F63" s="7">
        <f t="shared" si="0"/>
        <v>51</v>
      </c>
      <c r="G63" s="16">
        <f>+(TblDetalle[[#This Row],[MontoBrutoProm_Mes]]/TblDetalle[[#This Row],[UnidadesProm_Mes]])*TblDetalle[[#This Row],[Unidades]]</f>
        <v>11687.485541982373</v>
      </c>
      <c r="H63" s="8">
        <v>64.67</v>
      </c>
      <c r="I63" s="9">
        <v>14820.19</v>
      </c>
      <c r="J63">
        <f>+TblDetalle[[#This Row],[Monto A Rebajhar]]/TblDetalle[[#This Row],[MontoBrutoProm_Mes]]</f>
        <v>0.78861914334312666</v>
      </c>
    </row>
    <row r="64" spans="1:10" x14ac:dyDescent="0.3">
      <c r="A64" s="7">
        <v>11</v>
      </c>
      <c r="B64" s="7" t="s">
        <v>271</v>
      </c>
      <c r="C64" s="7">
        <v>501000</v>
      </c>
      <c r="D64" s="7" t="s">
        <v>237</v>
      </c>
      <c r="E64" s="7" t="s">
        <v>217</v>
      </c>
      <c r="F64" s="7">
        <f t="shared" si="0"/>
        <v>20</v>
      </c>
      <c r="G64" s="16">
        <f>+(TblDetalle[[#This Row],[MontoBrutoProm_Mes]]/TblDetalle[[#This Row],[UnidadesProm_Mes]])*TblDetalle[[#This Row],[Unidades]]</f>
        <v>2297.2285827082515</v>
      </c>
      <c r="H64" s="8">
        <v>25.33</v>
      </c>
      <c r="I64" s="9">
        <v>2909.44</v>
      </c>
      <c r="J64">
        <f>+TblDetalle[[#This Row],[Monto A Rebajhar]]/TblDetalle[[#This Row],[MontoBrutoProm_Mes]]</f>
        <v>0.78957757599684175</v>
      </c>
    </row>
    <row r="65" spans="1:10" x14ac:dyDescent="0.3">
      <c r="A65" s="7">
        <v>11</v>
      </c>
      <c r="B65" s="7" t="s">
        <v>271</v>
      </c>
      <c r="C65" s="7">
        <v>611049</v>
      </c>
      <c r="D65" s="7" t="s">
        <v>251</v>
      </c>
      <c r="E65" s="7" t="s">
        <v>217</v>
      </c>
      <c r="F65" s="7">
        <f t="shared" si="0"/>
        <v>6</v>
      </c>
      <c r="G65" s="16">
        <f>+(TblDetalle[[#This Row],[MontoBrutoProm_Mes]]/TblDetalle[[#This Row],[UnidadesProm_Mes]])*TblDetalle[[#This Row],[Unidades]]</f>
        <v>179.76</v>
      </c>
      <c r="H65" s="8">
        <v>8</v>
      </c>
      <c r="I65" s="9">
        <v>239.68</v>
      </c>
      <c r="J65">
        <f>+TblDetalle[[#This Row],[Monto A Rebajhar]]/TblDetalle[[#This Row],[MontoBrutoProm_Mes]]</f>
        <v>0.74999999999999989</v>
      </c>
    </row>
    <row r="66" spans="1:10" x14ac:dyDescent="0.3">
      <c r="A66" s="7">
        <v>11</v>
      </c>
      <c r="B66" s="7" t="s">
        <v>271</v>
      </c>
      <c r="C66" s="7">
        <v>611053</v>
      </c>
      <c r="D66" s="7" t="s">
        <v>253</v>
      </c>
      <c r="E66" s="7" t="s">
        <v>217</v>
      </c>
      <c r="F66" s="7">
        <f t="shared" si="0"/>
        <v>6</v>
      </c>
      <c r="G66" s="16">
        <f>+(TblDetalle[[#This Row],[MontoBrutoProm_Mes]]/TblDetalle[[#This Row],[UnidadesProm_Mes]])*TblDetalle[[#This Row],[Unidades]]</f>
        <v>132.18</v>
      </c>
      <c r="H66" s="8">
        <v>8</v>
      </c>
      <c r="I66" s="9">
        <v>176.24</v>
      </c>
      <c r="J66">
        <f>+TblDetalle[[#This Row],[Monto A Rebajhar]]/TblDetalle[[#This Row],[MontoBrutoProm_Mes]]</f>
        <v>0.75</v>
      </c>
    </row>
    <row r="67" spans="1:10" x14ac:dyDescent="0.3">
      <c r="A67" s="7">
        <v>11</v>
      </c>
      <c r="B67" s="7" t="s">
        <v>271</v>
      </c>
      <c r="C67" s="7">
        <v>611055</v>
      </c>
      <c r="D67" s="7" t="s">
        <v>254</v>
      </c>
      <c r="E67" s="7" t="s">
        <v>217</v>
      </c>
      <c r="F67" s="7">
        <f t="shared" si="0"/>
        <v>16</v>
      </c>
      <c r="G67" s="16">
        <f>+(TblDetalle[[#This Row],[MontoBrutoProm_Mes]]/TblDetalle[[#This Row],[UnidadesProm_Mes]])*TblDetalle[[#This Row],[Unidades]]</f>
        <v>1253.1200000000001</v>
      </c>
      <c r="H67" s="8">
        <v>20</v>
      </c>
      <c r="I67" s="9">
        <v>1566.4</v>
      </c>
      <c r="J67">
        <f>+TblDetalle[[#This Row],[Monto A Rebajhar]]/TblDetalle[[#This Row],[MontoBrutoProm_Mes]]</f>
        <v>0.8</v>
      </c>
    </row>
    <row r="68" spans="1:10" x14ac:dyDescent="0.3">
      <c r="A68" s="7">
        <v>11</v>
      </c>
      <c r="B68" s="7" t="s">
        <v>271</v>
      </c>
      <c r="C68" s="7">
        <v>621043</v>
      </c>
      <c r="D68" s="7" t="s">
        <v>257</v>
      </c>
      <c r="E68" s="7" t="s">
        <v>239</v>
      </c>
      <c r="F68" s="7">
        <f t="shared" si="0"/>
        <v>6</v>
      </c>
      <c r="G68" s="16">
        <f>+(TblDetalle[[#This Row],[MontoBrutoProm_Mes]]/TblDetalle[[#This Row],[UnidadesProm_Mes]])*TblDetalle[[#This Row],[Unidades]]</f>
        <v>7.4999999999999997E-3</v>
      </c>
      <c r="H68" s="8">
        <v>8</v>
      </c>
      <c r="I68" s="9">
        <v>0.01</v>
      </c>
      <c r="J68">
        <f>+TblDetalle[[#This Row],[Monto A Rebajhar]]/TblDetalle[[#This Row],[MontoBrutoProm_Mes]]</f>
        <v>0.75</v>
      </c>
    </row>
    <row r="69" spans="1:10" x14ac:dyDescent="0.3">
      <c r="A69" s="7">
        <v>11</v>
      </c>
      <c r="B69" s="7" t="s">
        <v>271</v>
      </c>
      <c r="C69" s="7">
        <v>621045</v>
      </c>
      <c r="D69" s="7" t="s">
        <v>238</v>
      </c>
      <c r="E69" s="7" t="s">
        <v>239</v>
      </c>
      <c r="F69" s="7">
        <f t="shared" si="0"/>
        <v>25</v>
      </c>
      <c r="G69" s="16">
        <f>+(TblDetalle[[#This Row],[MontoBrutoProm_Mes]]/TblDetalle[[#This Row],[UnidadesProm_Mes]])*TblDetalle[[#This Row],[Unidades]]</f>
        <v>4073.25</v>
      </c>
      <c r="H69" s="8">
        <v>32</v>
      </c>
      <c r="I69" s="9">
        <v>5213.76</v>
      </c>
      <c r="J69">
        <f>+TblDetalle[[#This Row],[Monto A Rebajhar]]/TblDetalle[[#This Row],[MontoBrutoProm_Mes]]</f>
        <v>0.78125</v>
      </c>
    </row>
    <row r="70" spans="1:10" x14ac:dyDescent="0.3">
      <c r="A70" s="7">
        <v>11</v>
      </c>
      <c r="B70" s="7" t="s">
        <v>271</v>
      </c>
      <c r="C70" s="7">
        <v>800088</v>
      </c>
      <c r="D70" s="7" t="s">
        <v>240</v>
      </c>
      <c r="E70" s="7" t="s">
        <v>215</v>
      </c>
      <c r="F70" s="7">
        <f t="shared" si="0"/>
        <v>32</v>
      </c>
      <c r="G70" s="16">
        <f>+(TblDetalle[[#This Row],[MontoBrutoProm_Mes]]/TblDetalle[[#This Row],[UnidadesProm_Mes]])*TblDetalle[[#This Row],[Unidades]]</f>
        <v>11769.536</v>
      </c>
      <c r="H70" s="8">
        <v>40</v>
      </c>
      <c r="I70" s="9">
        <v>14711.92</v>
      </c>
      <c r="J70">
        <f>+TblDetalle[[#This Row],[Monto A Rebajhar]]/TblDetalle[[#This Row],[MontoBrutoProm_Mes]]</f>
        <v>0.8</v>
      </c>
    </row>
    <row r="71" spans="1:10" x14ac:dyDescent="0.3">
      <c r="A71" s="7">
        <v>11</v>
      </c>
      <c r="B71" s="7" t="s">
        <v>271</v>
      </c>
      <c r="C71" s="7">
        <v>800089</v>
      </c>
      <c r="D71" s="7" t="s">
        <v>241</v>
      </c>
      <c r="E71" s="7" t="s">
        <v>215</v>
      </c>
      <c r="F71" s="7">
        <f t="shared" si="0"/>
        <v>27</v>
      </c>
      <c r="G71" s="16">
        <f>+(TblDetalle[[#This Row],[MontoBrutoProm_Mes]]/TblDetalle[[#This Row],[UnidadesProm_Mes]])*TblDetalle[[#This Row],[Unidades]]</f>
        <v>9908.4860109604851</v>
      </c>
      <c r="H71" s="8">
        <v>34.67</v>
      </c>
      <c r="I71" s="9">
        <v>12723.23</v>
      </c>
      <c r="J71">
        <f>+TblDetalle[[#This Row],[Monto A Rebajhar]]/TblDetalle[[#This Row],[MontoBrutoProm_Mes]]</f>
        <v>0.77877127199307761</v>
      </c>
    </row>
    <row r="72" spans="1:10" x14ac:dyDescent="0.3">
      <c r="A72" s="7">
        <v>11</v>
      </c>
      <c r="B72" s="7" t="s">
        <v>271</v>
      </c>
      <c r="C72" s="7">
        <v>800791</v>
      </c>
      <c r="D72" s="7" t="s">
        <v>259</v>
      </c>
      <c r="E72" s="7" t="s">
        <v>243</v>
      </c>
      <c r="F72" s="7">
        <f t="shared" si="0"/>
        <v>24</v>
      </c>
      <c r="G72" s="16">
        <f>+(TblDetalle[[#This Row],[MontoBrutoProm_Mes]]/TblDetalle[[#This Row],[UnidadesProm_Mes]])*TblDetalle[[#This Row],[Unidades]]</f>
        <v>3682.4936419954347</v>
      </c>
      <c r="H72" s="8">
        <v>30.67</v>
      </c>
      <c r="I72" s="9">
        <v>4705.92</v>
      </c>
      <c r="J72">
        <f>+TblDetalle[[#This Row],[Monto A Rebajhar]]/TblDetalle[[#This Row],[MontoBrutoProm_Mes]]</f>
        <v>0.78252363873492004</v>
      </c>
    </row>
    <row r="73" spans="1:10" x14ac:dyDescent="0.3">
      <c r="A73" s="7">
        <v>11</v>
      </c>
      <c r="B73" s="7" t="s">
        <v>271</v>
      </c>
      <c r="C73" s="7">
        <v>800792</v>
      </c>
      <c r="D73" s="7" t="s">
        <v>242</v>
      </c>
      <c r="E73" s="7" t="s">
        <v>243</v>
      </c>
      <c r="F73" s="7">
        <f t="shared" si="0"/>
        <v>6</v>
      </c>
      <c r="G73" s="16">
        <f>+(TblDetalle[[#This Row],[MontoBrutoProm_Mes]]/TblDetalle[[#This Row],[UnidadesProm_Mes]])*TblDetalle[[#This Row],[Unidades]]</f>
        <v>919.03001200480207</v>
      </c>
      <c r="H73" s="8">
        <v>8.33</v>
      </c>
      <c r="I73" s="9">
        <v>1275.92</v>
      </c>
      <c r="J73">
        <f>+TblDetalle[[#This Row],[Monto A Rebajhar]]/TblDetalle[[#This Row],[MontoBrutoProm_Mes]]</f>
        <v>0.72028811524609848</v>
      </c>
    </row>
    <row r="74" spans="1:10" x14ac:dyDescent="0.3">
      <c r="A74" s="7">
        <v>11</v>
      </c>
      <c r="B74" s="7" t="s">
        <v>271</v>
      </c>
      <c r="C74" s="7">
        <v>800793</v>
      </c>
      <c r="D74" s="7" t="s">
        <v>260</v>
      </c>
      <c r="E74" s="7" t="s">
        <v>243</v>
      </c>
      <c r="F74" s="7">
        <f t="shared" si="0"/>
        <v>1</v>
      </c>
      <c r="G74" s="16">
        <f>+(TblDetalle[[#This Row],[MontoBrutoProm_Mes]]/TblDetalle[[#This Row],[UnidadesProm_Mes]])*TblDetalle[[#This Row],[Unidades]]</f>
        <v>159.11976047904193</v>
      </c>
      <c r="H74" s="8">
        <v>1.67</v>
      </c>
      <c r="I74" s="9">
        <v>265.73</v>
      </c>
      <c r="J74">
        <f>+TblDetalle[[#This Row],[Monto A Rebajhar]]/TblDetalle[[#This Row],[MontoBrutoProm_Mes]]</f>
        <v>0.5988023952095809</v>
      </c>
    </row>
    <row r="75" spans="1:10" x14ac:dyDescent="0.3">
      <c r="A75" s="7">
        <v>11</v>
      </c>
      <c r="B75" s="7" t="s">
        <v>271</v>
      </c>
      <c r="C75" s="7">
        <v>800796</v>
      </c>
      <c r="D75" s="7" t="s">
        <v>276</v>
      </c>
      <c r="E75" s="7" t="s">
        <v>243</v>
      </c>
      <c r="F75" s="7">
        <f t="shared" si="0"/>
        <v>1</v>
      </c>
      <c r="G75" s="16">
        <f>+(TblDetalle[[#This Row],[MontoBrutoProm_Mes]]/TblDetalle[[#This Row],[UnidadesProm_Mes]])*TblDetalle[[#This Row],[Unidades]]</f>
        <v>161.42105263157893</v>
      </c>
      <c r="H75" s="8">
        <v>1.33</v>
      </c>
      <c r="I75" s="9">
        <v>214.69</v>
      </c>
      <c r="J75">
        <f>+TblDetalle[[#This Row],[Monto A Rebajhar]]/TblDetalle[[#This Row],[MontoBrutoProm_Mes]]</f>
        <v>0.75187969924812026</v>
      </c>
    </row>
    <row r="76" spans="1:10" x14ac:dyDescent="0.3">
      <c r="A76" s="7">
        <v>11</v>
      </c>
      <c r="B76" s="7" t="s">
        <v>271</v>
      </c>
      <c r="C76" s="7">
        <v>924104</v>
      </c>
      <c r="D76" s="7" t="s">
        <v>277</v>
      </c>
      <c r="E76" s="7" t="s">
        <v>215</v>
      </c>
      <c r="F76" s="7">
        <f t="shared" si="0"/>
        <v>3</v>
      </c>
      <c r="G76" s="16">
        <f>+(TblDetalle[[#This Row],[MontoBrutoProm_Mes]]/TblDetalle[[#This Row],[UnidadesProm_Mes]])*TblDetalle[[#This Row],[Unidades]]</f>
        <v>0.03</v>
      </c>
      <c r="H76" s="8">
        <v>4</v>
      </c>
      <c r="I76" s="9">
        <v>0.04</v>
      </c>
      <c r="J76">
        <f>+TblDetalle[[#This Row],[Monto A Rebajhar]]/TblDetalle[[#This Row],[MontoBrutoProm_Mes]]</f>
        <v>0.75</v>
      </c>
    </row>
    <row r="77" spans="1:10" x14ac:dyDescent="0.3">
      <c r="A77" s="7">
        <v>11</v>
      </c>
      <c r="B77" s="7" t="s">
        <v>271</v>
      </c>
      <c r="C77" s="7">
        <v>925050</v>
      </c>
      <c r="D77" s="7" t="s">
        <v>261</v>
      </c>
      <c r="E77" s="7" t="s">
        <v>220</v>
      </c>
      <c r="F77" s="7">
        <f t="shared" si="0"/>
        <v>38</v>
      </c>
      <c r="G77" s="16">
        <f>+(TblDetalle[[#This Row],[MontoBrutoProm_Mes]]/TblDetalle[[#This Row],[UnidadesProm_Mes]])*TblDetalle[[#This Row],[Unidades]]</f>
        <v>2936.64</v>
      </c>
      <c r="H77" s="8">
        <v>48</v>
      </c>
      <c r="I77" s="9">
        <v>3709.44</v>
      </c>
      <c r="J77">
        <f>+TblDetalle[[#This Row],[Monto A Rebajhar]]/TblDetalle[[#This Row],[MontoBrutoProm_Mes]]</f>
        <v>0.79166666666666663</v>
      </c>
    </row>
    <row r="78" spans="1:10" x14ac:dyDescent="0.3">
      <c r="A78" s="7">
        <v>11</v>
      </c>
      <c r="B78" s="7" t="s">
        <v>271</v>
      </c>
      <c r="C78" s="7">
        <v>925059</v>
      </c>
      <c r="D78" s="7" t="s">
        <v>262</v>
      </c>
      <c r="E78" s="7" t="s">
        <v>220</v>
      </c>
      <c r="F78" s="7">
        <f t="shared" si="0"/>
        <v>2</v>
      </c>
      <c r="G78" s="16">
        <f>+(TblDetalle[[#This Row],[MontoBrutoProm_Mes]]/TblDetalle[[#This Row],[UnidadesProm_Mes]])*TblDetalle[[#This Row],[Unidades]]</f>
        <v>1.8018018018018018E-2</v>
      </c>
      <c r="H78" s="8">
        <v>3.33</v>
      </c>
      <c r="I78" s="9">
        <v>0.03</v>
      </c>
      <c r="J78">
        <f>+TblDetalle[[#This Row],[Monto A Rebajhar]]/TblDetalle[[#This Row],[MontoBrutoProm_Mes]]</f>
        <v>0.60060060060060061</v>
      </c>
    </row>
    <row r="79" spans="1:10" x14ac:dyDescent="0.3">
      <c r="A79" s="7">
        <v>11</v>
      </c>
      <c r="B79" s="7" t="s">
        <v>271</v>
      </c>
      <c r="C79" s="7">
        <v>925064</v>
      </c>
      <c r="D79" s="7" t="s">
        <v>263</v>
      </c>
      <c r="E79" s="7" t="s">
        <v>220</v>
      </c>
      <c r="F79" s="7">
        <f t="shared" si="0"/>
        <v>26</v>
      </c>
      <c r="G79" s="16">
        <f>+(TblDetalle[[#This Row],[MontoBrutoProm_Mes]]/TblDetalle[[#This Row],[UnidadesProm_Mes]])*TblDetalle[[#This Row],[Unidades]]</f>
        <v>854.44284428442836</v>
      </c>
      <c r="H79" s="8">
        <v>33.33</v>
      </c>
      <c r="I79" s="9">
        <v>1095.33</v>
      </c>
      <c r="J79">
        <f>+TblDetalle[[#This Row],[Monto A Rebajhar]]/TblDetalle[[#This Row],[MontoBrutoProm_Mes]]</f>
        <v>0.78007800780078007</v>
      </c>
    </row>
    <row r="80" spans="1:10" x14ac:dyDescent="0.3">
      <c r="A80" s="7">
        <v>11</v>
      </c>
      <c r="B80" s="7" t="s">
        <v>271</v>
      </c>
      <c r="C80" s="7">
        <v>925076</v>
      </c>
      <c r="D80" s="7" t="s">
        <v>278</v>
      </c>
      <c r="E80" s="7" t="s">
        <v>220</v>
      </c>
      <c r="F80" s="7">
        <f t="shared" si="0"/>
        <v>25</v>
      </c>
      <c r="G80" s="16">
        <f>+(TblDetalle[[#This Row],[MontoBrutoProm_Mes]]/TblDetalle[[#This Row],[UnidadesProm_Mes]])*TblDetalle[[#This Row],[Unidades]]</f>
        <v>1043.75</v>
      </c>
      <c r="H80" s="8">
        <v>32</v>
      </c>
      <c r="I80" s="9">
        <v>1336</v>
      </c>
      <c r="J80">
        <f>+TblDetalle[[#This Row],[Monto A Rebajhar]]/TblDetalle[[#This Row],[MontoBrutoProm_Mes]]</f>
        <v>0.78125</v>
      </c>
    </row>
    <row r="81" spans="1:10" x14ac:dyDescent="0.3">
      <c r="A81" s="7">
        <v>11</v>
      </c>
      <c r="B81" s="7" t="s">
        <v>271</v>
      </c>
      <c r="C81" s="7">
        <v>925079</v>
      </c>
      <c r="D81" s="7" t="s">
        <v>279</v>
      </c>
      <c r="E81" s="7" t="s">
        <v>220</v>
      </c>
      <c r="F81" s="7">
        <f t="shared" si="0"/>
        <v>3</v>
      </c>
      <c r="G81" s="16">
        <f>+(TblDetalle[[#This Row],[MontoBrutoProm_Mes]]/TblDetalle[[#This Row],[UnidadesProm_Mes]])*TblDetalle[[#This Row],[Unidades]]</f>
        <v>221.01</v>
      </c>
      <c r="H81" s="8">
        <v>4</v>
      </c>
      <c r="I81" s="9">
        <v>294.68</v>
      </c>
      <c r="J81">
        <f>+TblDetalle[[#This Row],[Monto A Rebajhar]]/TblDetalle[[#This Row],[MontoBrutoProm_Mes]]</f>
        <v>0.75</v>
      </c>
    </row>
    <row r="82" spans="1:10" x14ac:dyDescent="0.3">
      <c r="A82" s="7">
        <v>11</v>
      </c>
      <c r="B82" s="7" t="s">
        <v>271</v>
      </c>
      <c r="C82" s="7">
        <v>925095</v>
      </c>
      <c r="D82" s="7" t="s">
        <v>280</v>
      </c>
      <c r="E82" s="7" t="s">
        <v>220</v>
      </c>
      <c r="F82" s="7">
        <f t="shared" si="0"/>
        <v>3</v>
      </c>
      <c r="G82" s="16">
        <f>+(TblDetalle[[#This Row],[MontoBrutoProm_Mes]]/TblDetalle[[#This Row],[UnidadesProm_Mes]])*TblDetalle[[#This Row],[Unidades]]</f>
        <v>145.56</v>
      </c>
      <c r="H82" s="8">
        <v>4</v>
      </c>
      <c r="I82" s="9">
        <v>194.08</v>
      </c>
      <c r="J82">
        <f>+TblDetalle[[#This Row],[Monto A Rebajhar]]/TblDetalle[[#This Row],[MontoBrutoProm_Mes]]</f>
        <v>0.75</v>
      </c>
    </row>
    <row r="83" spans="1:10" x14ac:dyDescent="0.3">
      <c r="A83" s="7">
        <v>11</v>
      </c>
      <c r="B83" s="7" t="s">
        <v>271</v>
      </c>
      <c r="C83" s="7">
        <v>930025</v>
      </c>
      <c r="D83" s="7" t="s">
        <v>244</v>
      </c>
      <c r="E83" s="7" t="s">
        <v>243</v>
      </c>
      <c r="F83" s="7">
        <f t="shared" si="0"/>
        <v>8</v>
      </c>
      <c r="G83" s="16">
        <f>+(TblDetalle[[#This Row],[MontoBrutoProm_Mes]]/TblDetalle[[#This Row],[UnidadesProm_Mes]])*TblDetalle[[#This Row],[Unidades]]</f>
        <v>465.432720232333</v>
      </c>
      <c r="H83" s="8">
        <v>10.33</v>
      </c>
      <c r="I83" s="9">
        <v>600.99</v>
      </c>
      <c r="J83">
        <f>+TblDetalle[[#This Row],[Monto A Rebajhar]]/TblDetalle[[#This Row],[MontoBrutoProm_Mes]]</f>
        <v>0.77444336882865439</v>
      </c>
    </row>
    <row r="84" spans="1:10" x14ac:dyDescent="0.3">
      <c r="A84" s="7">
        <v>11</v>
      </c>
      <c r="B84" s="7" t="s">
        <v>271</v>
      </c>
      <c r="C84" s="7">
        <v>930039</v>
      </c>
      <c r="D84" s="7" t="s">
        <v>281</v>
      </c>
      <c r="E84" s="7" t="s">
        <v>243</v>
      </c>
      <c r="F84" s="7">
        <f t="shared" si="0"/>
        <v>4</v>
      </c>
      <c r="G84" s="16">
        <f>+(TblDetalle[[#This Row],[MontoBrutoProm_Mes]]/TblDetalle[[#This Row],[UnidadesProm_Mes]])*TblDetalle[[#This Row],[Unidades]]</f>
        <v>414.29643527204502</v>
      </c>
      <c r="H84" s="8">
        <v>5.33</v>
      </c>
      <c r="I84" s="9">
        <v>552.04999999999995</v>
      </c>
      <c r="J84">
        <f>+TblDetalle[[#This Row],[Monto A Rebajhar]]/TblDetalle[[#This Row],[MontoBrutoProm_Mes]]</f>
        <v>0.75046904315197005</v>
      </c>
    </row>
    <row r="85" spans="1:10" x14ac:dyDescent="0.3">
      <c r="A85" s="7">
        <v>11</v>
      </c>
      <c r="B85" s="7" t="s">
        <v>271</v>
      </c>
      <c r="C85" s="7">
        <v>930153</v>
      </c>
      <c r="D85" s="7" t="s">
        <v>282</v>
      </c>
      <c r="E85" s="7" t="s">
        <v>243</v>
      </c>
      <c r="F85" s="7">
        <f t="shared" si="0"/>
        <v>0</v>
      </c>
      <c r="G85" s="16">
        <f>+(TblDetalle[[#This Row],[MontoBrutoProm_Mes]]/TblDetalle[[#This Row],[UnidadesProm_Mes]])*TblDetalle[[#This Row],[Unidades]]</f>
        <v>0</v>
      </c>
      <c r="H85" s="8">
        <v>0.33</v>
      </c>
      <c r="I85" s="9">
        <v>51.04</v>
      </c>
      <c r="J85">
        <f>+TblDetalle[[#This Row],[Monto A Rebajhar]]/TblDetalle[[#This Row],[MontoBrutoProm_Mes]]</f>
        <v>0</v>
      </c>
    </row>
    <row r="86" spans="1:10" x14ac:dyDescent="0.3">
      <c r="A86" s="7">
        <v>11</v>
      </c>
      <c r="B86" s="7" t="s">
        <v>271</v>
      </c>
      <c r="C86" s="7">
        <v>950109</v>
      </c>
      <c r="D86" s="7" t="s">
        <v>283</v>
      </c>
      <c r="E86" s="7" t="s">
        <v>284</v>
      </c>
      <c r="F86" s="7">
        <f t="shared" si="0"/>
        <v>9</v>
      </c>
      <c r="G86" s="16">
        <f>+(TblDetalle[[#This Row],[MontoBrutoProm_Mes]]/TblDetalle[[#This Row],[UnidadesProm_Mes]])*TblDetalle[[#This Row],[Unidades]]</f>
        <v>101.60999999999999</v>
      </c>
      <c r="H86" s="8">
        <v>12</v>
      </c>
      <c r="I86" s="9">
        <v>135.47999999999999</v>
      </c>
      <c r="J86">
        <f>+TblDetalle[[#This Row],[Monto A Rebajhar]]/TblDetalle[[#This Row],[MontoBrutoProm_Mes]]</f>
        <v>0.75</v>
      </c>
    </row>
    <row r="87" spans="1:10" x14ac:dyDescent="0.3">
      <c r="A87" s="7">
        <v>11</v>
      </c>
      <c r="B87" s="7" t="s">
        <v>271</v>
      </c>
      <c r="C87" s="7">
        <v>982005</v>
      </c>
      <c r="D87" s="7" t="s">
        <v>285</v>
      </c>
      <c r="E87" s="7" t="s">
        <v>270</v>
      </c>
      <c r="F87" s="7">
        <f t="shared" si="0"/>
        <v>6</v>
      </c>
      <c r="G87" s="16">
        <f>+(TblDetalle[[#This Row],[MontoBrutoProm_Mes]]/TblDetalle[[#This Row],[UnidadesProm_Mes]])*TblDetalle[[#This Row],[Unidades]]</f>
        <v>922.09908735332465</v>
      </c>
      <c r="H87" s="8">
        <v>7.67</v>
      </c>
      <c r="I87" s="9">
        <v>1178.75</v>
      </c>
      <c r="J87">
        <f>+TblDetalle[[#This Row],[Monto A Rebajhar]]/TblDetalle[[#This Row],[MontoBrutoProm_Mes]]</f>
        <v>0.78226857887874834</v>
      </c>
    </row>
    <row r="88" spans="1:10" x14ac:dyDescent="0.3">
      <c r="A88" s="7">
        <v>14</v>
      </c>
      <c r="B88" s="7" t="s">
        <v>286</v>
      </c>
      <c r="C88" s="7">
        <v>101005</v>
      </c>
      <c r="D88" s="7" t="s">
        <v>232</v>
      </c>
      <c r="E88" s="7" t="s">
        <v>215</v>
      </c>
      <c r="F88" s="7">
        <f t="shared" si="0"/>
        <v>20</v>
      </c>
      <c r="G88" s="16">
        <f>+(TblDetalle[[#This Row],[MontoBrutoProm_Mes]]/TblDetalle[[#This Row],[UnidadesProm_Mes]])*TblDetalle[[#This Row],[Unidades]]</f>
        <v>1534.28</v>
      </c>
      <c r="H88" s="8">
        <v>25</v>
      </c>
      <c r="I88" s="9">
        <v>1917.85</v>
      </c>
      <c r="J88">
        <f>+TblDetalle[[#This Row],[Monto A Rebajhar]]/TblDetalle[[#This Row],[MontoBrutoProm_Mes]]</f>
        <v>0.8</v>
      </c>
    </row>
    <row r="89" spans="1:10" x14ac:dyDescent="0.3">
      <c r="A89" s="7">
        <v>14</v>
      </c>
      <c r="B89" s="7" t="s">
        <v>286</v>
      </c>
      <c r="C89" s="7">
        <v>101026</v>
      </c>
      <c r="D89" s="7" t="s">
        <v>233</v>
      </c>
      <c r="E89" s="7" t="s">
        <v>215</v>
      </c>
      <c r="F89" s="7">
        <f t="shared" si="0"/>
        <v>9</v>
      </c>
      <c r="G89" s="16">
        <f>+(TblDetalle[[#This Row],[MontoBrutoProm_Mes]]/TblDetalle[[#This Row],[UnidadesProm_Mes]])*TblDetalle[[#This Row],[Unidades]]</f>
        <v>297.54000000000002</v>
      </c>
      <c r="H89" s="8">
        <v>12</v>
      </c>
      <c r="I89" s="9">
        <v>396.72</v>
      </c>
      <c r="J89">
        <f>+TblDetalle[[#This Row],[Monto A Rebajhar]]/TblDetalle[[#This Row],[MontoBrutoProm_Mes]]</f>
        <v>0.75</v>
      </c>
    </row>
    <row r="90" spans="1:10" x14ac:dyDescent="0.3">
      <c r="A90" s="7">
        <v>14</v>
      </c>
      <c r="B90" s="7" t="s">
        <v>286</v>
      </c>
      <c r="C90" s="7">
        <v>101027</v>
      </c>
      <c r="D90" s="7" t="s">
        <v>234</v>
      </c>
      <c r="E90" s="7" t="s">
        <v>215</v>
      </c>
      <c r="F90" s="7">
        <f t="shared" si="0"/>
        <v>29</v>
      </c>
      <c r="G90" s="16">
        <f>+(TblDetalle[[#This Row],[MontoBrutoProm_Mes]]/TblDetalle[[#This Row],[UnidadesProm_Mes]])*TblDetalle[[#This Row],[Unidades]]</f>
        <v>2232.4748648648647</v>
      </c>
      <c r="H90" s="8">
        <v>37</v>
      </c>
      <c r="I90" s="9">
        <v>2848.33</v>
      </c>
      <c r="J90">
        <f>+TblDetalle[[#This Row],[Monto A Rebajhar]]/TblDetalle[[#This Row],[MontoBrutoProm_Mes]]</f>
        <v>0.78378378378378377</v>
      </c>
    </row>
    <row r="91" spans="1:10" x14ac:dyDescent="0.3">
      <c r="A91" s="7">
        <v>14</v>
      </c>
      <c r="B91" s="7" t="s">
        <v>286</v>
      </c>
      <c r="C91" s="7">
        <v>101028</v>
      </c>
      <c r="D91" s="7" t="s">
        <v>214</v>
      </c>
      <c r="E91" s="7" t="s">
        <v>215</v>
      </c>
      <c r="F91" s="7">
        <f t="shared" si="0"/>
        <v>32</v>
      </c>
      <c r="G91" s="16">
        <f>+(TblDetalle[[#This Row],[MontoBrutoProm_Mes]]/TblDetalle[[#This Row],[UnidadesProm_Mes]])*TblDetalle[[#This Row],[Unidades]]</f>
        <v>3166.8</v>
      </c>
      <c r="H91" s="8">
        <v>40</v>
      </c>
      <c r="I91" s="9">
        <v>3958.5</v>
      </c>
      <c r="J91">
        <f>+TblDetalle[[#This Row],[Monto A Rebajhar]]/TblDetalle[[#This Row],[MontoBrutoProm_Mes]]</f>
        <v>0.8</v>
      </c>
    </row>
    <row r="92" spans="1:10" x14ac:dyDescent="0.3">
      <c r="A92" s="7">
        <v>14</v>
      </c>
      <c r="B92" s="7" t="s">
        <v>286</v>
      </c>
      <c r="C92" s="7">
        <v>101034</v>
      </c>
      <c r="D92" s="7" t="s">
        <v>272</v>
      </c>
      <c r="E92" s="7" t="s">
        <v>215</v>
      </c>
      <c r="F92" s="7">
        <f t="shared" si="0"/>
        <v>0</v>
      </c>
      <c r="G92" s="16">
        <f>+(TblDetalle[[#This Row],[MontoBrutoProm_Mes]]/TblDetalle[[#This Row],[UnidadesProm_Mes]])*TblDetalle[[#This Row],[Unidades]]</f>
        <v>0</v>
      </c>
      <c r="H92" s="8">
        <v>0.67</v>
      </c>
      <c r="I92" s="9">
        <v>155.37</v>
      </c>
      <c r="J92">
        <f>+TblDetalle[[#This Row],[Monto A Rebajhar]]/TblDetalle[[#This Row],[MontoBrutoProm_Mes]]</f>
        <v>0</v>
      </c>
    </row>
    <row r="93" spans="1:10" x14ac:dyDescent="0.3">
      <c r="A93" s="7">
        <v>14</v>
      </c>
      <c r="B93" s="7" t="s">
        <v>286</v>
      </c>
      <c r="C93" s="7">
        <v>101038</v>
      </c>
      <c r="D93" s="7" t="s">
        <v>235</v>
      </c>
      <c r="E93" s="7" t="s">
        <v>215</v>
      </c>
      <c r="F93" s="7">
        <f t="shared" si="0"/>
        <v>8</v>
      </c>
      <c r="G93" s="16">
        <f>+(TblDetalle[[#This Row],[MontoBrutoProm_Mes]]/TblDetalle[[#This Row],[UnidadesProm_Mes]])*TblDetalle[[#This Row],[Unidades]]</f>
        <v>2925.5490909090909</v>
      </c>
      <c r="H93" s="8">
        <v>11</v>
      </c>
      <c r="I93" s="9">
        <v>4022.63</v>
      </c>
      <c r="J93">
        <f>+TblDetalle[[#This Row],[Monto A Rebajhar]]/TblDetalle[[#This Row],[MontoBrutoProm_Mes]]</f>
        <v>0.72727272727272729</v>
      </c>
    </row>
    <row r="94" spans="1:10" x14ac:dyDescent="0.3">
      <c r="A94" s="7">
        <v>14</v>
      </c>
      <c r="B94" s="7" t="s">
        <v>286</v>
      </c>
      <c r="C94" s="7">
        <v>101130</v>
      </c>
      <c r="D94" s="7" t="s">
        <v>247</v>
      </c>
      <c r="E94" s="7" t="s">
        <v>215</v>
      </c>
      <c r="F94" s="7">
        <f t="shared" si="0"/>
        <v>35</v>
      </c>
      <c r="G94" s="16">
        <f>+(TblDetalle[[#This Row],[MontoBrutoProm_Mes]]/TblDetalle[[#This Row],[UnidadesProm_Mes]])*TblDetalle[[#This Row],[Unidades]]</f>
        <v>0.35000000000000003</v>
      </c>
      <c r="H94" s="8">
        <v>44</v>
      </c>
      <c r="I94" s="9">
        <v>0.44</v>
      </c>
      <c r="J94">
        <f>+TblDetalle[[#This Row],[Monto A Rebajhar]]/TblDetalle[[#This Row],[MontoBrutoProm_Mes]]</f>
        <v>0.79545454545454553</v>
      </c>
    </row>
    <row r="95" spans="1:10" x14ac:dyDescent="0.3">
      <c r="A95" s="7">
        <v>14</v>
      </c>
      <c r="B95" s="7" t="s">
        <v>286</v>
      </c>
      <c r="C95" s="7">
        <v>101145</v>
      </c>
      <c r="D95" s="7" t="s">
        <v>275</v>
      </c>
      <c r="E95" s="7" t="s">
        <v>215</v>
      </c>
      <c r="F95" s="7">
        <f t="shared" si="0"/>
        <v>6</v>
      </c>
      <c r="G95" s="16">
        <f>+(TblDetalle[[#This Row],[MontoBrutoProm_Mes]]/TblDetalle[[#This Row],[UnidadesProm_Mes]])*TblDetalle[[#This Row],[Unidades]]</f>
        <v>261.42</v>
      </c>
      <c r="H95" s="8">
        <v>8</v>
      </c>
      <c r="I95" s="9">
        <v>348.56</v>
      </c>
      <c r="J95">
        <f>+TblDetalle[[#This Row],[Monto A Rebajhar]]/TblDetalle[[#This Row],[MontoBrutoProm_Mes]]</f>
        <v>0.75</v>
      </c>
    </row>
    <row r="96" spans="1:10" x14ac:dyDescent="0.3">
      <c r="A96" s="7">
        <v>14</v>
      </c>
      <c r="B96" s="7" t="s">
        <v>286</v>
      </c>
      <c r="C96" s="7">
        <v>103001</v>
      </c>
      <c r="D96" s="7" t="s">
        <v>248</v>
      </c>
      <c r="E96" s="7" t="s">
        <v>215</v>
      </c>
      <c r="F96" s="7">
        <f t="shared" si="0"/>
        <v>165</v>
      </c>
      <c r="G96" s="16">
        <f>+(TblDetalle[[#This Row],[MontoBrutoProm_Mes]]/TblDetalle[[#This Row],[UnidadesProm_Mes]])*TblDetalle[[#This Row],[Unidades]]</f>
        <v>3623.7108695652169</v>
      </c>
      <c r="H96" s="8">
        <v>207</v>
      </c>
      <c r="I96" s="9">
        <v>4546.1099999999997</v>
      </c>
      <c r="J96">
        <f>+TblDetalle[[#This Row],[Monto A Rebajhar]]/TblDetalle[[#This Row],[MontoBrutoProm_Mes]]</f>
        <v>0.79710144927536231</v>
      </c>
    </row>
    <row r="97" spans="1:10" x14ac:dyDescent="0.3">
      <c r="A97" s="7">
        <v>14</v>
      </c>
      <c r="B97" s="7" t="s">
        <v>286</v>
      </c>
      <c r="C97" s="7">
        <v>103202</v>
      </c>
      <c r="D97" s="7" t="s">
        <v>287</v>
      </c>
      <c r="E97" s="7" t="s">
        <v>215</v>
      </c>
      <c r="F97" s="7">
        <f t="shared" si="0"/>
        <v>3</v>
      </c>
      <c r="G97" s="16">
        <f>+(TblDetalle[[#This Row],[MontoBrutoProm_Mes]]/TblDetalle[[#This Row],[UnidadesProm_Mes]])*TblDetalle[[#This Row],[Unidades]]</f>
        <v>293.21999999999997</v>
      </c>
      <c r="H97" s="8">
        <v>4</v>
      </c>
      <c r="I97" s="9">
        <v>390.96</v>
      </c>
      <c r="J97">
        <f>+TblDetalle[[#This Row],[Monto A Rebajhar]]/TblDetalle[[#This Row],[MontoBrutoProm_Mes]]</f>
        <v>0.75</v>
      </c>
    </row>
    <row r="98" spans="1:10" x14ac:dyDescent="0.3">
      <c r="A98" s="7">
        <v>14</v>
      </c>
      <c r="B98" s="7" t="s">
        <v>286</v>
      </c>
      <c r="C98" s="7">
        <v>201001</v>
      </c>
      <c r="D98" s="7" t="s">
        <v>216</v>
      </c>
      <c r="E98" s="7" t="s">
        <v>217</v>
      </c>
      <c r="F98" s="7">
        <f t="shared" si="0"/>
        <v>5</v>
      </c>
      <c r="G98" s="16">
        <f>+(TblDetalle[[#This Row],[MontoBrutoProm_Mes]]/TblDetalle[[#This Row],[UnidadesProm_Mes]])*TblDetalle[[#This Row],[Unidades]]</f>
        <v>1157.6125511596181</v>
      </c>
      <c r="H98" s="8">
        <v>7.33</v>
      </c>
      <c r="I98" s="9">
        <v>1697.06</v>
      </c>
      <c r="J98">
        <f>+TblDetalle[[#This Row],[Monto A Rebajhar]]/TblDetalle[[#This Row],[MontoBrutoProm_Mes]]</f>
        <v>0.68212824010914053</v>
      </c>
    </row>
    <row r="99" spans="1:10" x14ac:dyDescent="0.3">
      <c r="A99" s="7">
        <v>14</v>
      </c>
      <c r="B99" s="7" t="s">
        <v>286</v>
      </c>
      <c r="C99" s="7">
        <v>501000</v>
      </c>
      <c r="D99" s="7" t="s">
        <v>237</v>
      </c>
      <c r="E99" s="7" t="s">
        <v>217</v>
      </c>
      <c r="F99" s="7">
        <f t="shared" si="0"/>
        <v>16</v>
      </c>
      <c r="G99" s="16">
        <f>+(TblDetalle[[#This Row],[MontoBrutoProm_Mes]]/TblDetalle[[#This Row],[UnidadesProm_Mes]])*TblDetalle[[#This Row],[Unidades]]</f>
        <v>1830.4</v>
      </c>
      <c r="H99" s="8">
        <v>20</v>
      </c>
      <c r="I99" s="9">
        <v>2288</v>
      </c>
      <c r="J99">
        <f>+TblDetalle[[#This Row],[Monto A Rebajhar]]/TblDetalle[[#This Row],[MontoBrutoProm_Mes]]</f>
        <v>0.8</v>
      </c>
    </row>
    <row r="100" spans="1:10" x14ac:dyDescent="0.3">
      <c r="A100" s="7">
        <v>14</v>
      </c>
      <c r="B100" s="7" t="s">
        <v>286</v>
      </c>
      <c r="C100" s="7">
        <v>511005</v>
      </c>
      <c r="D100" s="7" t="s">
        <v>249</v>
      </c>
      <c r="E100" s="7" t="s">
        <v>217</v>
      </c>
      <c r="F100" s="7">
        <f t="shared" si="0"/>
        <v>3</v>
      </c>
      <c r="G100" s="16">
        <f>+(TblDetalle[[#This Row],[MontoBrutoProm_Mes]]/TblDetalle[[#This Row],[UnidadesProm_Mes]])*TblDetalle[[#This Row],[Unidades]]</f>
        <v>193.32</v>
      </c>
      <c r="H100" s="8">
        <v>4</v>
      </c>
      <c r="I100" s="9">
        <v>257.76</v>
      </c>
      <c r="J100">
        <f>+TblDetalle[[#This Row],[Monto A Rebajhar]]/TblDetalle[[#This Row],[MontoBrutoProm_Mes]]</f>
        <v>0.75</v>
      </c>
    </row>
    <row r="101" spans="1:10" x14ac:dyDescent="0.3">
      <c r="A101" s="7">
        <v>14</v>
      </c>
      <c r="B101" s="7" t="s">
        <v>286</v>
      </c>
      <c r="C101" s="7">
        <v>611049</v>
      </c>
      <c r="D101" s="7" t="s">
        <v>251</v>
      </c>
      <c r="E101" s="7" t="s">
        <v>217</v>
      </c>
      <c r="F101" s="7">
        <f t="shared" si="0"/>
        <v>12</v>
      </c>
      <c r="G101" s="16">
        <f>+(TblDetalle[[#This Row],[MontoBrutoProm_Mes]]/TblDetalle[[#This Row],[UnidadesProm_Mes]])*TblDetalle[[#This Row],[Unidades]]</f>
        <v>346.32</v>
      </c>
      <c r="H101" s="8">
        <v>16</v>
      </c>
      <c r="I101" s="9">
        <v>461.76</v>
      </c>
      <c r="J101">
        <f>+TblDetalle[[#This Row],[Monto A Rebajhar]]/TblDetalle[[#This Row],[MontoBrutoProm_Mes]]</f>
        <v>0.75</v>
      </c>
    </row>
    <row r="102" spans="1:10" x14ac:dyDescent="0.3">
      <c r="A102" s="7">
        <v>14</v>
      </c>
      <c r="B102" s="7" t="s">
        <v>286</v>
      </c>
      <c r="C102" s="7">
        <v>611052</v>
      </c>
      <c r="D102" s="7" t="s">
        <v>252</v>
      </c>
      <c r="E102" s="7" t="s">
        <v>217</v>
      </c>
      <c r="F102" s="7">
        <f t="shared" si="0"/>
        <v>6</v>
      </c>
      <c r="G102" s="16">
        <f>+(TblDetalle[[#This Row],[MontoBrutoProm_Mes]]/TblDetalle[[#This Row],[UnidadesProm_Mes]])*TblDetalle[[#This Row],[Unidades]]</f>
        <v>120</v>
      </c>
      <c r="H102" s="8">
        <v>8</v>
      </c>
      <c r="I102" s="9">
        <v>160</v>
      </c>
      <c r="J102">
        <f>+TblDetalle[[#This Row],[Monto A Rebajhar]]/TblDetalle[[#This Row],[MontoBrutoProm_Mes]]</f>
        <v>0.75</v>
      </c>
    </row>
    <row r="103" spans="1:10" x14ac:dyDescent="0.3">
      <c r="A103" s="7">
        <v>14</v>
      </c>
      <c r="B103" s="7" t="s">
        <v>286</v>
      </c>
      <c r="C103" s="7">
        <v>611053</v>
      </c>
      <c r="D103" s="7" t="s">
        <v>253</v>
      </c>
      <c r="E103" s="7" t="s">
        <v>217</v>
      </c>
      <c r="F103" s="7">
        <f t="shared" si="0"/>
        <v>38</v>
      </c>
      <c r="G103" s="16">
        <f>+(TblDetalle[[#This Row],[MontoBrutoProm_Mes]]/TblDetalle[[#This Row],[UnidadesProm_Mes]])*TblDetalle[[#This Row],[Unidades]]</f>
        <v>760</v>
      </c>
      <c r="H103" s="8">
        <v>48</v>
      </c>
      <c r="I103" s="9">
        <v>960</v>
      </c>
      <c r="J103">
        <f>+TblDetalle[[#This Row],[Monto A Rebajhar]]/TblDetalle[[#This Row],[MontoBrutoProm_Mes]]</f>
        <v>0.79166666666666663</v>
      </c>
    </row>
    <row r="104" spans="1:10" x14ac:dyDescent="0.3">
      <c r="A104" s="7">
        <v>14</v>
      </c>
      <c r="B104" s="7" t="s">
        <v>286</v>
      </c>
      <c r="C104" s="7">
        <v>621006</v>
      </c>
      <c r="D104" s="7" t="s">
        <v>288</v>
      </c>
      <c r="E104" s="7" t="s">
        <v>239</v>
      </c>
      <c r="F104" s="7">
        <f t="shared" si="0"/>
        <v>3</v>
      </c>
      <c r="G104" s="16">
        <f>+(TblDetalle[[#This Row],[MontoBrutoProm_Mes]]/TblDetalle[[#This Row],[UnidadesProm_Mes]])*TblDetalle[[#This Row],[Unidades]]</f>
        <v>560.61</v>
      </c>
      <c r="H104" s="8">
        <v>4</v>
      </c>
      <c r="I104" s="9">
        <v>747.48</v>
      </c>
      <c r="J104">
        <f>+TblDetalle[[#This Row],[Monto A Rebajhar]]/TblDetalle[[#This Row],[MontoBrutoProm_Mes]]</f>
        <v>0.75</v>
      </c>
    </row>
    <row r="105" spans="1:10" x14ac:dyDescent="0.3">
      <c r="A105" s="7">
        <v>14</v>
      </c>
      <c r="B105" s="7" t="s">
        <v>286</v>
      </c>
      <c r="C105" s="7">
        <v>621008</v>
      </c>
      <c r="D105" s="7" t="s">
        <v>289</v>
      </c>
      <c r="E105" s="7" t="s">
        <v>239</v>
      </c>
      <c r="F105" s="7">
        <f t="shared" si="0"/>
        <v>3</v>
      </c>
      <c r="G105" s="16">
        <f>+(TblDetalle[[#This Row],[MontoBrutoProm_Mes]]/TblDetalle[[#This Row],[UnidadesProm_Mes]])*TblDetalle[[#This Row],[Unidades]]</f>
        <v>560.61</v>
      </c>
      <c r="H105" s="8">
        <v>4</v>
      </c>
      <c r="I105" s="9">
        <v>747.48</v>
      </c>
      <c r="J105">
        <f>+TblDetalle[[#This Row],[Monto A Rebajhar]]/TblDetalle[[#This Row],[MontoBrutoProm_Mes]]</f>
        <v>0.75</v>
      </c>
    </row>
    <row r="106" spans="1:10" x14ac:dyDescent="0.3">
      <c r="A106" s="7">
        <v>14</v>
      </c>
      <c r="B106" s="7" t="s">
        <v>286</v>
      </c>
      <c r="C106" s="7">
        <v>621045</v>
      </c>
      <c r="D106" s="7" t="s">
        <v>238</v>
      </c>
      <c r="E106" s="7" t="s">
        <v>239</v>
      </c>
      <c r="F106" s="7">
        <f t="shared" si="0"/>
        <v>3</v>
      </c>
      <c r="G106" s="16">
        <f>+(TblDetalle[[#This Row],[MontoBrutoProm_Mes]]/TblDetalle[[#This Row],[UnidadesProm_Mes]])*TblDetalle[[#This Row],[Unidades]]</f>
        <v>485.84999999999997</v>
      </c>
      <c r="H106" s="8">
        <v>4</v>
      </c>
      <c r="I106" s="9">
        <v>647.79999999999995</v>
      </c>
      <c r="J106">
        <f>+TblDetalle[[#This Row],[Monto A Rebajhar]]/TblDetalle[[#This Row],[MontoBrutoProm_Mes]]</f>
        <v>0.75</v>
      </c>
    </row>
    <row r="107" spans="1:10" x14ac:dyDescent="0.3">
      <c r="A107" s="7">
        <v>14</v>
      </c>
      <c r="B107" s="7" t="s">
        <v>286</v>
      </c>
      <c r="C107" s="7">
        <v>800088</v>
      </c>
      <c r="D107" s="7" t="s">
        <v>240</v>
      </c>
      <c r="E107" s="7" t="s">
        <v>215</v>
      </c>
      <c r="F107" s="7">
        <f t="shared" si="0"/>
        <v>4</v>
      </c>
      <c r="G107" s="16">
        <f>+(TblDetalle[[#This Row],[MontoBrutoProm_Mes]]/TblDetalle[[#This Row],[UnidadesProm_Mes]])*TblDetalle[[#This Row],[Unidades]]</f>
        <v>1458.5515947467168</v>
      </c>
      <c r="H107" s="8">
        <v>5.33</v>
      </c>
      <c r="I107" s="9">
        <v>1943.52</v>
      </c>
      <c r="J107">
        <f>+TblDetalle[[#This Row],[Monto A Rebajhar]]/TblDetalle[[#This Row],[MontoBrutoProm_Mes]]</f>
        <v>0.75046904315197005</v>
      </c>
    </row>
    <row r="108" spans="1:10" x14ac:dyDescent="0.3">
      <c r="A108" s="7">
        <v>14</v>
      </c>
      <c r="B108" s="7" t="s">
        <v>286</v>
      </c>
      <c r="C108" s="7">
        <v>800089</v>
      </c>
      <c r="D108" s="7" t="s">
        <v>241</v>
      </c>
      <c r="E108" s="7" t="s">
        <v>215</v>
      </c>
      <c r="F108" s="7">
        <f t="shared" si="0"/>
        <v>4</v>
      </c>
      <c r="G108" s="16">
        <f>+(TblDetalle[[#This Row],[MontoBrutoProm_Mes]]/TblDetalle[[#This Row],[UnidadesProm_Mes]])*TblDetalle[[#This Row],[Unidades]]</f>
        <v>1458.5515947467168</v>
      </c>
      <c r="H108" s="8">
        <v>5.33</v>
      </c>
      <c r="I108" s="9">
        <v>1943.52</v>
      </c>
      <c r="J108">
        <f>+TblDetalle[[#This Row],[Monto A Rebajhar]]/TblDetalle[[#This Row],[MontoBrutoProm_Mes]]</f>
        <v>0.75046904315197005</v>
      </c>
    </row>
    <row r="109" spans="1:10" x14ac:dyDescent="0.3">
      <c r="A109" s="7">
        <v>14</v>
      </c>
      <c r="B109" s="7" t="s">
        <v>286</v>
      </c>
      <c r="C109" s="7">
        <v>925050</v>
      </c>
      <c r="D109" s="7" t="s">
        <v>261</v>
      </c>
      <c r="E109" s="7" t="s">
        <v>220</v>
      </c>
      <c r="F109" s="7">
        <f t="shared" si="0"/>
        <v>6</v>
      </c>
      <c r="G109" s="16">
        <f>+(TblDetalle[[#This Row],[MontoBrutoProm_Mes]]/TblDetalle[[#This Row],[UnidadesProm_Mes]])*TblDetalle[[#This Row],[Unidades]]</f>
        <v>463.68</v>
      </c>
      <c r="H109" s="8">
        <v>8</v>
      </c>
      <c r="I109" s="9">
        <v>618.24</v>
      </c>
      <c r="J109">
        <f>+TblDetalle[[#This Row],[Monto A Rebajhar]]/TblDetalle[[#This Row],[MontoBrutoProm_Mes]]</f>
        <v>0.75</v>
      </c>
    </row>
    <row r="110" spans="1:10" x14ac:dyDescent="0.3">
      <c r="A110" s="7">
        <v>14</v>
      </c>
      <c r="B110" s="7" t="s">
        <v>286</v>
      </c>
      <c r="C110" s="7">
        <v>925059</v>
      </c>
      <c r="D110" s="7" t="s">
        <v>262</v>
      </c>
      <c r="E110" s="7" t="s">
        <v>220</v>
      </c>
      <c r="F110" s="7">
        <f t="shared" si="0"/>
        <v>0</v>
      </c>
      <c r="G110" s="16">
        <f>+(TblDetalle[[#This Row],[MontoBrutoProm_Mes]]/TblDetalle[[#This Row],[UnidadesProm_Mes]])*TblDetalle[[#This Row],[Unidades]]</f>
        <v>0</v>
      </c>
      <c r="H110" s="8">
        <v>0.67</v>
      </c>
      <c r="I110" s="9">
        <v>0.01</v>
      </c>
      <c r="J110">
        <f>+TblDetalle[[#This Row],[Monto A Rebajhar]]/TblDetalle[[#This Row],[MontoBrutoProm_Mes]]</f>
        <v>0</v>
      </c>
    </row>
    <row r="111" spans="1:10" x14ac:dyDescent="0.3">
      <c r="A111" s="7">
        <v>14</v>
      </c>
      <c r="B111" s="7" t="s">
        <v>286</v>
      </c>
      <c r="C111" s="7">
        <v>925064</v>
      </c>
      <c r="D111" s="7" t="s">
        <v>263</v>
      </c>
      <c r="E111" s="7" t="s">
        <v>220</v>
      </c>
      <c r="F111" s="7">
        <f t="shared" si="0"/>
        <v>13</v>
      </c>
      <c r="G111" s="16">
        <f>+(TblDetalle[[#This Row],[MontoBrutoProm_Mes]]/TblDetalle[[#This Row],[UnidadesProm_Mes]])*TblDetalle[[#This Row],[Unidades]]</f>
        <v>446.59328134373112</v>
      </c>
      <c r="H111" s="8">
        <v>16.670000000000002</v>
      </c>
      <c r="I111" s="9">
        <v>572.66999999999996</v>
      </c>
      <c r="J111">
        <f>+TblDetalle[[#This Row],[Monto A Rebajhar]]/TblDetalle[[#This Row],[MontoBrutoProm_Mes]]</f>
        <v>0.77984403119376111</v>
      </c>
    </row>
    <row r="112" spans="1:10" x14ac:dyDescent="0.3">
      <c r="A112" s="7">
        <v>14</v>
      </c>
      <c r="B112" s="7" t="s">
        <v>286</v>
      </c>
      <c r="C112" s="7">
        <v>925079</v>
      </c>
      <c r="D112" s="7" t="s">
        <v>279</v>
      </c>
      <c r="E112" s="7" t="s">
        <v>220</v>
      </c>
      <c r="F112" s="7">
        <f t="shared" si="0"/>
        <v>12</v>
      </c>
      <c r="G112" s="16">
        <f>+(TblDetalle[[#This Row],[MontoBrutoProm_Mes]]/TblDetalle[[#This Row],[UnidadesProm_Mes]])*TblDetalle[[#This Row],[Unidades]]</f>
        <v>884.04</v>
      </c>
      <c r="H112" s="8">
        <v>16</v>
      </c>
      <c r="I112" s="9">
        <v>1178.72</v>
      </c>
      <c r="J112">
        <f>+TblDetalle[[#This Row],[Monto A Rebajhar]]/TblDetalle[[#This Row],[MontoBrutoProm_Mes]]</f>
        <v>0.75</v>
      </c>
    </row>
    <row r="113" spans="1:10" x14ac:dyDescent="0.3">
      <c r="A113" s="7">
        <v>14</v>
      </c>
      <c r="B113" s="7" t="s">
        <v>286</v>
      </c>
      <c r="C113" s="7">
        <v>925105</v>
      </c>
      <c r="D113" s="7" t="s">
        <v>290</v>
      </c>
      <c r="E113" s="7" t="s">
        <v>220</v>
      </c>
      <c r="F113" s="7">
        <f t="shared" si="0"/>
        <v>1</v>
      </c>
      <c r="G113" s="16">
        <f>+(TblDetalle[[#This Row],[MontoBrutoProm_Mes]]/TblDetalle[[#This Row],[UnidadesProm_Mes]])*TblDetalle[[#This Row],[Unidades]]</f>
        <v>7.5187969924812026E-3</v>
      </c>
      <c r="H113" s="8">
        <v>1.33</v>
      </c>
      <c r="I113" s="9">
        <v>0.01</v>
      </c>
      <c r="J113">
        <f>+TblDetalle[[#This Row],[Monto A Rebajhar]]/TblDetalle[[#This Row],[MontoBrutoProm_Mes]]</f>
        <v>0.75187969924812026</v>
      </c>
    </row>
    <row r="114" spans="1:10" x14ac:dyDescent="0.3">
      <c r="A114" s="7">
        <v>14</v>
      </c>
      <c r="B114" s="7" t="s">
        <v>286</v>
      </c>
      <c r="C114" s="7">
        <v>930012</v>
      </c>
      <c r="D114" s="7" t="s">
        <v>264</v>
      </c>
      <c r="E114" s="7" t="s">
        <v>243</v>
      </c>
      <c r="F114" s="7">
        <f t="shared" si="0"/>
        <v>2</v>
      </c>
      <c r="G114" s="16">
        <f>+(TblDetalle[[#This Row],[MontoBrutoProm_Mes]]/TblDetalle[[#This Row],[UnidadesProm_Mes]])*TblDetalle[[#This Row],[Unidades]]</f>
        <v>186.31062670299727</v>
      </c>
      <c r="H114" s="8">
        <v>3.67</v>
      </c>
      <c r="I114" s="9">
        <v>341.88</v>
      </c>
      <c r="J114">
        <f>+TblDetalle[[#This Row],[Monto A Rebajhar]]/TblDetalle[[#This Row],[MontoBrutoProm_Mes]]</f>
        <v>0.54495912806539504</v>
      </c>
    </row>
    <row r="115" spans="1:10" x14ac:dyDescent="0.3">
      <c r="A115" s="7">
        <v>14</v>
      </c>
      <c r="B115" s="7" t="s">
        <v>286</v>
      </c>
      <c r="C115" s="7">
        <v>930025</v>
      </c>
      <c r="D115" s="7" t="s">
        <v>244</v>
      </c>
      <c r="E115" s="7" t="s">
        <v>243</v>
      </c>
      <c r="F115" s="7">
        <f t="shared" si="0"/>
        <v>0</v>
      </c>
      <c r="G115" s="16">
        <f>+(TblDetalle[[#This Row],[MontoBrutoProm_Mes]]/TblDetalle[[#This Row],[UnidadesProm_Mes]])*TblDetalle[[#This Row],[Unidades]]</f>
        <v>0</v>
      </c>
      <c r="H115" s="8">
        <v>0.33</v>
      </c>
      <c r="I115" s="9">
        <v>19.77</v>
      </c>
      <c r="J115">
        <f>+TblDetalle[[#This Row],[Monto A Rebajhar]]/TblDetalle[[#This Row],[MontoBrutoProm_Mes]]</f>
        <v>0</v>
      </c>
    </row>
    <row r="116" spans="1:10" x14ac:dyDescent="0.3">
      <c r="A116" s="7">
        <v>14</v>
      </c>
      <c r="B116" s="7" t="s">
        <v>286</v>
      </c>
      <c r="C116" s="7">
        <v>930154</v>
      </c>
      <c r="D116" s="7" t="s">
        <v>245</v>
      </c>
      <c r="E116" s="7" t="s">
        <v>243</v>
      </c>
      <c r="F116" s="7">
        <f t="shared" si="0"/>
        <v>0</v>
      </c>
      <c r="G116" s="16">
        <f>+(TblDetalle[[#This Row],[MontoBrutoProm_Mes]]/TblDetalle[[#This Row],[UnidadesProm_Mes]])*TblDetalle[[#This Row],[Unidades]]</f>
        <v>0</v>
      </c>
      <c r="H116" s="8">
        <v>0.33</v>
      </c>
      <c r="I116" s="9">
        <v>29.67</v>
      </c>
      <c r="J116">
        <f>+TblDetalle[[#This Row],[Monto A Rebajhar]]/TblDetalle[[#This Row],[MontoBrutoProm_Mes]]</f>
        <v>0</v>
      </c>
    </row>
    <row r="117" spans="1:10" x14ac:dyDescent="0.3">
      <c r="A117" s="7">
        <v>14</v>
      </c>
      <c r="B117" s="7" t="s">
        <v>286</v>
      </c>
      <c r="C117" s="7">
        <v>950102</v>
      </c>
      <c r="D117" s="7" t="s">
        <v>291</v>
      </c>
      <c r="E117" s="7" t="s">
        <v>284</v>
      </c>
      <c r="F117" s="7">
        <f t="shared" si="0"/>
        <v>19</v>
      </c>
      <c r="G117" s="16">
        <f>+(TblDetalle[[#This Row],[MontoBrutoProm_Mes]]/TblDetalle[[#This Row],[UnidadesProm_Mes]])*TblDetalle[[#This Row],[Unidades]]</f>
        <v>750.88000000000011</v>
      </c>
      <c r="H117" s="8">
        <v>24</v>
      </c>
      <c r="I117" s="9">
        <v>948.48</v>
      </c>
      <c r="J117">
        <f>+TblDetalle[[#This Row],[Monto A Rebajhar]]/TblDetalle[[#This Row],[MontoBrutoProm_Mes]]</f>
        <v>0.79166666666666674</v>
      </c>
    </row>
    <row r="118" spans="1:10" x14ac:dyDescent="0.3">
      <c r="A118" s="7">
        <v>14</v>
      </c>
      <c r="B118" s="7" t="s">
        <v>286</v>
      </c>
      <c r="C118" s="7">
        <v>982003</v>
      </c>
      <c r="D118" s="7" t="s">
        <v>269</v>
      </c>
      <c r="E118" s="7" t="s">
        <v>270</v>
      </c>
      <c r="F118" s="7">
        <f t="shared" ref="F118:F181" si="1">+ROUNDDOWN(H118*0.8,0)</f>
        <v>6</v>
      </c>
      <c r="G118" s="16">
        <f>+(TblDetalle[[#This Row],[MontoBrutoProm_Mes]]/TblDetalle[[#This Row],[UnidadesProm_Mes]])*TblDetalle[[#This Row],[Unidades]]</f>
        <v>1560.6266506602642</v>
      </c>
      <c r="H118" s="8">
        <v>8.33</v>
      </c>
      <c r="I118" s="9">
        <v>2166.67</v>
      </c>
      <c r="J118">
        <f>+TblDetalle[[#This Row],[Monto A Rebajhar]]/TblDetalle[[#This Row],[MontoBrutoProm_Mes]]</f>
        <v>0.72028811524609848</v>
      </c>
    </row>
    <row r="119" spans="1:10" x14ac:dyDescent="0.3">
      <c r="A119" s="7">
        <v>18</v>
      </c>
      <c r="B119" s="7" t="s">
        <v>292</v>
      </c>
      <c r="C119" s="7">
        <v>101028</v>
      </c>
      <c r="D119" s="7" t="s">
        <v>214</v>
      </c>
      <c r="E119" s="7" t="s">
        <v>215</v>
      </c>
      <c r="F119" s="7">
        <f t="shared" si="1"/>
        <v>9</v>
      </c>
      <c r="G119" s="16">
        <f>+(TblDetalle[[#This Row],[MontoBrutoProm_Mes]]/TblDetalle[[#This Row],[UnidadesProm_Mes]])*TblDetalle[[#This Row],[Unidades]]</f>
        <v>888.97499999999991</v>
      </c>
      <c r="H119" s="8">
        <v>12</v>
      </c>
      <c r="I119" s="9">
        <v>1185.3</v>
      </c>
      <c r="J119">
        <f>+TblDetalle[[#This Row],[Monto A Rebajhar]]/TblDetalle[[#This Row],[MontoBrutoProm_Mes]]</f>
        <v>0.75</v>
      </c>
    </row>
    <row r="120" spans="1:10" x14ac:dyDescent="0.3">
      <c r="A120" s="7">
        <v>18</v>
      </c>
      <c r="B120" s="7" t="s">
        <v>292</v>
      </c>
      <c r="C120" s="7">
        <v>101038</v>
      </c>
      <c r="D120" s="7" t="s">
        <v>235</v>
      </c>
      <c r="E120" s="7" t="s">
        <v>215</v>
      </c>
      <c r="F120" s="7">
        <f t="shared" si="1"/>
        <v>20</v>
      </c>
      <c r="G120" s="16">
        <f>+(TblDetalle[[#This Row],[MontoBrutoProm_Mes]]/TblDetalle[[#This Row],[UnidadesProm_Mes]])*TblDetalle[[#This Row],[Unidades]]</f>
        <v>7320.2571094663017</v>
      </c>
      <c r="H120" s="8">
        <v>25.67</v>
      </c>
      <c r="I120" s="9">
        <v>9395.5499999999993</v>
      </c>
      <c r="J120">
        <f>+TblDetalle[[#This Row],[Monto A Rebajhar]]/TblDetalle[[#This Row],[MontoBrutoProm_Mes]]</f>
        <v>0.77911959485781057</v>
      </c>
    </row>
    <row r="121" spans="1:10" x14ac:dyDescent="0.3">
      <c r="A121" s="7">
        <v>18</v>
      </c>
      <c r="B121" s="7" t="s">
        <v>292</v>
      </c>
      <c r="C121" s="7">
        <v>101130</v>
      </c>
      <c r="D121" s="7" t="s">
        <v>247</v>
      </c>
      <c r="E121" s="7" t="s">
        <v>215</v>
      </c>
      <c r="F121" s="7">
        <f t="shared" si="1"/>
        <v>4</v>
      </c>
      <c r="G121" s="16">
        <f>+(TblDetalle[[#This Row],[MontoBrutoProm_Mes]]/TblDetalle[[#This Row],[UnidadesProm_Mes]])*TblDetalle[[#This Row],[Unidades]]</f>
        <v>3.7523452157598502E-2</v>
      </c>
      <c r="H121" s="8">
        <v>5.33</v>
      </c>
      <c r="I121" s="9">
        <v>0.05</v>
      </c>
      <c r="J121">
        <f>+TblDetalle[[#This Row],[Monto A Rebajhar]]/TblDetalle[[#This Row],[MontoBrutoProm_Mes]]</f>
        <v>0.75046904315197005</v>
      </c>
    </row>
    <row r="122" spans="1:10" x14ac:dyDescent="0.3">
      <c r="A122" s="7">
        <v>18</v>
      </c>
      <c r="B122" s="7" t="s">
        <v>292</v>
      </c>
      <c r="C122" s="7">
        <v>103001</v>
      </c>
      <c r="D122" s="7" t="s">
        <v>248</v>
      </c>
      <c r="E122" s="7" t="s">
        <v>215</v>
      </c>
      <c r="F122" s="7">
        <f t="shared" si="1"/>
        <v>44</v>
      </c>
      <c r="G122" s="16">
        <f>+(TblDetalle[[#This Row],[MontoBrutoProm_Mes]]/TblDetalle[[#This Row],[UnidadesProm_Mes]])*TblDetalle[[#This Row],[Unidades]]</f>
        <v>939.84000000000015</v>
      </c>
      <c r="H122" s="8">
        <v>56</v>
      </c>
      <c r="I122" s="9">
        <v>1196.1600000000001</v>
      </c>
      <c r="J122">
        <f>+TblDetalle[[#This Row],[Monto A Rebajhar]]/TblDetalle[[#This Row],[MontoBrutoProm_Mes]]</f>
        <v>0.78571428571428581</v>
      </c>
    </row>
    <row r="123" spans="1:10" x14ac:dyDescent="0.3">
      <c r="A123" s="7">
        <v>18</v>
      </c>
      <c r="B123" s="7" t="s">
        <v>292</v>
      </c>
      <c r="C123" s="7">
        <v>201001</v>
      </c>
      <c r="D123" s="7" t="s">
        <v>216</v>
      </c>
      <c r="E123" s="7" t="s">
        <v>217</v>
      </c>
      <c r="F123" s="7">
        <f t="shared" si="1"/>
        <v>144</v>
      </c>
      <c r="G123" s="16">
        <f>+(TblDetalle[[#This Row],[MontoBrutoProm_Mes]]/TblDetalle[[#This Row],[UnidadesProm_Mes]])*TblDetalle[[#This Row],[Unidades]]</f>
        <v>31969.804691399098</v>
      </c>
      <c r="H123" s="8">
        <v>180.33</v>
      </c>
      <c r="I123" s="9">
        <v>40035.519999999997</v>
      </c>
      <c r="J123">
        <f>+TblDetalle[[#This Row],[Monto A Rebajhar]]/TblDetalle[[#This Row],[MontoBrutoProm_Mes]]</f>
        <v>0.79853601730161372</v>
      </c>
    </row>
    <row r="124" spans="1:10" x14ac:dyDescent="0.3">
      <c r="A124" s="7">
        <v>18</v>
      </c>
      <c r="B124" s="7" t="s">
        <v>292</v>
      </c>
      <c r="C124" s="7">
        <v>501000</v>
      </c>
      <c r="D124" s="7" t="s">
        <v>237</v>
      </c>
      <c r="E124" s="7" t="s">
        <v>217</v>
      </c>
      <c r="F124" s="7">
        <f t="shared" si="1"/>
        <v>32</v>
      </c>
      <c r="G124" s="16">
        <f>+(TblDetalle[[#This Row],[MontoBrutoProm_Mes]]/TblDetalle[[#This Row],[UnidadesProm_Mes]])*TblDetalle[[#This Row],[Unidades]]</f>
        <v>3660.8</v>
      </c>
      <c r="H124" s="8">
        <v>40</v>
      </c>
      <c r="I124" s="9">
        <v>4576</v>
      </c>
      <c r="J124">
        <f>+TblDetalle[[#This Row],[Monto A Rebajhar]]/TblDetalle[[#This Row],[MontoBrutoProm_Mes]]</f>
        <v>0.8</v>
      </c>
    </row>
    <row r="125" spans="1:10" x14ac:dyDescent="0.3">
      <c r="A125" s="7">
        <v>18</v>
      </c>
      <c r="B125" s="7" t="s">
        <v>292</v>
      </c>
      <c r="C125" s="7">
        <v>611053</v>
      </c>
      <c r="D125" s="7" t="s">
        <v>253</v>
      </c>
      <c r="E125" s="7" t="s">
        <v>217</v>
      </c>
      <c r="F125" s="7">
        <f t="shared" si="1"/>
        <v>3</v>
      </c>
      <c r="G125" s="16">
        <f>+(TblDetalle[[#This Row],[MontoBrutoProm_Mes]]/TblDetalle[[#This Row],[UnidadesProm_Mes]])*TblDetalle[[#This Row],[Unidades]]</f>
        <v>60</v>
      </c>
      <c r="H125" s="8">
        <v>4</v>
      </c>
      <c r="I125" s="9">
        <v>80</v>
      </c>
      <c r="J125">
        <f>+TblDetalle[[#This Row],[Monto A Rebajhar]]/TblDetalle[[#This Row],[MontoBrutoProm_Mes]]</f>
        <v>0.75</v>
      </c>
    </row>
    <row r="126" spans="1:10" x14ac:dyDescent="0.3">
      <c r="A126" s="7">
        <v>18</v>
      </c>
      <c r="B126" s="7" t="s">
        <v>292</v>
      </c>
      <c r="C126" s="7">
        <v>611055</v>
      </c>
      <c r="D126" s="7" t="s">
        <v>254</v>
      </c>
      <c r="E126" s="7" t="s">
        <v>217</v>
      </c>
      <c r="F126" s="7">
        <f t="shared" si="1"/>
        <v>5</v>
      </c>
      <c r="G126" s="16">
        <f>+(TblDetalle[[#This Row],[MontoBrutoProm_Mes]]/TblDetalle[[#This Row],[UnidadesProm_Mes]])*TblDetalle[[#This Row],[Unidades]]</f>
        <v>397.8185907046477</v>
      </c>
      <c r="H126" s="8">
        <v>6.67</v>
      </c>
      <c r="I126" s="9">
        <v>530.69000000000005</v>
      </c>
      <c r="J126">
        <f>+TblDetalle[[#This Row],[Monto A Rebajhar]]/TblDetalle[[#This Row],[MontoBrutoProm_Mes]]</f>
        <v>0.7496251874062968</v>
      </c>
    </row>
    <row r="127" spans="1:10" x14ac:dyDescent="0.3">
      <c r="A127" s="7">
        <v>18</v>
      </c>
      <c r="B127" s="7" t="s">
        <v>292</v>
      </c>
      <c r="C127" s="7">
        <v>611221</v>
      </c>
      <c r="D127" s="7" t="s">
        <v>293</v>
      </c>
      <c r="E127" s="7" t="s">
        <v>294</v>
      </c>
      <c r="F127" s="7">
        <f t="shared" si="1"/>
        <v>0</v>
      </c>
      <c r="G127" s="16">
        <f>+(TblDetalle[[#This Row],[MontoBrutoProm_Mes]]/TblDetalle[[#This Row],[UnidadesProm_Mes]])*TblDetalle[[#This Row],[Unidades]]</f>
        <v>0</v>
      </c>
      <c r="H127" s="8">
        <v>0.67</v>
      </c>
      <c r="I127" s="9">
        <v>129.94999999999999</v>
      </c>
      <c r="J127">
        <f>+TblDetalle[[#This Row],[Monto A Rebajhar]]/TblDetalle[[#This Row],[MontoBrutoProm_Mes]]</f>
        <v>0</v>
      </c>
    </row>
    <row r="128" spans="1:10" x14ac:dyDescent="0.3">
      <c r="A128" s="7">
        <v>18</v>
      </c>
      <c r="B128" s="7" t="s">
        <v>292</v>
      </c>
      <c r="C128" s="7">
        <v>800088</v>
      </c>
      <c r="D128" s="7" t="s">
        <v>240</v>
      </c>
      <c r="E128" s="7" t="s">
        <v>215</v>
      </c>
      <c r="F128" s="7">
        <f t="shared" si="1"/>
        <v>20</v>
      </c>
      <c r="G128" s="16">
        <f>+(TblDetalle[[#This Row],[MontoBrutoProm_Mes]]/TblDetalle[[#This Row],[UnidadesProm_Mes]])*TblDetalle[[#This Row],[Unidades]]</f>
        <v>7287.2536034281256</v>
      </c>
      <c r="H128" s="8">
        <v>25.67</v>
      </c>
      <c r="I128" s="9">
        <v>9353.19</v>
      </c>
      <c r="J128">
        <f>+TblDetalle[[#This Row],[Monto A Rebajhar]]/TblDetalle[[#This Row],[MontoBrutoProm_Mes]]</f>
        <v>0.77911959485781057</v>
      </c>
    </row>
    <row r="129" spans="1:10" x14ac:dyDescent="0.3">
      <c r="A129" s="7">
        <v>18</v>
      </c>
      <c r="B129" s="7" t="s">
        <v>292</v>
      </c>
      <c r="C129" s="7">
        <v>800089</v>
      </c>
      <c r="D129" s="7" t="s">
        <v>241</v>
      </c>
      <c r="E129" s="7" t="s">
        <v>215</v>
      </c>
      <c r="F129" s="7">
        <f t="shared" si="1"/>
        <v>6</v>
      </c>
      <c r="G129" s="16">
        <f>+(TblDetalle[[#This Row],[MontoBrutoProm_Mes]]/TblDetalle[[#This Row],[UnidadesProm_Mes]])*TblDetalle[[#This Row],[Unidades]]</f>
        <v>2212.0130378096478</v>
      </c>
      <c r="H129" s="8">
        <v>7.67</v>
      </c>
      <c r="I129" s="9">
        <v>2827.69</v>
      </c>
      <c r="J129">
        <f>+TblDetalle[[#This Row],[Monto A Rebajhar]]/TblDetalle[[#This Row],[MontoBrutoProm_Mes]]</f>
        <v>0.78226857887874834</v>
      </c>
    </row>
    <row r="130" spans="1:10" x14ac:dyDescent="0.3">
      <c r="A130" s="7">
        <v>18</v>
      </c>
      <c r="B130" s="7" t="s">
        <v>292</v>
      </c>
      <c r="C130" s="7">
        <v>800791</v>
      </c>
      <c r="D130" s="7" t="s">
        <v>259</v>
      </c>
      <c r="E130" s="7" t="s">
        <v>243</v>
      </c>
      <c r="F130" s="7">
        <f t="shared" si="1"/>
        <v>1</v>
      </c>
      <c r="G130" s="16">
        <f>+(TblDetalle[[#This Row],[MontoBrutoProm_Mes]]/TblDetalle[[#This Row],[UnidadesProm_Mes]])*TblDetalle[[#This Row],[Unidades]]</f>
        <v>155.96407185628743</v>
      </c>
      <c r="H130" s="8">
        <v>1.67</v>
      </c>
      <c r="I130" s="9">
        <v>260.45999999999998</v>
      </c>
      <c r="J130">
        <f>+TblDetalle[[#This Row],[Monto A Rebajhar]]/TblDetalle[[#This Row],[MontoBrutoProm_Mes]]</f>
        <v>0.5988023952095809</v>
      </c>
    </row>
    <row r="131" spans="1:10" x14ac:dyDescent="0.3">
      <c r="A131" s="7">
        <v>18</v>
      </c>
      <c r="B131" s="7" t="s">
        <v>292</v>
      </c>
      <c r="C131" s="7">
        <v>800793</v>
      </c>
      <c r="D131" s="7" t="s">
        <v>260</v>
      </c>
      <c r="E131" s="7" t="s">
        <v>243</v>
      </c>
      <c r="F131" s="7">
        <f t="shared" si="1"/>
        <v>0</v>
      </c>
      <c r="G131" s="16">
        <f>+(TblDetalle[[#This Row],[MontoBrutoProm_Mes]]/TblDetalle[[#This Row],[UnidadesProm_Mes]])*TblDetalle[[#This Row],[Unidades]]</f>
        <v>0</v>
      </c>
      <c r="H131" s="8">
        <v>0.67</v>
      </c>
      <c r="I131" s="9">
        <v>107.35</v>
      </c>
      <c r="J131">
        <f>+TblDetalle[[#This Row],[Monto A Rebajhar]]/TblDetalle[[#This Row],[MontoBrutoProm_Mes]]</f>
        <v>0</v>
      </c>
    </row>
    <row r="132" spans="1:10" x14ac:dyDescent="0.3">
      <c r="A132" s="7">
        <v>18</v>
      </c>
      <c r="B132" s="7" t="s">
        <v>292</v>
      </c>
      <c r="C132" s="7">
        <v>910103</v>
      </c>
      <c r="D132" s="7" t="s">
        <v>295</v>
      </c>
      <c r="E132" s="7" t="s">
        <v>296</v>
      </c>
      <c r="F132" s="7">
        <f t="shared" si="1"/>
        <v>3</v>
      </c>
      <c r="G132" s="16">
        <f>+(TblDetalle[[#This Row],[MontoBrutoProm_Mes]]/TblDetalle[[#This Row],[UnidadesProm_Mes]])*TblDetalle[[#This Row],[Unidades]]</f>
        <v>86.49</v>
      </c>
      <c r="H132" s="8">
        <v>4</v>
      </c>
      <c r="I132" s="9">
        <v>115.32</v>
      </c>
      <c r="J132">
        <f>+TblDetalle[[#This Row],[Monto A Rebajhar]]/TblDetalle[[#This Row],[MontoBrutoProm_Mes]]</f>
        <v>0.75</v>
      </c>
    </row>
    <row r="133" spans="1:10" x14ac:dyDescent="0.3">
      <c r="A133" s="7">
        <v>18</v>
      </c>
      <c r="B133" s="7" t="s">
        <v>292</v>
      </c>
      <c r="C133" s="7">
        <v>910105</v>
      </c>
      <c r="D133" s="7" t="s">
        <v>297</v>
      </c>
      <c r="E133" s="7" t="s">
        <v>296</v>
      </c>
      <c r="F133" s="7">
        <f t="shared" si="1"/>
        <v>3</v>
      </c>
      <c r="G133" s="16">
        <f>+(TblDetalle[[#This Row],[MontoBrutoProm_Mes]]/TblDetalle[[#This Row],[UnidadesProm_Mes]])*TblDetalle[[#This Row],[Unidades]]</f>
        <v>78.39</v>
      </c>
      <c r="H133" s="8">
        <v>4</v>
      </c>
      <c r="I133" s="9">
        <v>104.52</v>
      </c>
      <c r="J133">
        <f>+TblDetalle[[#This Row],[Monto A Rebajhar]]/TblDetalle[[#This Row],[MontoBrutoProm_Mes]]</f>
        <v>0.75</v>
      </c>
    </row>
    <row r="134" spans="1:10" x14ac:dyDescent="0.3">
      <c r="A134" s="7">
        <v>18</v>
      </c>
      <c r="B134" s="7" t="s">
        <v>292</v>
      </c>
      <c r="C134" s="7">
        <v>925050</v>
      </c>
      <c r="D134" s="7" t="s">
        <v>261</v>
      </c>
      <c r="E134" s="7" t="s">
        <v>220</v>
      </c>
      <c r="F134" s="7">
        <f t="shared" si="1"/>
        <v>6</v>
      </c>
      <c r="G134" s="16">
        <f>+(TblDetalle[[#This Row],[MontoBrutoProm_Mes]]/TblDetalle[[#This Row],[UnidadesProm_Mes]])*TblDetalle[[#This Row],[Unidades]]</f>
        <v>440.70000000000005</v>
      </c>
      <c r="H134" s="8">
        <v>8</v>
      </c>
      <c r="I134" s="9">
        <v>587.6</v>
      </c>
      <c r="J134">
        <f>+TblDetalle[[#This Row],[Monto A Rebajhar]]/TblDetalle[[#This Row],[MontoBrutoProm_Mes]]</f>
        <v>0.75</v>
      </c>
    </row>
    <row r="135" spans="1:10" x14ac:dyDescent="0.3">
      <c r="A135" s="7">
        <v>18</v>
      </c>
      <c r="B135" s="7" t="s">
        <v>292</v>
      </c>
      <c r="C135" s="7">
        <v>925079</v>
      </c>
      <c r="D135" s="7" t="s">
        <v>279</v>
      </c>
      <c r="E135" s="7" t="s">
        <v>220</v>
      </c>
      <c r="F135" s="7">
        <f t="shared" si="1"/>
        <v>12</v>
      </c>
      <c r="G135" s="16">
        <f>+(TblDetalle[[#This Row],[MontoBrutoProm_Mes]]/TblDetalle[[#This Row],[UnidadesProm_Mes]])*TblDetalle[[#This Row],[Unidades]]</f>
        <v>861.48</v>
      </c>
      <c r="H135" s="8">
        <v>16</v>
      </c>
      <c r="I135" s="9">
        <v>1148.6400000000001</v>
      </c>
      <c r="J135">
        <f>+TblDetalle[[#This Row],[Monto A Rebajhar]]/TblDetalle[[#This Row],[MontoBrutoProm_Mes]]</f>
        <v>0.75</v>
      </c>
    </row>
    <row r="136" spans="1:10" x14ac:dyDescent="0.3">
      <c r="A136" s="7">
        <v>18</v>
      </c>
      <c r="B136" s="7" t="s">
        <v>292</v>
      </c>
      <c r="C136" s="7">
        <v>925094</v>
      </c>
      <c r="D136" s="7" t="s">
        <v>298</v>
      </c>
      <c r="E136" s="7" t="s">
        <v>220</v>
      </c>
      <c r="F136" s="7">
        <f t="shared" si="1"/>
        <v>19</v>
      </c>
      <c r="G136" s="16">
        <f>+(TblDetalle[[#This Row],[MontoBrutoProm_Mes]]/TblDetalle[[#This Row],[UnidadesProm_Mes]])*TblDetalle[[#This Row],[Unidades]]</f>
        <v>875.5200000000001</v>
      </c>
      <c r="H136" s="8">
        <v>24</v>
      </c>
      <c r="I136" s="9">
        <v>1105.92</v>
      </c>
      <c r="J136">
        <f>+TblDetalle[[#This Row],[Monto A Rebajhar]]/TblDetalle[[#This Row],[MontoBrutoProm_Mes]]</f>
        <v>0.79166666666666674</v>
      </c>
    </row>
    <row r="137" spans="1:10" x14ac:dyDescent="0.3">
      <c r="A137" s="7">
        <v>18</v>
      </c>
      <c r="B137" s="7" t="s">
        <v>292</v>
      </c>
      <c r="C137" s="7">
        <v>925095</v>
      </c>
      <c r="D137" s="7" t="s">
        <v>280</v>
      </c>
      <c r="E137" s="7" t="s">
        <v>220</v>
      </c>
      <c r="F137" s="7">
        <f t="shared" si="1"/>
        <v>6</v>
      </c>
      <c r="G137" s="16">
        <f>+(TblDetalle[[#This Row],[MontoBrutoProm_Mes]]/TblDetalle[[#This Row],[UnidadesProm_Mes]])*TblDetalle[[#This Row],[Unidades]]</f>
        <v>276.48</v>
      </c>
      <c r="H137" s="8">
        <v>8</v>
      </c>
      <c r="I137" s="9">
        <v>368.64</v>
      </c>
      <c r="J137">
        <f>+TblDetalle[[#This Row],[Monto A Rebajhar]]/TblDetalle[[#This Row],[MontoBrutoProm_Mes]]</f>
        <v>0.75000000000000011</v>
      </c>
    </row>
    <row r="138" spans="1:10" x14ac:dyDescent="0.3">
      <c r="A138" s="7">
        <v>18</v>
      </c>
      <c r="B138" s="7" t="s">
        <v>292</v>
      </c>
      <c r="C138" s="7">
        <v>930012</v>
      </c>
      <c r="D138" s="7" t="s">
        <v>264</v>
      </c>
      <c r="E138" s="7" t="s">
        <v>243</v>
      </c>
      <c r="F138" s="7">
        <f t="shared" si="1"/>
        <v>13</v>
      </c>
      <c r="G138" s="16">
        <f>+(TblDetalle[[#This Row],[MontoBrutoProm_Mes]]/TblDetalle[[#This Row],[UnidadesProm_Mes]])*TblDetalle[[#This Row],[Unidades]]</f>
        <v>1184.4090630740968</v>
      </c>
      <c r="H138" s="8">
        <v>16.329999999999998</v>
      </c>
      <c r="I138" s="9">
        <v>1487.8</v>
      </c>
      <c r="J138">
        <f>+TblDetalle[[#This Row],[Monto A Rebajhar]]/TblDetalle[[#This Row],[MontoBrutoProm_Mes]]</f>
        <v>0.79608083282302522</v>
      </c>
    </row>
    <row r="139" spans="1:10" x14ac:dyDescent="0.3">
      <c r="A139" s="7">
        <v>18</v>
      </c>
      <c r="B139" s="7" t="s">
        <v>292</v>
      </c>
      <c r="C139" s="7">
        <v>930020</v>
      </c>
      <c r="D139" s="7" t="s">
        <v>299</v>
      </c>
      <c r="E139" s="7" t="s">
        <v>243</v>
      </c>
      <c r="F139" s="7">
        <f t="shared" si="1"/>
        <v>0</v>
      </c>
      <c r="G139" s="16">
        <f>+(TblDetalle[[#This Row],[MontoBrutoProm_Mes]]/TblDetalle[[#This Row],[UnidadesProm_Mes]])*TblDetalle[[#This Row],[Unidades]]</f>
        <v>0</v>
      </c>
      <c r="H139" s="8">
        <v>0.33</v>
      </c>
      <c r="I139" s="9">
        <v>30.36</v>
      </c>
      <c r="J139">
        <f>+TblDetalle[[#This Row],[Monto A Rebajhar]]/TblDetalle[[#This Row],[MontoBrutoProm_Mes]]</f>
        <v>0</v>
      </c>
    </row>
    <row r="140" spans="1:10" x14ac:dyDescent="0.3">
      <c r="A140" s="7">
        <v>18</v>
      </c>
      <c r="B140" s="7" t="s">
        <v>292</v>
      </c>
      <c r="C140" s="7">
        <v>930021</v>
      </c>
      <c r="D140" s="7" t="s">
        <v>300</v>
      </c>
      <c r="E140" s="7" t="s">
        <v>243</v>
      </c>
      <c r="F140" s="7">
        <f t="shared" si="1"/>
        <v>8</v>
      </c>
      <c r="G140" s="16">
        <f>+(TblDetalle[[#This Row],[MontoBrutoProm_Mes]]/TblDetalle[[#This Row],[UnidadesProm_Mes]])*TblDetalle[[#This Row],[Unidades]]</f>
        <v>728.72</v>
      </c>
      <c r="H140" s="8">
        <v>11</v>
      </c>
      <c r="I140" s="9">
        <v>1001.99</v>
      </c>
      <c r="J140">
        <f>+TblDetalle[[#This Row],[Monto A Rebajhar]]/TblDetalle[[#This Row],[MontoBrutoProm_Mes]]</f>
        <v>0.72727272727272729</v>
      </c>
    </row>
    <row r="141" spans="1:10" x14ac:dyDescent="0.3">
      <c r="A141" s="7">
        <v>18</v>
      </c>
      <c r="B141" s="7" t="s">
        <v>292</v>
      </c>
      <c r="C141" s="7">
        <v>930022</v>
      </c>
      <c r="D141" s="7" t="s">
        <v>265</v>
      </c>
      <c r="E141" s="7" t="s">
        <v>243</v>
      </c>
      <c r="F141" s="7">
        <f t="shared" si="1"/>
        <v>21</v>
      </c>
      <c r="G141" s="16">
        <f>+(TblDetalle[[#This Row],[MontoBrutoProm_Mes]]/TblDetalle[[#This Row],[UnidadesProm_Mes]])*TblDetalle[[#This Row],[Unidades]]</f>
        <v>1912.8899999999999</v>
      </c>
      <c r="H141" s="8">
        <v>27</v>
      </c>
      <c r="I141" s="9">
        <v>2459.4299999999998</v>
      </c>
      <c r="J141">
        <f>+TblDetalle[[#This Row],[Monto A Rebajhar]]/TblDetalle[[#This Row],[MontoBrutoProm_Mes]]</f>
        <v>0.77777777777777779</v>
      </c>
    </row>
    <row r="142" spans="1:10" x14ac:dyDescent="0.3">
      <c r="A142" s="7">
        <v>18</v>
      </c>
      <c r="B142" s="7" t="s">
        <v>292</v>
      </c>
      <c r="C142" s="7">
        <v>930025</v>
      </c>
      <c r="D142" s="7" t="s">
        <v>244</v>
      </c>
      <c r="E142" s="7" t="s">
        <v>243</v>
      </c>
      <c r="F142" s="7">
        <f t="shared" si="1"/>
        <v>10</v>
      </c>
      <c r="G142" s="16">
        <f>+(TblDetalle[[#This Row],[MontoBrutoProm_Mes]]/TblDetalle[[#This Row],[UnidadesProm_Mes]])*TblDetalle[[#This Row],[Unidades]]</f>
        <v>584.81538461538457</v>
      </c>
      <c r="H142" s="8">
        <v>13</v>
      </c>
      <c r="I142" s="9">
        <v>760.26</v>
      </c>
      <c r="J142">
        <f>+TblDetalle[[#This Row],[Monto A Rebajhar]]/TblDetalle[[#This Row],[MontoBrutoProm_Mes]]</f>
        <v>0.76923076923076916</v>
      </c>
    </row>
    <row r="143" spans="1:10" x14ac:dyDescent="0.3">
      <c r="A143" s="7">
        <v>18</v>
      </c>
      <c r="B143" s="7" t="s">
        <v>292</v>
      </c>
      <c r="C143" s="7">
        <v>930026</v>
      </c>
      <c r="D143" s="7" t="s">
        <v>301</v>
      </c>
      <c r="E143" s="7" t="s">
        <v>243</v>
      </c>
      <c r="F143" s="7">
        <f t="shared" si="1"/>
        <v>0</v>
      </c>
      <c r="G143" s="16">
        <f>+(TblDetalle[[#This Row],[MontoBrutoProm_Mes]]/TblDetalle[[#This Row],[UnidadesProm_Mes]])*TblDetalle[[#This Row],[Unidades]]</f>
        <v>0</v>
      </c>
      <c r="H143" s="8">
        <v>0.67</v>
      </c>
      <c r="I143" s="9">
        <v>39.53</v>
      </c>
      <c r="J143">
        <f>+TblDetalle[[#This Row],[Monto A Rebajhar]]/TblDetalle[[#This Row],[MontoBrutoProm_Mes]]</f>
        <v>0</v>
      </c>
    </row>
    <row r="144" spans="1:10" x14ac:dyDescent="0.3">
      <c r="A144" s="7">
        <v>18</v>
      </c>
      <c r="B144" s="7" t="s">
        <v>292</v>
      </c>
      <c r="C144" s="7">
        <v>930028</v>
      </c>
      <c r="D144" s="7" t="s">
        <v>302</v>
      </c>
      <c r="E144" s="7" t="s">
        <v>243</v>
      </c>
      <c r="F144" s="7">
        <f t="shared" si="1"/>
        <v>0</v>
      </c>
      <c r="G144" s="16">
        <f>+(TblDetalle[[#This Row],[MontoBrutoProm_Mes]]/TblDetalle[[#This Row],[UnidadesProm_Mes]])*TblDetalle[[#This Row],[Unidades]]</f>
        <v>0</v>
      </c>
      <c r="H144" s="8">
        <v>0.33</v>
      </c>
      <c r="I144" s="9">
        <v>29.74</v>
      </c>
      <c r="J144">
        <f>+TblDetalle[[#This Row],[Monto A Rebajhar]]/TblDetalle[[#This Row],[MontoBrutoProm_Mes]]</f>
        <v>0</v>
      </c>
    </row>
    <row r="145" spans="1:10" x14ac:dyDescent="0.3">
      <c r="A145" s="7">
        <v>18</v>
      </c>
      <c r="B145" s="7" t="s">
        <v>292</v>
      </c>
      <c r="C145" s="7">
        <v>930113</v>
      </c>
      <c r="D145" s="7" t="s">
        <v>303</v>
      </c>
      <c r="E145" s="7" t="s">
        <v>243</v>
      </c>
      <c r="F145" s="7">
        <f t="shared" si="1"/>
        <v>0</v>
      </c>
      <c r="G145" s="16">
        <f>+(TblDetalle[[#This Row],[MontoBrutoProm_Mes]]/TblDetalle[[#This Row],[UnidadesProm_Mes]])*TblDetalle[[#This Row],[Unidades]]</f>
        <v>0</v>
      </c>
      <c r="H145" s="8">
        <v>0.33</v>
      </c>
      <c r="I145" s="9">
        <v>51.36</v>
      </c>
      <c r="J145">
        <f>+TblDetalle[[#This Row],[Monto A Rebajhar]]/TblDetalle[[#This Row],[MontoBrutoProm_Mes]]</f>
        <v>0</v>
      </c>
    </row>
    <row r="146" spans="1:10" x14ac:dyDescent="0.3">
      <c r="A146" s="7">
        <v>18</v>
      </c>
      <c r="B146" s="7" t="s">
        <v>292</v>
      </c>
      <c r="C146" s="7">
        <v>930121</v>
      </c>
      <c r="D146" s="7" t="s">
        <v>304</v>
      </c>
      <c r="E146" s="7" t="s">
        <v>243</v>
      </c>
      <c r="F146" s="7">
        <f t="shared" si="1"/>
        <v>0</v>
      </c>
      <c r="G146" s="16">
        <f>+(TblDetalle[[#This Row],[MontoBrutoProm_Mes]]/TblDetalle[[#This Row],[UnidadesProm_Mes]])*TblDetalle[[#This Row],[Unidades]]</f>
        <v>0</v>
      </c>
      <c r="H146" s="8">
        <v>1</v>
      </c>
      <c r="I146" s="9">
        <v>59.3</v>
      </c>
      <c r="J146">
        <f>+TblDetalle[[#This Row],[Monto A Rebajhar]]/TblDetalle[[#This Row],[MontoBrutoProm_Mes]]</f>
        <v>0</v>
      </c>
    </row>
    <row r="147" spans="1:10" x14ac:dyDescent="0.3">
      <c r="A147" s="7">
        <v>18</v>
      </c>
      <c r="B147" s="7" t="s">
        <v>292</v>
      </c>
      <c r="C147" s="7">
        <v>930178</v>
      </c>
      <c r="D147" s="7" t="s">
        <v>267</v>
      </c>
      <c r="E147" s="7" t="s">
        <v>243</v>
      </c>
      <c r="F147" s="7">
        <f t="shared" si="1"/>
        <v>0</v>
      </c>
      <c r="G147" s="16">
        <f>+(TblDetalle[[#This Row],[MontoBrutoProm_Mes]]/TblDetalle[[#This Row],[UnidadesProm_Mes]])*TblDetalle[[#This Row],[Unidades]]</f>
        <v>0</v>
      </c>
      <c r="H147" s="8">
        <v>0.33</v>
      </c>
      <c r="I147" s="9">
        <v>9.5399999999999991</v>
      </c>
      <c r="J147">
        <f>+TblDetalle[[#This Row],[Monto A Rebajhar]]/TblDetalle[[#This Row],[MontoBrutoProm_Mes]]</f>
        <v>0</v>
      </c>
    </row>
    <row r="148" spans="1:10" x14ac:dyDescent="0.3">
      <c r="A148" s="7">
        <v>18</v>
      </c>
      <c r="B148" s="7" t="s">
        <v>292</v>
      </c>
      <c r="C148" s="7">
        <v>960105</v>
      </c>
      <c r="D148" s="7" t="s">
        <v>305</v>
      </c>
      <c r="E148" s="7" t="s">
        <v>306</v>
      </c>
      <c r="F148" s="7">
        <f t="shared" si="1"/>
        <v>6</v>
      </c>
      <c r="G148" s="16">
        <f>+(TblDetalle[[#This Row],[MontoBrutoProm_Mes]]/TblDetalle[[#This Row],[UnidadesProm_Mes]])*TblDetalle[[#This Row],[Unidades]]</f>
        <v>1122.0864345738294</v>
      </c>
      <c r="H148" s="8">
        <v>8.33</v>
      </c>
      <c r="I148" s="9">
        <v>1557.83</v>
      </c>
      <c r="J148">
        <f>+TblDetalle[[#This Row],[Monto A Rebajhar]]/TblDetalle[[#This Row],[MontoBrutoProm_Mes]]</f>
        <v>0.72028811524609837</v>
      </c>
    </row>
    <row r="149" spans="1:10" x14ac:dyDescent="0.3">
      <c r="A149" s="7">
        <v>43</v>
      </c>
      <c r="B149" s="7" t="s">
        <v>307</v>
      </c>
      <c r="C149" s="7">
        <v>101005</v>
      </c>
      <c r="D149" s="7" t="s">
        <v>232</v>
      </c>
      <c r="E149" s="7" t="s">
        <v>215</v>
      </c>
      <c r="F149" s="7">
        <f t="shared" si="1"/>
        <v>54</v>
      </c>
      <c r="G149" s="16">
        <f>+(TblDetalle[[#This Row],[MontoBrutoProm_Mes]]/TblDetalle[[#This Row],[UnidadesProm_Mes]])*TblDetalle[[#This Row],[Unidades]]</f>
        <v>4134.6847058823532</v>
      </c>
      <c r="H149" s="8">
        <v>68</v>
      </c>
      <c r="I149" s="9">
        <v>5206.6400000000003</v>
      </c>
      <c r="J149">
        <f>+TblDetalle[[#This Row],[Monto A Rebajhar]]/TblDetalle[[#This Row],[MontoBrutoProm_Mes]]</f>
        <v>0.79411764705882348</v>
      </c>
    </row>
    <row r="150" spans="1:10" x14ac:dyDescent="0.3">
      <c r="A150" s="7">
        <v>43</v>
      </c>
      <c r="B150" s="7" t="s">
        <v>307</v>
      </c>
      <c r="C150" s="7">
        <v>101026</v>
      </c>
      <c r="D150" s="7" t="s">
        <v>233</v>
      </c>
      <c r="E150" s="7" t="s">
        <v>215</v>
      </c>
      <c r="F150" s="7">
        <f t="shared" si="1"/>
        <v>64</v>
      </c>
      <c r="G150" s="16">
        <f>+(TblDetalle[[#This Row],[MontoBrutoProm_Mes]]/TblDetalle[[#This Row],[UnidadesProm_Mes]])*TblDetalle[[#This Row],[Unidades]]</f>
        <v>2187.2640000000001</v>
      </c>
      <c r="H150" s="8">
        <v>80</v>
      </c>
      <c r="I150" s="9">
        <v>2734.08</v>
      </c>
      <c r="J150">
        <f>+TblDetalle[[#This Row],[Monto A Rebajhar]]/TblDetalle[[#This Row],[MontoBrutoProm_Mes]]</f>
        <v>0.8</v>
      </c>
    </row>
    <row r="151" spans="1:10" x14ac:dyDescent="0.3">
      <c r="A151" s="7">
        <v>43</v>
      </c>
      <c r="B151" s="7" t="s">
        <v>307</v>
      </c>
      <c r="C151" s="7">
        <v>101027</v>
      </c>
      <c r="D151" s="7" t="s">
        <v>234</v>
      </c>
      <c r="E151" s="7" t="s">
        <v>215</v>
      </c>
      <c r="F151" s="7">
        <f t="shared" si="1"/>
        <v>46</v>
      </c>
      <c r="G151" s="16">
        <f>+(TblDetalle[[#This Row],[MontoBrutoProm_Mes]]/TblDetalle[[#This Row],[UnidadesProm_Mes]])*TblDetalle[[#This Row],[Unidades]]</f>
        <v>3534.0848275862068</v>
      </c>
      <c r="H151" s="8">
        <v>58</v>
      </c>
      <c r="I151" s="9">
        <v>4456.0200000000004</v>
      </c>
      <c r="J151">
        <f>+TblDetalle[[#This Row],[Monto A Rebajhar]]/TblDetalle[[#This Row],[MontoBrutoProm_Mes]]</f>
        <v>0.79310344827586199</v>
      </c>
    </row>
    <row r="152" spans="1:10" x14ac:dyDescent="0.3">
      <c r="A152" s="7">
        <v>43</v>
      </c>
      <c r="B152" s="7" t="s">
        <v>307</v>
      </c>
      <c r="C152" s="7">
        <v>101028</v>
      </c>
      <c r="D152" s="7" t="s">
        <v>214</v>
      </c>
      <c r="E152" s="7" t="s">
        <v>215</v>
      </c>
      <c r="F152" s="7">
        <f t="shared" si="1"/>
        <v>32</v>
      </c>
      <c r="G152" s="16">
        <f>+(TblDetalle[[#This Row],[MontoBrutoProm_Mes]]/TblDetalle[[#This Row],[UnidadesProm_Mes]])*TblDetalle[[#This Row],[Unidades]]</f>
        <v>3165.7756097560978</v>
      </c>
      <c r="H152" s="8">
        <v>41</v>
      </c>
      <c r="I152" s="9">
        <v>4056.15</v>
      </c>
      <c r="J152">
        <f>+TblDetalle[[#This Row],[Monto A Rebajhar]]/TblDetalle[[#This Row],[MontoBrutoProm_Mes]]</f>
        <v>0.78048780487804881</v>
      </c>
    </row>
    <row r="153" spans="1:10" x14ac:dyDescent="0.3">
      <c r="A153" s="7">
        <v>43</v>
      </c>
      <c r="B153" s="7" t="s">
        <v>307</v>
      </c>
      <c r="C153" s="7">
        <v>101034</v>
      </c>
      <c r="D153" s="7" t="s">
        <v>272</v>
      </c>
      <c r="E153" s="7" t="s">
        <v>215</v>
      </c>
      <c r="F153" s="7">
        <f t="shared" si="1"/>
        <v>2</v>
      </c>
      <c r="G153" s="16">
        <f>+(TblDetalle[[#This Row],[MontoBrutoProm_Mes]]/TblDetalle[[#This Row],[UnidadesProm_Mes]])*TblDetalle[[#This Row],[Unidades]]</f>
        <v>466.56456456456459</v>
      </c>
      <c r="H153" s="8">
        <v>3.33</v>
      </c>
      <c r="I153" s="9">
        <v>776.83</v>
      </c>
      <c r="J153">
        <f>+TblDetalle[[#This Row],[Monto A Rebajhar]]/TblDetalle[[#This Row],[MontoBrutoProm_Mes]]</f>
        <v>0.60060060060060061</v>
      </c>
    </row>
    <row r="154" spans="1:10" x14ac:dyDescent="0.3">
      <c r="A154" s="7">
        <v>43</v>
      </c>
      <c r="B154" s="7" t="s">
        <v>307</v>
      </c>
      <c r="C154" s="7">
        <v>101038</v>
      </c>
      <c r="D154" s="7" t="s">
        <v>235</v>
      </c>
      <c r="E154" s="7" t="s">
        <v>215</v>
      </c>
      <c r="F154" s="7">
        <f t="shared" si="1"/>
        <v>18</v>
      </c>
      <c r="G154" s="16">
        <f>+(TblDetalle[[#This Row],[MontoBrutoProm_Mes]]/TblDetalle[[#This Row],[UnidadesProm_Mes]])*TblDetalle[[#This Row],[Unidades]]</f>
        <v>6671.2015209125466</v>
      </c>
      <c r="H154" s="8">
        <v>23.67</v>
      </c>
      <c r="I154" s="9">
        <v>8772.6299999999992</v>
      </c>
      <c r="J154">
        <f>+TblDetalle[[#This Row],[Monto A Rebajhar]]/TblDetalle[[#This Row],[MontoBrutoProm_Mes]]</f>
        <v>0.76045627376425851</v>
      </c>
    </row>
    <row r="155" spans="1:10" x14ac:dyDescent="0.3">
      <c r="A155" s="7">
        <v>43</v>
      </c>
      <c r="B155" s="7" t="s">
        <v>307</v>
      </c>
      <c r="C155" s="7">
        <v>101072</v>
      </c>
      <c r="D155" s="7" t="s">
        <v>273</v>
      </c>
      <c r="E155" s="7" t="s">
        <v>215</v>
      </c>
      <c r="F155" s="7">
        <f t="shared" si="1"/>
        <v>2</v>
      </c>
      <c r="G155" s="16">
        <f>+(TblDetalle[[#This Row],[MontoBrutoProm_Mes]]/TblDetalle[[#This Row],[UnidadesProm_Mes]])*TblDetalle[[#This Row],[Unidades]]</f>
        <v>86.988764044943821</v>
      </c>
      <c r="H155" s="8">
        <v>2.67</v>
      </c>
      <c r="I155" s="9">
        <v>116.13</v>
      </c>
      <c r="J155">
        <f>+TblDetalle[[#This Row],[Monto A Rebajhar]]/TblDetalle[[#This Row],[MontoBrutoProm_Mes]]</f>
        <v>0.74906367041198507</v>
      </c>
    </row>
    <row r="156" spans="1:10" x14ac:dyDescent="0.3">
      <c r="A156" s="7">
        <v>43</v>
      </c>
      <c r="B156" s="7" t="s">
        <v>307</v>
      </c>
      <c r="C156" s="7">
        <v>101130</v>
      </c>
      <c r="D156" s="7" t="s">
        <v>247</v>
      </c>
      <c r="E156" s="7" t="s">
        <v>215</v>
      </c>
      <c r="F156" s="7">
        <f t="shared" si="1"/>
        <v>51</v>
      </c>
      <c r="G156" s="16">
        <f>+(TblDetalle[[#This Row],[MontoBrutoProm_Mes]]/TblDetalle[[#This Row],[UnidadesProm_Mes]])*TblDetalle[[#This Row],[Unidades]]</f>
        <v>0.51</v>
      </c>
      <c r="H156" s="8">
        <v>64</v>
      </c>
      <c r="I156" s="9">
        <v>0.64</v>
      </c>
      <c r="J156">
        <f>+TblDetalle[[#This Row],[Monto A Rebajhar]]/TblDetalle[[#This Row],[MontoBrutoProm_Mes]]</f>
        <v>0.796875</v>
      </c>
    </row>
    <row r="157" spans="1:10" x14ac:dyDescent="0.3">
      <c r="A157" s="7">
        <v>43</v>
      </c>
      <c r="B157" s="7" t="s">
        <v>307</v>
      </c>
      <c r="C157" s="7">
        <v>101136</v>
      </c>
      <c r="D157" s="7" t="s">
        <v>308</v>
      </c>
      <c r="E157" s="7" t="s">
        <v>215</v>
      </c>
      <c r="F157" s="7">
        <f t="shared" si="1"/>
        <v>0</v>
      </c>
      <c r="G157" s="16">
        <f>+(TblDetalle[[#This Row],[MontoBrutoProm_Mes]]/TblDetalle[[#This Row],[UnidadesProm_Mes]])*TblDetalle[[#This Row],[Unidades]]</f>
        <v>0</v>
      </c>
      <c r="H157" s="8">
        <v>0.33</v>
      </c>
      <c r="I157" s="9">
        <v>0</v>
      </c>
      <c r="J157" t="e">
        <f>+TblDetalle[[#This Row],[Monto A Rebajhar]]/TblDetalle[[#This Row],[MontoBrutoProm_Mes]]</f>
        <v>#DIV/0!</v>
      </c>
    </row>
    <row r="158" spans="1:10" x14ac:dyDescent="0.3">
      <c r="A158" s="7">
        <v>43</v>
      </c>
      <c r="B158" s="7" t="s">
        <v>307</v>
      </c>
      <c r="C158" s="7">
        <v>101145</v>
      </c>
      <c r="D158" s="7" t="s">
        <v>275</v>
      </c>
      <c r="E158" s="7" t="s">
        <v>215</v>
      </c>
      <c r="F158" s="7">
        <f t="shared" si="1"/>
        <v>8</v>
      </c>
      <c r="G158" s="16">
        <f>+(TblDetalle[[#This Row],[MontoBrutoProm_Mes]]/TblDetalle[[#This Row],[UnidadesProm_Mes]])*TblDetalle[[#This Row],[Unidades]]</f>
        <v>348.45360824742266</v>
      </c>
      <c r="H158" s="8">
        <v>10.67</v>
      </c>
      <c r="I158" s="9">
        <v>464.75</v>
      </c>
      <c r="J158">
        <f>+TblDetalle[[#This Row],[Monto A Rebajhar]]/TblDetalle[[#This Row],[MontoBrutoProm_Mes]]</f>
        <v>0.74976569821930639</v>
      </c>
    </row>
    <row r="159" spans="1:10" x14ac:dyDescent="0.3">
      <c r="A159" s="7">
        <v>43</v>
      </c>
      <c r="B159" s="7" t="s">
        <v>307</v>
      </c>
      <c r="C159" s="7">
        <v>103001</v>
      </c>
      <c r="D159" s="7" t="s">
        <v>248</v>
      </c>
      <c r="E159" s="7" t="s">
        <v>215</v>
      </c>
      <c r="F159" s="7">
        <f t="shared" si="1"/>
        <v>71</v>
      </c>
      <c r="G159" s="16">
        <f>+(TblDetalle[[#This Row],[MontoBrutoProm_Mes]]/TblDetalle[[#This Row],[UnidadesProm_Mes]])*TblDetalle[[#This Row],[Unidades]]</f>
        <v>1568.4458748460763</v>
      </c>
      <c r="H159" s="8">
        <v>89.33</v>
      </c>
      <c r="I159" s="9">
        <v>1973.37</v>
      </c>
      <c r="J159">
        <f>+TblDetalle[[#This Row],[Monto A Rebajhar]]/TblDetalle[[#This Row],[MontoBrutoProm_Mes]]</f>
        <v>0.79480577633493787</v>
      </c>
    </row>
    <row r="160" spans="1:10" x14ac:dyDescent="0.3">
      <c r="A160" s="7">
        <v>43</v>
      </c>
      <c r="B160" s="7" t="s">
        <v>307</v>
      </c>
      <c r="C160" s="7">
        <v>201001</v>
      </c>
      <c r="D160" s="7" t="s">
        <v>216</v>
      </c>
      <c r="E160" s="7" t="s">
        <v>217</v>
      </c>
      <c r="F160" s="7">
        <f t="shared" si="1"/>
        <v>108</v>
      </c>
      <c r="G160" s="16">
        <f>+(TblDetalle[[#This Row],[MontoBrutoProm_Mes]]/TblDetalle[[#This Row],[UnidadesProm_Mes]])*TblDetalle[[#This Row],[Unidades]]</f>
        <v>24051.360000000001</v>
      </c>
      <c r="H160" s="8">
        <v>135</v>
      </c>
      <c r="I160" s="9">
        <v>30064.2</v>
      </c>
      <c r="J160">
        <f>+TblDetalle[[#This Row],[Monto A Rebajhar]]/TblDetalle[[#This Row],[MontoBrutoProm_Mes]]</f>
        <v>0.8</v>
      </c>
    </row>
    <row r="161" spans="1:10" x14ac:dyDescent="0.3">
      <c r="A161" s="7">
        <v>43</v>
      </c>
      <c r="B161" s="7" t="s">
        <v>307</v>
      </c>
      <c r="C161" s="7">
        <v>501000</v>
      </c>
      <c r="D161" s="7" t="s">
        <v>237</v>
      </c>
      <c r="E161" s="7" t="s">
        <v>217</v>
      </c>
      <c r="F161" s="7">
        <f t="shared" si="1"/>
        <v>42</v>
      </c>
      <c r="G161" s="16">
        <f>+(TblDetalle[[#This Row],[MontoBrutoProm_Mes]]/TblDetalle[[#This Row],[UnidadesProm_Mes]])*TblDetalle[[#This Row],[Unidades]]</f>
        <v>4814.0048753047076</v>
      </c>
      <c r="H161" s="8">
        <v>53.33</v>
      </c>
      <c r="I161" s="9">
        <v>6112.64</v>
      </c>
      <c r="J161">
        <f>+TblDetalle[[#This Row],[Monto A Rebajhar]]/TblDetalle[[#This Row],[MontoBrutoProm_Mes]]</f>
        <v>0.78754922182636433</v>
      </c>
    </row>
    <row r="162" spans="1:10" x14ac:dyDescent="0.3">
      <c r="A162" s="7">
        <v>43</v>
      </c>
      <c r="B162" s="7" t="s">
        <v>307</v>
      </c>
      <c r="C162" s="7">
        <v>611049</v>
      </c>
      <c r="D162" s="7" t="s">
        <v>251</v>
      </c>
      <c r="E162" s="7" t="s">
        <v>217</v>
      </c>
      <c r="F162" s="7">
        <f t="shared" si="1"/>
        <v>3</v>
      </c>
      <c r="G162" s="16">
        <f>+(TblDetalle[[#This Row],[MontoBrutoProm_Mes]]/TblDetalle[[#This Row],[UnidadesProm_Mes]])*TblDetalle[[#This Row],[Unidades]]</f>
        <v>89.88</v>
      </c>
      <c r="H162" s="8">
        <v>4</v>
      </c>
      <c r="I162" s="9">
        <v>119.84</v>
      </c>
      <c r="J162">
        <f>+TblDetalle[[#This Row],[Monto A Rebajhar]]/TblDetalle[[#This Row],[MontoBrutoProm_Mes]]</f>
        <v>0.74999999999999989</v>
      </c>
    </row>
    <row r="163" spans="1:10" x14ac:dyDescent="0.3">
      <c r="A163" s="7">
        <v>43</v>
      </c>
      <c r="B163" s="7" t="s">
        <v>307</v>
      </c>
      <c r="C163" s="7">
        <v>611053</v>
      </c>
      <c r="D163" s="7" t="s">
        <v>253</v>
      </c>
      <c r="E163" s="7" t="s">
        <v>217</v>
      </c>
      <c r="F163" s="7">
        <f t="shared" si="1"/>
        <v>25</v>
      </c>
      <c r="G163" s="16">
        <f>+(TblDetalle[[#This Row],[MontoBrutoProm_Mes]]/TblDetalle[[#This Row],[UnidadesProm_Mes]])*TblDetalle[[#This Row],[Unidades]]</f>
        <v>525.375</v>
      </c>
      <c r="H163" s="8">
        <v>32</v>
      </c>
      <c r="I163" s="9">
        <v>672.48</v>
      </c>
      <c r="J163">
        <f>+TblDetalle[[#This Row],[Monto A Rebajhar]]/TblDetalle[[#This Row],[MontoBrutoProm_Mes]]</f>
        <v>0.78125</v>
      </c>
    </row>
    <row r="164" spans="1:10" x14ac:dyDescent="0.3">
      <c r="A164" s="7">
        <v>43</v>
      </c>
      <c r="B164" s="7" t="s">
        <v>307</v>
      </c>
      <c r="C164" s="7">
        <v>611055</v>
      </c>
      <c r="D164" s="7" t="s">
        <v>254</v>
      </c>
      <c r="E164" s="7" t="s">
        <v>217</v>
      </c>
      <c r="F164" s="7">
        <f t="shared" si="1"/>
        <v>6</v>
      </c>
      <c r="G164" s="16">
        <f>+(TblDetalle[[#This Row],[MontoBrutoProm_Mes]]/TblDetalle[[#This Row],[UnidadesProm_Mes]])*TblDetalle[[#This Row],[Unidades]]</f>
        <v>476.34000000000003</v>
      </c>
      <c r="H164" s="8">
        <v>8</v>
      </c>
      <c r="I164" s="9">
        <v>635.12</v>
      </c>
      <c r="J164">
        <f>+TblDetalle[[#This Row],[Monto A Rebajhar]]/TblDetalle[[#This Row],[MontoBrutoProm_Mes]]</f>
        <v>0.75</v>
      </c>
    </row>
    <row r="165" spans="1:10" x14ac:dyDescent="0.3">
      <c r="A165" s="7">
        <v>43</v>
      </c>
      <c r="B165" s="7" t="s">
        <v>307</v>
      </c>
      <c r="C165" s="7">
        <v>621043</v>
      </c>
      <c r="D165" s="7" t="s">
        <v>257</v>
      </c>
      <c r="E165" s="7" t="s">
        <v>239</v>
      </c>
      <c r="F165" s="7">
        <f t="shared" si="1"/>
        <v>1</v>
      </c>
      <c r="G165" s="16">
        <f>+(TblDetalle[[#This Row],[MontoBrutoProm_Mes]]/TblDetalle[[#This Row],[UnidadesProm_Mes]])*TblDetalle[[#This Row],[Unidades]]</f>
        <v>5.0000000000000001E-3</v>
      </c>
      <c r="H165" s="8">
        <v>2</v>
      </c>
      <c r="I165" s="9">
        <v>0.01</v>
      </c>
      <c r="J165">
        <f>+TblDetalle[[#This Row],[Monto A Rebajhar]]/TblDetalle[[#This Row],[MontoBrutoProm_Mes]]</f>
        <v>0.5</v>
      </c>
    </row>
    <row r="166" spans="1:10" x14ac:dyDescent="0.3">
      <c r="A166" s="7">
        <v>43</v>
      </c>
      <c r="B166" s="7" t="s">
        <v>307</v>
      </c>
      <c r="C166" s="7">
        <v>621045</v>
      </c>
      <c r="D166" s="7" t="s">
        <v>238</v>
      </c>
      <c r="E166" s="7" t="s">
        <v>239</v>
      </c>
      <c r="F166" s="7">
        <f t="shared" si="1"/>
        <v>9</v>
      </c>
      <c r="G166" s="16">
        <f>+(TblDetalle[[#This Row],[MontoBrutoProm_Mes]]/TblDetalle[[#This Row],[UnidadesProm_Mes]])*TblDetalle[[#This Row],[Unidades]]</f>
        <v>1504.59</v>
      </c>
      <c r="H166" s="8">
        <v>12</v>
      </c>
      <c r="I166" s="9">
        <v>2006.12</v>
      </c>
      <c r="J166">
        <f>+TblDetalle[[#This Row],[Monto A Rebajhar]]/TblDetalle[[#This Row],[MontoBrutoProm_Mes]]</f>
        <v>0.75</v>
      </c>
    </row>
    <row r="167" spans="1:10" x14ac:dyDescent="0.3">
      <c r="A167" s="7">
        <v>43</v>
      </c>
      <c r="B167" s="7" t="s">
        <v>307</v>
      </c>
      <c r="C167" s="7">
        <v>800088</v>
      </c>
      <c r="D167" s="7" t="s">
        <v>240</v>
      </c>
      <c r="E167" s="7" t="s">
        <v>215</v>
      </c>
      <c r="F167" s="7">
        <f t="shared" si="1"/>
        <v>10</v>
      </c>
      <c r="G167" s="16">
        <f>+(TblDetalle[[#This Row],[MontoBrutoProm_Mes]]/TblDetalle[[#This Row],[UnidadesProm_Mes]])*TblDetalle[[#This Row],[Unidades]]</f>
        <v>3669.8816101026046</v>
      </c>
      <c r="H167" s="8">
        <v>12.67</v>
      </c>
      <c r="I167" s="9">
        <v>4649.74</v>
      </c>
      <c r="J167">
        <f>+TblDetalle[[#This Row],[Monto A Rebajhar]]/TblDetalle[[#This Row],[MontoBrutoProm_Mes]]</f>
        <v>0.78926598263614844</v>
      </c>
    </row>
    <row r="168" spans="1:10" x14ac:dyDescent="0.3">
      <c r="A168" s="7">
        <v>43</v>
      </c>
      <c r="B168" s="7" t="s">
        <v>307</v>
      </c>
      <c r="C168" s="7">
        <v>800089</v>
      </c>
      <c r="D168" s="7" t="s">
        <v>241</v>
      </c>
      <c r="E168" s="7" t="s">
        <v>215</v>
      </c>
      <c r="F168" s="7">
        <f t="shared" si="1"/>
        <v>12</v>
      </c>
      <c r="G168" s="16">
        <f>+(TblDetalle[[#This Row],[MontoBrutoProm_Mes]]/TblDetalle[[#This Row],[UnidadesProm_Mes]])*TblDetalle[[#This Row],[Unidades]]</f>
        <v>4402.2616464582006</v>
      </c>
      <c r="H168" s="8">
        <v>15.67</v>
      </c>
      <c r="I168" s="9">
        <v>5748.62</v>
      </c>
      <c r="J168">
        <f>+TblDetalle[[#This Row],[Monto A Rebajhar]]/TblDetalle[[#This Row],[MontoBrutoProm_Mes]]</f>
        <v>0.76579451180599878</v>
      </c>
    </row>
    <row r="169" spans="1:10" x14ac:dyDescent="0.3">
      <c r="A169" s="7">
        <v>43</v>
      </c>
      <c r="B169" s="7" t="s">
        <v>307</v>
      </c>
      <c r="C169" s="7">
        <v>800792</v>
      </c>
      <c r="D169" s="7" t="s">
        <v>242</v>
      </c>
      <c r="E169" s="7" t="s">
        <v>243</v>
      </c>
      <c r="F169" s="7">
        <f t="shared" si="1"/>
        <v>20</v>
      </c>
      <c r="G169" s="16">
        <f>+(TblDetalle[[#This Row],[MontoBrutoProm_Mes]]/TblDetalle[[#This Row],[UnidadesProm_Mes]])*TblDetalle[[#This Row],[Unidades]]</f>
        <v>3081.1840000000002</v>
      </c>
      <c r="H169" s="8">
        <v>25</v>
      </c>
      <c r="I169" s="9">
        <v>3851.48</v>
      </c>
      <c r="J169">
        <f>+TblDetalle[[#This Row],[Monto A Rebajhar]]/TblDetalle[[#This Row],[MontoBrutoProm_Mes]]</f>
        <v>0.8</v>
      </c>
    </row>
    <row r="170" spans="1:10" x14ac:dyDescent="0.3">
      <c r="A170" s="7">
        <v>43</v>
      </c>
      <c r="B170" s="7" t="s">
        <v>307</v>
      </c>
      <c r="C170" s="7">
        <v>800793</v>
      </c>
      <c r="D170" s="7" t="s">
        <v>260</v>
      </c>
      <c r="E170" s="7" t="s">
        <v>243</v>
      </c>
      <c r="F170" s="7">
        <f t="shared" si="1"/>
        <v>3</v>
      </c>
      <c r="G170" s="16">
        <f>+(TblDetalle[[#This Row],[MontoBrutoProm_Mes]]/TblDetalle[[#This Row],[UnidadesProm_Mes]])*TblDetalle[[#This Row],[Unidades]]</f>
        <v>469.16274089935757</v>
      </c>
      <c r="H170" s="8">
        <v>4.67</v>
      </c>
      <c r="I170" s="9">
        <v>730.33</v>
      </c>
      <c r="J170">
        <f>+TblDetalle[[#This Row],[Monto A Rebajhar]]/TblDetalle[[#This Row],[MontoBrutoProm_Mes]]</f>
        <v>0.64239828693790146</v>
      </c>
    </row>
    <row r="171" spans="1:10" x14ac:dyDescent="0.3">
      <c r="A171" s="7">
        <v>43</v>
      </c>
      <c r="B171" s="7" t="s">
        <v>307</v>
      </c>
      <c r="C171" s="7">
        <v>800796</v>
      </c>
      <c r="D171" s="7" t="s">
        <v>276</v>
      </c>
      <c r="E171" s="7" t="s">
        <v>243</v>
      </c>
      <c r="F171" s="7">
        <f t="shared" si="1"/>
        <v>0</v>
      </c>
      <c r="G171" s="16">
        <f>+(TblDetalle[[#This Row],[MontoBrutoProm_Mes]]/TblDetalle[[#This Row],[UnidadesProm_Mes]])*TblDetalle[[#This Row],[Unidades]]</f>
        <v>0</v>
      </c>
      <c r="H171" s="8">
        <v>0.33</v>
      </c>
      <c r="I171" s="9">
        <v>53.67</v>
      </c>
      <c r="J171">
        <f>+TblDetalle[[#This Row],[Monto A Rebajhar]]/TblDetalle[[#This Row],[MontoBrutoProm_Mes]]</f>
        <v>0</v>
      </c>
    </row>
    <row r="172" spans="1:10" x14ac:dyDescent="0.3">
      <c r="A172" s="7">
        <v>43</v>
      </c>
      <c r="B172" s="7" t="s">
        <v>307</v>
      </c>
      <c r="C172" s="7">
        <v>910103</v>
      </c>
      <c r="D172" s="7" t="s">
        <v>295</v>
      </c>
      <c r="E172" s="7" t="s">
        <v>296</v>
      </c>
      <c r="F172" s="7">
        <f t="shared" si="1"/>
        <v>3</v>
      </c>
      <c r="G172" s="16">
        <f>+(TblDetalle[[#This Row],[MontoBrutoProm_Mes]]/TblDetalle[[#This Row],[UnidadesProm_Mes]])*TblDetalle[[#This Row],[Unidades]]</f>
        <v>84.69</v>
      </c>
      <c r="H172" s="8">
        <v>4</v>
      </c>
      <c r="I172" s="9">
        <v>112.92</v>
      </c>
      <c r="J172">
        <f>+TblDetalle[[#This Row],[Monto A Rebajhar]]/TblDetalle[[#This Row],[MontoBrutoProm_Mes]]</f>
        <v>0.75</v>
      </c>
    </row>
    <row r="173" spans="1:10" x14ac:dyDescent="0.3">
      <c r="A173" s="7">
        <v>43</v>
      </c>
      <c r="B173" s="7" t="s">
        <v>307</v>
      </c>
      <c r="C173" s="7">
        <v>910104</v>
      </c>
      <c r="D173" s="7" t="s">
        <v>309</v>
      </c>
      <c r="E173" s="7" t="s">
        <v>296</v>
      </c>
      <c r="F173" s="7">
        <f t="shared" si="1"/>
        <v>3</v>
      </c>
      <c r="G173" s="16">
        <f>+(TblDetalle[[#This Row],[MontoBrutoProm_Mes]]/TblDetalle[[#This Row],[UnidadesProm_Mes]])*TblDetalle[[#This Row],[Unidades]]</f>
        <v>84.69</v>
      </c>
      <c r="H173" s="8">
        <v>4</v>
      </c>
      <c r="I173" s="9">
        <v>112.92</v>
      </c>
      <c r="J173">
        <f>+TblDetalle[[#This Row],[Monto A Rebajhar]]/TblDetalle[[#This Row],[MontoBrutoProm_Mes]]</f>
        <v>0.75</v>
      </c>
    </row>
    <row r="174" spans="1:10" x14ac:dyDescent="0.3">
      <c r="A174" s="7">
        <v>43</v>
      </c>
      <c r="B174" s="7" t="s">
        <v>307</v>
      </c>
      <c r="C174" s="7">
        <v>924104</v>
      </c>
      <c r="D174" s="7" t="s">
        <v>277</v>
      </c>
      <c r="E174" s="7" t="s">
        <v>215</v>
      </c>
      <c r="F174" s="7">
        <f t="shared" si="1"/>
        <v>1</v>
      </c>
      <c r="G174" s="16">
        <f>+(TblDetalle[[#This Row],[MontoBrutoProm_Mes]]/TblDetalle[[#This Row],[UnidadesProm_Mes]])*TblDetalle[[#This Row],[Unidades]]</f>
        <v>7.5187969924812026E-3</v>
      </c>
      <c r="H174" s="8">
        <v>1.33</v>
      </c>
      <c r="I174" s="9">
        <v>0.01</v>
      </c>
      <c r="J174">
        <f>+TblDetalle[[#This Row],[Monto A Rebajhar]]/TblDetalle[[#This Row],[MontoBrutoProm_Mes]]</f>
        <v>0.75187969924812026</v>
      </c>
    </row>
    <row r="175" spans="1:10" x14ac:dyDescent="0.3">
      <c r="A175" s="7">
        <v>43</v>
      </c>
      <c r="B175" s="7" t="s">
        <v>307</v>
      </c>
      <c r="C175" s="7">
        <v>925050</v>
      </c>
      <c r="D175" s="7" t="s">
        <v>261</v>
      </c>
      <c r="E175" s="7" t="s">
        <v>220</v>
      </c>
      <c r="F175" s="7">
        <f t="shared" si="1"/>
        <v>4</v>
      </c>
      <c r="G175" s="16">
        <f>+(TblDetalle[[#This Row],[MontoBrutoProm_Mes]]/TblDetalle[[#This Row],[UnidadesProm_Mes]])*TblDetalle[[#This Row],[Unidades]]</f>
        <v>309.12</v>
      </c>
      <c r="H175" s="8">
        <v>5</v>
      </c>
      <c r="I175" s="9">
        <v>386.4</v>
      </c>
      <c r="J175">
        <f>+TblDetalle[[#This Row],[Monto A Rebajhar]]/TblDetalle[[#This Row],[MontoBrutoProm_Mes]]</f>
        <v>0.8</v>
      </c>
    </row>
    <row r="176" spans="1:10" x14ac:dyDescent="0.3">
      <c r="A176" s="7">
        <v>43</v>
      </c>
      <c r="B176" s="7" t="s">
        <v>307</v>
      </c>
      <c r="C176" s="7">
        <v>925059</v>
      </c>
      <c r="D176" s="7" t="s">
        <v>262</v>
      </c>
      <c r="E176" s="7" t="s">
        <v>220</v>
      </c>
      <c r="F176" s="7">
        <f t="shared" si="1"/>
        <v>0</v>
      </c>
      <c r="G176" s="16">
        <f>+(TblDetalle[[#This Row],[MontoBrutoProm_Mes]]/TblDetalle[[#This Row],[UnidadesProm_Mes]])*TblDetalle[[#This Row],[Unidades]]</f>
        <v>0</v>
      </c>
      <c r="H176" s="8">
        <v>0.33</v>
      </c>
      <c r="I176" s="9">
        <v>0</v>
      </c>
      <c r="J176" t="e">
        <f>+TblDetalle[[#This Row],[Monto A Rebajhar]]/TblDetalle[[#This Row],[MontoBrutoProm_Mes]]</f>
        <v>#DIV/0!</v>
      </c>
    </row>
    <row r="177" spans="1:10" x14ac:dyDescent="0.3">
      <c r="A177" s="7">
        <v>43</v>
      </c>
      <c r="B177" s="7" t="s">
        <v>307</v>
      </c>
      <c r="C177" s="7">
        <v>925076</v>
      </c>
      <c r="D177" s="7" t="s">
        <v>278</v>
      </c>
      <c r="E177" s="7" t="s">
        <v>220</v>
      </c>
      <c r="F177" s="7">
        <f t="shared" si="1"/>
        <v>6</v>
      </c>
      <c r="G177" s="16">
        <f>+(TblDetalle[[#This Row],[MontoBrutoProm_Mes]]/TblDetalle[[#This Row],[UnidadesProm_Mes]])*TblDetalle[[#This Row],[Unidades]]</f>
        <v>250.60264105642261</v>
      </c>
      <c r="H177" s="8">
        <v>8.33</v>
      </c>
      <c r="I177" s="9">
        <v>347.92</v>
      </c>
      <c r="J177">
        <f>+TblDetalle[[#This Row],[Monto A Rebajhar]]/TblDetalle[[#This Row],[MontoBrutoProm_Mes]]</f>
        <v>0.72028811524609848</v>
      </c>
    </row>
    <row r="178" spans="1:10" x14ac:dyDescent="0.3">
      <c r="A178" s="7">
        <v>43</v>
      </c>
      <c r="B178" s="7" t="s">
        <v>307</v>
      </c>
      <c r="C178" s="7">
        <v>925078</v>
      </c>
      <c r="D178" s="7" t="s">
        <v>221</v>
      </c>
      <c r="E178" s="7" t="s">
        <v>220</v>
      </c>
      <c r="F178" s="7">
        <f t="shared" si="1"/>
        <v>7</v>
      </c>
      <c r="G178" s="16">
        <f>+(TblDetalle[[#This Row],[MontoBrutoProm_Mes]]/TblDetalle[[#This Row],[UnidadesProm_Mes]])*TblDetalle[[#This Row],[Unidades]]</f>
        <v>515.69000000000005</v>
      </c>
      <c r="H178" s="8">
        <v>9</v>
      </c>
      <c r="I178" s="9">
        <v>663.03</v>
      </c>
      <c r="J178">
        <f>+TblDetalle[[#This Row],[Monto A Rebajhar]]/TblDetalle[[#This Row],[MontoBrutoProm_Mes]]</f>
        <v>0.7777777777777779</v>
      </c>
    </row>
    <row r="179" spans="1:10" x14ac:dyDescent="0.3">
      <c r="A179" s="7">
        <v>43</v>
      </c>
      <c r="B179" s="7" t="s">
        <v>307</v>
      </c>
      <c r="C179" s="7">
        <v>925079</v>
      </c>
      <c r="D179" s="7" t="s">
        <v>279</v>
      </c>
      <c r="E179" s="7" t="s">
        <v>220</v>
      </c>
      <c r="F179" s="7">
        <f t="shared" si="1"/>
        <v>7</v>
      </c>
      <c r="G179" s="16">
        <f>+(TblDetalle[[#This Row],[MontoBrutoProm_Mes]]/TblDetalle[[#This Row],[UnidadesProm_Mes]])*TblDetalle[[#This Row],[Unidades]]</f>
        <v>515.69000000000005</v>
      </c>
      <c r="H179" s="8">
        <v>9</v>
      </c>
      <c r="I179" s="9">
        <v>663.03</v>
      </c>
      <c r="J179">
        <f>+TblDetalle[[#This Row],[Monto A Rebajhar]]/TblDetalle[[#This Row],[MontoBrutoProm_Mes]]</f>
        <v>0.7777777777777779</v>
      </c>
    </row>
    <row r="180" spans="1:10" x14ac:dyDescent="0.3">
      <c r="A180" s="7">
        <v>43</v>
      </c>
      <c r="B180" s="7" t="s">
        <v>307</v>
      </c>
      <c r="C180" s="7">
        <v>930012</v>
      </c>
      <c r="D180" s="7" t="s">
        <v>264</v>
      </c>
      <c r="E180" s="7" t="s">
        <v>243</v>
      </c>
      <c r="F180" s="7">
        <f t="shared" si="1"/>
        <v>4</v>
      </c>
      <c r="G180" s="16">
        <f>+(TblDetalle[[#This Row],[MontoBrutoProm_Mes]]/TblDetalle[[#This Row],[UnidadesProm_Mes]])*TblDetalle[[#This Row],[Unidades]]</f>
        <v>365.31333333333333</v>
      </c>
      <c r="H180" s="8">
        <v>6</v>
      </c>
      <c r="I180" s="9">
        <v>547.97</v>
      </c>
      <c r="J180">
        <f>+TblDetalle[[#This Row],[Monto A Rebajhar]]/TblDetalle[[#This Row],[MontoBrutoProm_Mes]]</f>
        <v>0.66666666666666663</v>
      </c>
    </row>
    <row r="181" spans="1:10" x14ac:dyDescent="0.3">
      <c r="A181" s="7">
        <v>43</v>
      </c>
      <c r="B181" s="7" t="s">
        <v>307</v>
      </c>
      <c r="C181" s="7">
        <v>930025</v>
      </c>
      <c r="D181" s="7" t="s">
        <v>244</v>
      </c>
      <c r="E181" s="7" t="s">
        <v>243</v>
      </c>
      <c r="F181" s="7">
        <f t="shared" si="1"/>
        <v>4</v>
      </c>
      <c r="G181" s="16">
        <f>+(TblDetalle[[#This Row],[MontoBrutoProm_Mes]]/TblDetalle[[#This Row],[UnidadesProm_Mes]])*TblDetalle[[#This Row],[Unidades]]</f>
        <v>233.64352720450279</v>
      </c>
      <c r="H181" s="8">
        <v>5.33</v>
      </c>
      <c r="I181" s="9">
        <v>311.33</v>
      </c>
      <c r="J181">
        <f>+TblDetalle[[#This Row],[Monto A Rebajhar]]/TblDetalle[[#This Row],[MontoBrutoProm_Mes]]</f>
        <v>0.75046904315196994</v>
      </c>
    </row>
    <row r="182" spans="1:10" x14ac:dyDescent="0.3">
      <c r="A182" s="7">
        <v>43</v>
      </c>
      <c r="B182" s="7" t="s">
        <v>307</v>
      </c>
      <c r="C182" s="7">
        <v>930034</v>
      </c>
      <c r="D182" s="7" t="s">
        <v>266</v>
      </c>
      <c r="E182" s="7" t="s">
        <v>243</v>
      </c>
      <c r="F182" s="7">
        <f t="shared" ref="F182:F245" si="2">+ROUNDDOWN(H182*0.8,0)</f>
        <v>3</v>
      </c>
      <c r="G182" s="16">
        <f>+(TblDetalle[[#This Row],[MontoBrutoProm_Mes]]/TblDetalle[[#This Row],[UnidadesProm_Mes]])*TblDetalle[[#This Row],[Unidades]]</f>
        <v>261.75</v>
      </c>
      <c r="H182" s="8">
        <v>4</v>
      </c>
      <c r="I182" s="9">
        <v>349</v>
      </c>
      <c r="J182">
        <f>+TblDetalle[[#This Row],[Monto A Rebajhar]]/TblDetalle[[#This Row],[MontoBrutoProm_Mes]]</f>
        <v>0.75</v>
      </c>
    </row>
    <row r="183" spans="1:10" x14ac:dyDescent="0.3">
      <c r="A183" s="7">
        <v>43</v>
      </c>
      <c r="B183" s="7" t="s">
        <v>307</v>
      </c>
      <c r="C183" s="7">
        <v>930112</v>
      </c>
      <c r="D183" s="7" t="s">
        <v>310</v>
      </c>
      <c r="E183" s="7" t="s">
        <v>243</v>
      </c>
      <c r="F183" s="7">
        <f t="shared" si="2"/>
        <v>0</v>
      </c>
      <c r="G183" s="16">
        <f>+(TblDetalle[[#This Row],[MontoBrutoProm_Mes]]/TblDetalle[[#This Row],[UnidadesProm_Mes]])*TblDetalle[[#This Row],[Unidades]]</f>
        <v>0</v>
      </c>
      <c r="H183" s="8">
        <v>0.33</v>
      </c>
      <c r="I183" s="9">
        <v>53.67</v>
      </c>
      <c r="J183">
        <f>+TblDetalle[[#This Row],[Monto A Rebajhar]]/TblDetalle[[#This Row],[MontoBrutoProm_Mes]]</f>
        <v>0</v>
      </c>
    </row>
    <row r="184" spans="1:10" x14ac:dyDescent="0.3">
      <c r="A184" s="7">
        <v>43</v>
      </c>
      <c r="B184" s="7" t="s">
        <v>307</v>
      </c>
      <c r="C184" s="7">
        <v>930113</v>
      </c>
      <c r="D184" s="7" t="s">
        <v>303</v>
      </c>
      <c r="E184" s="7" t="s">
        <v>243</v>
      </c>
      <c r="F184" s="7">
        <f t="shared" si="2"/>
        <v>0</v>
      </c>
      <c r="G184" s="16">
        <f>+(TblDetalle[[#This Row],[MontoBrutoProm_Mes]]/TblDetalle[[#This Row],[UnidadesProm_Mes]])*TblDetalle[[#This Row],[Unidades]]</f>
        <v>0</v>
      </c>
      <c r="H184" s="8">
        <v>0.33</v>
      </c>
      <c r="I184" s="9">
        <v>53.67</v>
      </c>
      <c r="J184">
        <f>+TblDetalle[[#This Row],[Monto A Rebajhar]]/TblDetalle[[#This Row],[MontoBrutoProm_Mes]]</f>
        <v>0</v>
      </c>
    </row>
    <row r="185" spans="1:10" x14ac:dyDescent="0.3">
      <c r="A185" s="7">
        <v>43</v>
      </c>
      <c r="B185" s="7" t="s">
        <v>307</v>
      </c>
      <c r="C185" s="7">
        <v>930137</v>
      </c>
      <c r="D185" s="7" t="s">
        <v>311</v>
      </c>
      <c r="E185" s="7" t="s">
        <v>243</v>
      </c>
      <c r="F185" s="7">
        <f t="shared" si="2"/>
        <v>5</v>
      </c>
      <c r="G185" s="16">
        <f>+(TblDetalle[[#This Row],[MontoBrutoProm_Mes]]/TblDetalle[[#This Row],[UnidadesProm_Mes]])*TblDetalle[[#This Row],[Unidades]]</f>
        <v>142.97601199400299</v>
      </c>
      <c r="H185" s="8">
        <v>6.67</v>
      </c>
      <c r="I185" s="9">
        <v>190.73</v>
      </c>
      <c r="J185">
        <f>+TblDetalle[[#This Row],[Monto A Rebajhar]]/TblDetalle[[#This Row],[MontoBrutoProm_Mes]]</f>
        <v>0.7496251874062968</v>
      </c>
    </row>
    <row r="186" spans="1:10" x14ac:dyDescent="0.3">
      <c r="A186" s="7">
        <v>43</v>
      </c>
      <c r="B186" s="7" t="s">
        <v>307</v>
      </c>
      <c r="C186" s="7">
        <v>930138</v>
      </c>
      <c r="D186" s="7" t="s">
        <v>312</v>
      </c>
      <c r="E186" s="7" t="s">
        <v>243</v>
      </c>
      <c r="F186" s="7">
        <f t="shared" si="2"/>
        <v>4</v>
      </c>
      <c r="G186" s="16">
        <f>+(TblDetalle[[#This Row],[MontoBrutoProm_Mes]]/TblDetalle[[#This Row],[UnidadesProm_Mes]])*TblDetalle[[#This Row],[Unidades]]</f>
        <v>114.5140712945591</v>
      </c>
      <c r="H186" s="8">
        <v>5.33</v>
      </c>
      <c r="I186" s="9">
        <v>152.59</v>
      </c>
      <c r="J186">
        <f>+TblDetalle[[#This Row],[Monto A Rebajhar]]/TblDetalle[[#This Row],[MontoBrutoProm_Mes]]</f>
        <v>0.75046904315196994</v>
      </c>
    </row>
    <row r="187" spans="1:10" x14ac:dyDescent="0.3">
      <c r="A187" s="7">
        <v>43</v>
      </c>
      <c r="B187" s="7" t="s">
        <v>307</v>
      </c>
      <c r="C187" s="7">
        <v>930139</v>
      </c>
      <c r="D187" s="7" t="s">
        <v>313</v>
      </c>
      <c r="E187" s="7" t="s">
        <v>243</v>
      </c>
      <c r="F187" s="7">
        <f t="shared" si="2"/>
        <v>1</v>
      </c>
      <c r="G187" s="16">
        <f>+(TblDetalle[[#This Row],[MontoBrutoProm_Mes]]/TblDetalle[[#This Row],[UnidadesProm_Mes]])*TblDetalle[[#This Row],[Unidades]]</f>
        <v>28.684210526315788</v>
      </c>
      <c r="H187" s="8">
        <v>1.33</v>
      </c>
      <c r="I187" s="9">
        <v>38.15</v>
      </c>
      <c r="J187">
        <f>+TblDetalle[[#This Row],[Monto A Rebajhar]]/TblDetalle[[#This Row],[MontoBrutoProm_Mes]]</f>
        <v>0.75187969924812026</v>
      </c>
    </row>
    <row r="188" spans="1:10" x14ac:dyDescent="0.3">
      <c r="A188" s="7">
        <v>43</v>
      </c>
      <c r="B188" s="7" t="s">
        <v>307</v>
      </c>
      <c r="C188" s="7">
        <v>930140</v>
      </c>
      <c r="D188" s="7" t="s">
        <v>314</v>
      </c>
      <c r="E188" s="7" t="s">
        <v>243</v>
      </c>
      <c r="F188" s="7">
        <f t="shared" si="2"/>
        <v>7</v>
      </c>
      <c r="G188" s="16">
        <f>+(TblDetalle[[#This Row],[MontoBrutoProm_Mes]]/TblDetalle[[#This Row],[UnidadesProm_Mes]])*TblDetalle[[#This Row],[Unidades]]</f>
        <v>200.34405144694531</v>
      </c>
      <c r="H188" s="8">
        <v>9.33</v>
      </c>
      <c r="I188" s="9">
        <v>267.02999999999997</v>
      </c>
      <c r="J188">
        <f>+TblDetalle[[#This Row],[Monto A Rebajhar]]/TblDetalle[[#This Row],[MontoBrutoProm_Mes]]</f>
        <v>0.75026795284030012</v>
      </c>
    </row>
    <row r="189" spans="1:10" x14ac:dyDescent="0.3">
      <c r="A189" s="7">
        <v>43</v>
      </c>
      <c r="B189" s="7" t="s">
        <v>307</v>
      </c>
      <c r="C189" s="7">
        <v>930144</v>
      </c>
      <c r="D189" s="7" t="s">
        <v>315</v>
      </c>
      <c r="E189" s="7" t="s">
        <v>243</v>
      </c>
      <c r="F189" s="7">
        <f t="shared" si="2"/>
        <v>1</v>
      </c>
      <c r="G189" s="16">
        <f>+(TblDetalle[[#This Row],[MontoBrutoProm_Mes]]/TblDetalle[[#This Row],[UnidadesProm_Mes]])*TblDetalle[[#This Row],[Unidades]]</f>
        <v>28.684210526315788</v>
      </c>
      <c r="H189" s="8">
        <v>1.33</v>
      </c>
      <c r="I189" s="9">
        <v>38.15</v>
      </c>
      <c r="J189">
        <f>+TblDetalle[[#This Row],[Monto A Rebajhar]]/TblDetalle[[#This Row],[MontoBrutoProm_Mes]]</f>
        <v>0.75187969924812026</v>
      </c>
    </row>
    <row r="190" spans="1:10" x14ac:dyDescent="0.3">
      <c r="A190" s="7">
        <v>43</v>
      </c>
      <c r="B190" s="7" t="s">
        <v>307</v>
      </c>
      <c r="C190" s="7">
        <v>930145</v>
      </c>
      <c r="D190" s="7" t="s">
        <v>316</v>
      </c>
      <c r="E190" s="7" t="s">
        <v>243</v>
      </c>
      <c r="F190" s="7">
        <f t="shared" si="2"/>
        <v>5</v>
      </c>
      <c r="G190" s="16">
        <f>+(TblDetalle[[#This Row],[MontoBrutoProm_Mes]]/TblDetalle[[#This Row],[UnidadesProm_Mes]])*TblDetalle[[#This Row],[Unidades]]</f>
        <v>143.11732605729878</v>
      </c>
      <c r="H190" s="8">
        <v>7.33</v>
      </c>
      <c r="I190" s="9">
        <v>209.81</v>
      </c>
      <c r="J190">
        <f>+TblDetalle[[#This Row],[Monto A Rebajhar]]/TblDetalle[[#This Row],[MontoBrutoProm_Mes]]</f>
        <v>0.68212824010914053</v>
      </c>
    </row>
    <row r="191" spans="1:10" x14ac:dyDescent="0.3">
      <c r="A191" s="7">
        <v>43</v>
      </c>
      <c r="B191" s="7" t="s">
        <v>307</v>
      </c>
      <c r="C191" s="7">
        <v>930153</v>
      </c>
      <c r="D191" s="7" t="s">
        <v>282</v>
      </c>
      <c r="E191" s="7" t="s">
        <v>243</v>
      </c>
      <c r="F191" s="7">
        <f t="shared" si="2"/>
        <v>1</v>
      </c>
      <c r="G191" s="16">
        <f>+(TblDetalle[[#This Row],[MontoBrutoProm_Mes]]/TblDetalle[[#This Row],[UnidadesProm_Mes]])*TblDetalle[[#This Row],[Unidades]]</f>
        <v>155.745</v>
      </c>
      <c r="H191" s="8">
        <v>2</v>
      </c>
      <c r="I191" s="9">
        <v>311.49</v>
      </c>
      <c r="J191">
        <f>+TblDetalle[[#This Row],[Monto A Rebajhar]]/TblDetalle[[#This Row],[MontoBrutoProm_Mes]]</f>
        <v>0.5</v>
      </c>
    </row>
    <row r="192" spans="1:10" x14ac:dyDescent="0.3">
      <c r="A192" s="7">
        <v>43</v>
      </c>
      <c r="B192" s="7" t="s">
        <v>307</v>
      </c>
      <c r="C192" s="7">
        <v>930154</v>
      </c>
      <c r="D192" s="7" t="s">
        <v>245</v>
      </c>
      <c r="E192" s="7" t="s">
        <v>243</v>
      </c>
      <c r="F192" s="7">
        <f t="shared" si="2"/>
        <v>0</v>
      </c>
      <c r="G192" s="16">
        <f>+(TblDetalle[[#This Row],[MontoBrutoProm_Mes]]/TblDetalle[[#This Row],[UnidadesProm_Mes]])*TblDetalle[[#This Row],[Unidades]]</f>
        <v>0</v>
      </c>
      <c r="H192" s="8">
        <v>1</v>
      </c>
      <c r="I192" s="9">
        <v>89</v>
      </c>
      <c r="J192">
        <f>+TblDetalle[[#This Row],[Monto A Rebajhar]]/TblDetalle[[#This Row],[MontoBrutoProm_Mes]]</f>
        <v>0</v>
      </c>
    </row>
    <row r="193" spans="1:10" x14ac:dyDescent="0.3">
      <c r="A193" s="7">
        <v>43</v>
      </c>
      <c r="B193" s="7" t="s">
        <v>307</v>
      </c>
      <c r="C193" s="7">
        <v>930177</v>
      </c>
      <c r="D193" s="7" t="s">
        <v>317</v>
      </c>
      <c r="E193" s="7" t="s">
        <v>243</v>
      </c>
      <c r="F193" s="7">
        <f t="shared" si="2"/>
        <v>8</v>
      </c>
      <c r="G193" s="16">
        <f>+(TblDetalle[[#This Row],[MontoBrutoProm_Mes]]/TblDetalle[[#This Row],[UnidadesProm_Mes]])*TblDetalle[[#This Row],[Unidades]]</f>
        <v>228.80599812558577</v>
      </c>
      <c r="H193" s="8">
        <v>10.67</v>
      </c>
      <c r="I193" s="9">
        <v>305.17</v>
      </c>
      <c r="J193">
        <f>+TblDetalle[[#This Row],[Monto A Rebajhar]]/TblDetalle[[#This Row],[MontoBrutoProm_Mes]]</f>
        <v>0.7497656982193065</v>
      </c>
    </row>
    <row r="194" spans="1:10" x14ac:dyDescent="0.3">
      <c r="A194" s="7">
        <v>43</v>
      </c>
      <c r="B194" s="7" t="s">
        <v>307</v>
      </c>
      <c r="C194" s="7">
        <v>930178</v>
      </c>
      <c r="D194" s="7" t="s">
        <v>267</v>
      </c>
      <c r="E194" s="7" t="s">
        <v>243</v>
      </c>
      <c r="F194" s="7">
        <f t="shared" si="2"/>
        <v>8</v>
      </c>
      <c r="G194" s="16">
        <f>+(TblDetalle[[#This Row],[MontoBrutoProm_Mes]]/TblDetalle[[#This Row],[UnidadesProm_Mes]])*TblDetalle[[#This Row],[Unidades]]</f>
        <v>228.88</v>
      </c>
      <c r="H194" s="8">
        <v>11</v>
      </c>
      <c r="I194" s="9">
        <v>314.70999999999998</v>
      </c>
      <c r="J194">
        <f>+TblDetalle[[#This Row],[Monto A Rebajhar]]/TblDetalle[[#This Row],[MontoBrutoProm_Mes]]</f>
        <v>0.72727272727272729</v>
      </c>
    </row>
    <row r="195" spans="1:10" x14ac:dyDescent="0.3">
      <c r="A195" s="7">
        <v>50</v>
      </c>
      <c r="B195" s="7" t="s">
        <v>318</v>
      </c>
      <c r="C195" s="7">
        <v>101028</v>
      </c>
      <c r="D195" s="7" t="s">
        <v>214</v>
      </c>
      <c r="E195" s="7" t="s">
        <v>215</v>
      </c>
      <c r="F195" s="7">
        <f t="shared" si="2"/>
        <v>9</v>
      </c>
      <c r="G195" s="16">
        <f>+(TblDetalle[[#This Row],[MontoBrutoProm_Mes]]/TblDetalle[[#This Row],[UnidadesProm_Mes]])*TblDetalle[[#This Row],[Unidades]]</f>
        <v>892.34999999999991</v>
      </c>
      <c r="H195" s="8">
        <v>12</v>
      </c>
      <c r="I195" s="9">
        <v>1189.8</v>
      </c>
      <c r="J195">
        <f>+TblDetalle[[#This Row],[Monto A Rebajhar]]/TblDetalle[[#This Row],[MontoBrutoProm_Mes]]</f>
        <v>0.75</v>
      </c>
    </row>
    <row r="196" spans="1:10" x14ac:dyDescent="0.3">
      <c r="A196" s="7">
        <v>50</v>
      </c>
      <c r="B196" s="7" t="s">
        <v>318</v>
      </c>
      <c r="C196" s="7">
        <v>101034</v>
      </c>
      <c r="D196" s="7" t="s">
        <v>272</v>
      </c>
      <c r="E196" s="7" t="s">
        <v>215</v>
      </c>
      <c r="F196" s="7">
        <f t="shared" si="2"/>
        <v>5</v>
      </c>
      <c r="G196" s="16">
        <f>+(TblDetalle[[#This Row],[MontoBrutoProm_Mes]]/TblDetalle[[#This Row],[UnidadesProm_Mes]])*TblDetalle[[#This Row],[Unidades]]</f>
        <v>1164.6701649175411</v>
      </c>
      <c r="H196" s="8">
        <v>6.67</v>
      </c>
      <c r="I196" s="9">
        <v>1553.67</v>
      </c>
      <c r="J196">
        <f>+TblDetalle[[#This Row],[Monto A Rebajhar]]/TblDetalle[[#This Row],[MontoBrutoProm_Mes]]</f>
        <v>0.74962518740629669</v>
      </c>
    </row>
    <row r="197" spans="1:10" x14ac:dyDescent="0.3">
      <c r="A197" s="7">
        <v>50</v>
      </c>
      <c r="B197" s="7" t="s">
        <v>318</v>
      </c>
      <c r="C197" s="7">
        <v>101038</v>
      </c>
      <c r="D197" s="7" t="s">
        <v>235</v>
      </c>
      <c r="E197" s="7" t="s">
        <v>215</v>
      </c>
      <c r="F197" s="7">
        <f t="shared" si="2"/>
        <v>38</v>
      </c>
      <c r="G197" s="16">
        <f>+(TblDetalle[[#This Row],[MontoBrutoProm_Mes]]/TblDetalle[[#This Row],[UnidadesProm_Mes]])*TblDetalle[[#This Row],[Unidades]]</f>
        <v>13904.045106559073</v>
      </c>
      <c r="H197" s="8">
        <v>48.33</v>
      </c>
      <c r="I197" s="9">
        <v>17683.75</v>
      </c>
      <c r="J197">
        <f>+TblDetalle[[#This Row],[Monto A Rebajhar]]/TblDetalle[[#This Row],[MontoBrutoProm_Mes]]</f>
        <v>0.78626112145665217</v>
      </c>
    </row>
    <row r="198" spans="1:10" x14ac:dyDescent="0.3">
      <c r="A198" s="7">
        <v>50</v>
      </c>
      <c r="B198" s="7" t="s">
        <v>318</v>
      </c>
      <c r="C198" s="7">
        <v>101072</v>
      </c>
      <c r="D198" s="7" t="s">
        <v>273</v>
      </c>
      <c r="E198" s="7" t="s">
        <v>215</v>
      </c>
      <c r="F198" s="7">
        <f t="shared" si="2"/>
        <v>1</v>
      </c>
      <c r="G198" s="16">
        <f>+(TblDetalle[[#This Row],[MontoBrutoProm_Mes]]/TblDetalle[[#This Row],[UnidadesProm_Mes]])*TblDetalle[[#This Row],[Unidades]]</f>
        <v>43.661654135338345</v>
      </c>
      <c r="H198" s="8">
        <v>1.33</v>
      </c>
      <c r="I198" s="9">
        <v>58.07</v>
      </c>
      <c r="J198">
        <f>+TblDetalle[[#This Row],[Monto A Rebajhar]]/TblDetalle[[#This Row],[MontoBrutoProm_Mes]]</f>
        <v>0.75187969924812026</v>
      </c>
    </row>
    <row r="199" spans="1:10" x14ac:dyDescent="0.3">
      <c r="A199" s="7">
        <v>50</v>
      </c>
      <c r="B199" s="7" t="s">
        <v>318</v>
      </c>
      <c r="C199" s="7">
        <v>101130</v>
      </c>
      <c r="D199" s="7" t="s">
        <v>247</v>
      </c>
      <c r="E199" s="7" t="s">
        <v>215</v>
      </c>
      <c r="F199" s="7">
        <f t="shared" si="2"/>
        <v>0</v>
      </c>
      <c r="G199" s="16">
        <f>+(TblDetalle[[#This Row],[MontoBrutoProm_Mes]]/TblDetalle[[#This Row],[UnidadesProm_Mes]])*TblDetalle[[#This Row],[Unidades]]</f>
        <v>0</v>
      </c>
      <c r="H199" s="8">
        <v>0.67</v>
      </c>
      <c r="I199" s="9">
        <v>0.01</v>
      </c>
      <c r="J199">
        <f>+TblDetalle[[#This Row],[Monto A Rebajhar]]/TblDetalle[[#This Row],[MontoBrutoProm_Mes]]</f>
        <v>0</v>
      </c>
    </row>
    <row r="200" spans="1:10" x14ac:dyDescent="0.3">
      <c r="A200" s="7">
        <v>50</v>
      </c>
      <c r="B200" s="7" t="s">
        <v>318</v>
      </c>
      <c r="C200" s="7">
        <v>201001</v>
      </c>
      <c r="D200" s="7" t="s">
        <v>216</v>
      </c>
      <c r="E200" s="7" t="s">
        <v>217</v>
      </c>
      <c r="F200" s="7">
        <f t="shared" si="2"/>
        <v>52</v>
      </c>
      <c r="G200" s="16">
        <f>+(TblDetalle[[#This Row],[MontoBrutoProm_Mes]]/TblDetalle[[#This Row],[UnidadesProm_Mes]])*TblDetalle[[#This Row],[Unidades]]</f>
        <v>11526.254910918227</v>
      </c>
      <c r="H200" s="8">
        <v>65.67</v>
      </c>
      <c r="I200" s="9">
        <v>14556.33</v>
      </c>
      <c r="J200">
        <f>+TblDetalle[[#This Row],[Monto A Rebajhar]]/TblDetalle[[#This Row],[MontoBrutoProm_Mes]]</f>
        <v>0.79183797776762599</v>
      </c>
    </row>
    <row r="201" spans="1:10" x14ac:dyDescent="0.3">
      <c r="A201" s="7">
        <v>50</v>
      </c>
      <c r="B201" s="7" t="s">
        <v>318</v>
      </c>
      <c r="C201" s="7">
        <v>501000</v>
      </c>
      <c r="D201" s="7" t="s">
        <v>237</v>
      </c>
      <c r="E201" s="7" t="s">
        <v>217</v>
      </c>
      <c r="F201" s="7">
        <f t="shared" si="2"/>
        <v>39</v>
      </c>
      <c r="G201" s="16">
        <f>+(TblDetalle[[#This Row],[MontoBrutoProm_Mes]]/TblDetalle[[#This Row],[UnidadesProm_Mes]])*TblDetalle[[#This Row],[Unidades]]</f>
        <v>4461.8988445165214</v>
      </c>
      <c r="H201" s="8">
        <v>49.33</v>
      </c>
      <c r="I201" s="9">
        <v>5643.73</v>
      </c>
      <c r="J201">
        <f>+TblDetalle[[#This Row],[Monto A Rebajhar]]/TblDetalle[[#This Row],[MontoBrutoProm_Mes]]</f>
        <v>0.79059395905128727</v>
      </c>
    </row>
    <row r="202" spans="1:10" x14ac:dyDescent="0.3">
      <c r="A202" s="7">
        <v>50</v>
      </c>
      <c r="B202" s="7" t="s">
        <v>318</v>
      </c>
      <c r="C202" s="7">
        <v>621045</v>
      </c>
      <c r="D202" s="7" t="s">
        <v>238</v>
      </c>
      <c r="E202" s="7" t="s">
        <v>239</v>
      </c>
      <c r="F202" s="7">
        <f t="shared" si="2"/>
        <v>4</v>
      </c>
      <c r="G202" s="16">
        <f>+(TblDetalle[[#This Row],[MontoBrutoProm_Mes]]/TblDetalle[[#This Row],[UnidadesProm_Mes]])*TblDetalle[[#This Row],[Unidades]]</f>
        <v>654.072</v>
      </c>
      <c r="H202" s="8">
        <v>5</v>
      </c>
      <c r="I202" s="9">
        <v>817.59</v>
      </c>
      <c r="J202">
        <f>+TblDetalle[[#This Row],[Monto A Rebajhar]]/TblDetalle[[#This Row],[MontoBrutoProm_Mes]]</f>
        <v>0.79999999999999993</v>
      </c>
    </row>
    <row r="203" spans="1:10" x14ac:dyDescent="0.3">
      <c r="A203" s="7">
        <v>50</v>
      </c>
      <c r="B203" s="7" t="s">
        <v>318</v>
      </c>
      <c r="C203" s="7">
        <v>800088</v>
      </c>
      <c r="D203" s="7" t="s">
        <v>240</v>
      </c>
      <c r="E203" s="7" t="s">
        <v>215</v>
      </c>
      <c r="F203" s="7">
        <f t="shared" si="2"/>
        <v>17</v>
      </c>
      <c r="G203" s="16">
        <f>+(TblDetalle[[#This Row],[MontoBrutoProm_Mes]]/TblDetalle[[#This Row],[UnidadesProm_Mes]])*TblDetalle[[#This Row],[Unidades]]</f>
        <v>6194.97</v>
      </c>
      <c r="H203" s="8">
        <v>22</v>
      </c>
      <c r="I203" s="9">
        <v>8017.02</v>
      </c>
      <c r="J203">
        <f>+TblDetalle[[#This Row],[Monto A Rebajhar]]/TblDetalle[[#This Row],[MontoBrutoProm_Mes]]</f>
        <v>0.77272727272727271</v>
      </c>
    </row>
    <row r="204" spans="1:10" x14ac:dyDescent="0.3">
      <c r="A204" s="7">
        <v>50</v>
      </c>
      <c r="B204" s="7" t="s">
        <v>318</v>
      </c>
      <c r="C204" s="7">
        <v>800089</v>
      </c>
      <c r="D204" s="7" t="s">
        <v>241</v>
      </c>
      <c r="E204" s="7" t="s">
        <v>215</v>
      </c>
      <c r="F204" s="7">
        <f t="shared" si="2"/>
        <v>20</v>
      </c>
      <c r="G204" s="16">
        <f>+(TblDetalle[[#This Row],[MontoBrutoProm_Mes]]/TblDetalle[[#This Row],[UnidadesProm_Mes]])*TblDetalle[[#This Row],[Unidades]]</f>
        <v>7292.7199999999993</v>
      </c>
      <c r="H204" s="8">
        <v>25</v>
      </c>
      <c r="I204" s="9">
        <v>9115.9</v>
      </c>
      <c r="J204">
        <f>+TblDetalle[[#This Row],[Monto A Rebajhar]]/TblDetalle[[#This Row],[MontoBrutoProm_Mes]]</f>
        <v>0.79999999999999993</v>
      </c>
    </row>
    <row r="205" spans="1:10" x14ac:dyDescent="0.3">
      <c r="A205" s="7">
        <v>50</v>
      </c>
      <c r="B205" s="7" t="s">
        <v>318</v>
      </c>
      <c r="C205" s="7">
        <v>800792</v>
      </c>
      <c r="D205" s="7" t="s">
        <v>242</v>
      </c>
      <c r="E205" s="7" t="s">
        <v>243</v>
      </c>
      <c r="F205" s="7">
        <f t="shared" si="2"/>
        <v>6</v>
      </c>
      <c r="G205" s="16">
        <f>+(TblDetalle[[#This Row],[MontoBrutoProm_Mes]]/TblDetalle[[#This Row],[UnidadesProm_Mes]])*TblDetalle[[#This Row],[Unidades]]</f>
        <v>919.03001200480207</v>
      </c>
      <c r="H205" s="8">
        <v>8.33</v>
      </c>
      <c r="I205" s="9">
        <v>1275.92</v>
      </c>
      <c r="J205">
        <f>+TblDetalle[[#This Row],[Monto A Rebajhar]]/TblDetalle[[#This Row],[MontoBrutoProm_Mes]]</f>
        <v>0.72028811524609848</v>
      </c>
    </row>
    <row r="206" spans="1:10" x14ac:dyDescent="0.3">
      <c r="A206" s="7">
        <v>50</v>
      </c>
      <c r="B206" s="7" t="s">
        <v>318</v>
      </c>
      <c r="C206" s="7">
        <v>925095</v>
      </c>
      <c r="D206" s="7" t="s">
        <v>280</v>
      </c>
      <c r="E206" s="7" t="s">
        <v>220</v>
      </c>
      <c r="F206" s="7">
        <f t="shared" si="2"/>
        <v>12</v>
      </c>
      <c r="G206" s="16">
        <f>+(TblDetalle[[#This Row],[MontoBrutoProm_Mes]]/TblDetalle[[#This Row],[UnidadesProm_Mes]])*TblDetalle[[#This Row],[Unidades]]</f>
        <v>552.96</v>
      </c>
      <c r="H206" s="8">
        <v>16</v>
      </c>
      <c r="I206" s="9">
        <v>737.28</v>
      </c>
      <c r="J206">
        <f>+TblDetalle[[#This Row],[Monto A Rebajhar]]/TblDetalle[[#This Row],[MontoBrutoProm_Mes]]</f>
        <v>0.75000000000000011</v>
      </c>
    </row>
    <row r="207" spans="1:10" x14ac:dyDescent="0.3">
      <c r="A207" s="7">
        <v>50</v>
      </c>
      <c r="B207" s="7" t="s">
        <v>318</v>
      </c>
      <c r="C207" s="7">
        <v>925102</v>
      </c>
      <c r="D207" s="7" t="s">
        <v>319</v>
      </c>
      <c r="E207" s="7" t="s">
        <v>220</v>
      </c>
      <c r="F207" s="7">
        <f t="shared" si="2"/>
        <v>0</v>
      </c>
      <c r="G207" s="16">
        <f>+(TblDetalle[[#This Row],[MontoBrutoProm_Mes]]/TblDetalle[[#This Row],[UnidadesProm_Mes]])*TblDetalle[[#This Row],[Unidades]]</f>
        <v>0</v>
      </c>
      <c r="H207" s="8">
        <v>1</v>
      </c>
      <c r="I207" s="9">
        <v>137.19999999999999</v>
      </c>
      <c r="J207">
        <f>+TblDetalle[[#This Row],[Monto A Rebajhar]]/TblDetalle[[#This Row],[MontoBrutoProm_Mes]]</f>
        <v>0</v>
      </c>
    </row>
    <row r="208" spans="1:10" x14ac:dyDescent="0.3">
      <c r="A208" s="7">
        <v>50</v>
      </c>
      <c r="B208" s="7" t="s">
        <v>318</v>
      </c>
      <c r="C208" s="7">
        <v>982005</v>
      </c>
      <c r="D208" s="7" t="s">
        <v>285</v>
      </c>
      <c r="E208" s="7" t="s">
        <v>270</v>
      </c>
      <c r="F208" s="7">
        <f t="shared" si="2"/>
        <v>6</v>
      </c>
      <c r="G208" s="16">
        <f>+(TblDetalle[[#This Row],[MontoBrutoProm_Mes]]/TblDetalle[[#This Row],[UnidadesProm_Mes]])*TblDetalle[[#This Row],[Unidades]]</f>
        <v>922.09908735332465</v>
      </c>
      <c r="H208" s="8">
        <v>7.67</v>
      </c>
      <c r="I208" s="9">
        <v>1178.75</v>
      </c>
      <c r="J208">
        <f>+TblDetalle[[#This Row],[Monto A Rebajhar]]/TblDetalle[[#This Row],[MontoBrutoProm_Mes]]</f>
        <v>0.78226857887874834</v>
      </c>
    </row>
    <row r="209" spans="1:10" x14ac:dyDescent="0.3">
      <c r="A209" s="7">
        <v>56</v>
      </c>
      <c r="B209" s="7" t="s">
        <v>320</v>
      </c>
      <c r="C209" s="7">
        <v>101005</v>
      </c>
      <c r="D209" s="7" t="s">
        <v>232</v>
      </c>
      <c r="E209" s="7" t="s">
        <v>215</v>
      </c>
      <c r="F209" s="7">
        <f t="shared" si="2"/>
        <v>43</v>
      </c>
      <c r="G209" s="16">
        <f>+(TblDetalle[[#This Row],[MontoBrutoProm_Mes]]/TblDetalle[[#This Row],[UnidadesProm_Mes]])*TblDetalle[[#This Row],[Unidades]]</f>
        <v>3311.9237037037033</v>
      </c>
      <c r="H209" s="8">
        <v>54</v>
      </c>
      <c r="I209" s="9">
        <v>4159.16</v>
      </c>
      <c r="J209">
        <f>+TblDetalle[[#This Row],[Monto A Rebajhar]]/TblDetalle[[#This Row],[MontoBrutoProm_Mes]]</f>
        <v>0.79629629629629617</v>
      </c>
    </row>
    <row r="210" spans="1:10" x14ac:dyDescent="0.3">
      <c r="A210" s="7">
        <v>56</v>
      </c>
      <c r="B210" s="7" t="s">
        <v>320</v>
      </c>
      <c r="C210" s="7">
        <v>101018</v>
      </c>
      <c r="D210" s="7" t="s">
        <v>321</v>
      </c>
      <c r="E210" s="7" t="s">
        <v>215</v>
      </c>
      <c r="F210" s="7">
        <f t="shared" si="2"/>
        <v>26</v>
      </c>
      <c r="G210" s="16">
        <f>+(TblDetalle[[#This Row],[MontoBrutoProm_Mes]]/TblDetalle[[#This Row],[UnidadesProm_Mes]])*TblDetalle[[#This Row],[Unidades]]</f>
        <v>456.60306030603067</v>
      </c>
      <c r="H210" s="8">
        <v>33.33</v>
      </c>
      <c r="I210" s="9">
        <v>585.33000000000004</v>
      </c>
      <c r="J210">
        <f>+TblDetalle[[#This Row],[Monto A Rebajhar]]/TblDetalle[[#This Row],[MontoBrutoProm_Mes]]</f>
        <v>0.78007800780078018</v>
      </c>
    </row>
    <row r="211" spans="1:10" x14ac:dyDescent="0.3">
      <c r="A211" s="7">
        <v>56</v>
      </c>
      <c r="B211" s="7" t="s">
        <v>320</v>
      </c>
      <c r="C211" s="7">
        <v>101026</v>
      </c>
      <c r="D211" s="7" t="s">
        <v>233</v>
      </c>
      <c r="E211" s="7" t="s">
        <v>215</v>
      </c>
      <c r="F211" s="7">
        <f t="shared" si="2"/>
        <v>22</v>
      </c>
      <c r="G211" s="16">
        <f>+(TblDetalle[[#This Row],[MontoBrutoProm_Mes]]/TblDetalle[[#This Row],[UnidadesProm_Mes]])*TblDetalle[[#This Row],[Unidades]]</f>
        <v>744.4799999999999</v>
      </c>
      <c r="H211" s="8">
        <v>28</v>
      </c>
      <c r="I211" s="9">
        <v>947.52</v>
      </c>
      <c r="J211">
        <f>+TblDetalle[[#This Row],[Monto A Rebajhar]]/TblDetalle[[#This Row],[MontoBrutoProm_Mes]]</f>
        <v>0.78571428571428559</v>
      </c>
    </row>
    <row r="212" spans="1:10" x14ac:dyDescent="0.3">
      <c r="A212" s="7">
        <v>56</v>
      </c>
      <c r="B212" s="7" t="s">
        <v>320</v>
      </c>
      <c r="C212" s="7">
        <v>101027</v>
      </c>
      <c r="D212" s="7" t="s">
        <v>234</v>
      </c>
      <c r="E212" s="7" t="s">
        <v>215</v>
      </c>
      <c r="F212" s="7">
        <f t="shared" si="2"/>
        <v>30</v>
      </c>
      <c r="G212" s="16">
        <f>+(TblDetalle[[#This Row],[MontoBrutoProm_Mes]]/TblDetalle[[#This Row],[UnidadesProm_Mes]])*TblDetalle[[#This Row],[Unidades]]</f>
        <v>2304.0947368421052</v>
      </c>
      <c r="H212" s="8">
        <v>38</v>
      </c>
      <c r="I212" s="9">
        <v>2918.52</v>
      </c>
      <c r="J212">
        <f>+TblDetalle[[#This Row],[Monto A Rebajhar]]/TblDetalle[[#This Row],[MontoBrutoProm_Mes]]</f>
        <v>0.78947368421052633</v>
      </c>
    </row>
    <row r="213" spans="1:10" x14ac:dyDescent="0.3">
      <c r="A213" s="7">
        <v>56</v>
      </c>
      <c r="B213" s="7" t="s">
        <v>320</v>
      </c>
      <c r="C213" s="7">
        <v>101028</v>
      </c>
      <c r="D213" s="7" t="s">
        <v>214</v>
      </c>
      <c r="E213" s="7" t="s">
        <v>215</v>
      </c>
      <c r="F213" s="7">
        <f t="shared" si="2"/>
        <v>63</v>
      </c>
      <c r="G213" s="16">
        <f>+(TblDetalle[[#This Row],[MontoBrutoProm_Mes]]/TblDetalle[[#This Row],[UnidadesProm_Mes]])*TblDetalle[[#This Row],[Unidades]]</f>
        <v>6233.7519223496784</v>
      </c>
      <c r="H213" s="8">
        <v>79.33</v>
      </c>
      <c r="I213" s="9">
        <v>7849.58</v>
      </c>
      <c r="J213">
        <f>+TblDetalle[[#This Row],[Monto A Rebajhar]]/TblDetalle[[#This Row],[MontoBrutoProm_Mes]]</f>
        <v>0.79415101474851879</v>
      </c>
    </row>
    <row r="214" spans="1:10" x14ac:dyDescent="0.3">
      <c r="A214" s="7">
        <v>56</v>
      </c>
      <c r="B214" s="7" t="s">
        <v>320</v>
      </c>
      <c r="C214" s="7">
        <v>101034</v>
      </c>
      <c r="D214" s="7" t="s">
        <v>272</v>
      </c>
      <c r="E214" s="7" t="s">
        <v>215</v>
      </c>
      <c r="F214" s="7">
        <f t="shared" si="2"/>
        <v>0</v>
      </c>
      <c r="G214" s="16">
        <f>+(TblDetalle[[#This Row],[MontoBrutoProm_Mes]]/TblDetalle[[#This Row],[UnidadesProm_Mes]])*TblDetalle[[#This Row],[Unidades]]</f>
        <v>0</v>
      </c>
      <c r="H214" s="8">
        <v>1</v>
      </c>
      <c r="I214" s="9">
        <v>245.76</v>
      </c>
      <c r="J214">
        <f>+TblDetalle[[#This Row],[Monto A Rebajhar]]/TblDetalle[[#This Row],[MontoBrutoProm_Mes]]</f>
        <v>0</v>
      </c>
    </row>
    <row r="215" spans="1:10" x14ac:dyDescent="0.3">
      <c r="A215" s="7">
        <v>56</v>
      </c>
      <c r="B215" s="7" t="s">
        <v>320</v>
      </c>
      <c r="C215" s="7">
        <v>101038</v>
      </c>
      <c r="D215" s="7" t="s">
        <v>235</v>
      </c>
      <c r="E215" s="7" t="s">
        <v>215</v>
      </c>
      <c r="F215" s="7">
        <f t="shared" si="2"/>
        <v>14</v>
      </c>
      <c r="G215" s="16">
        <f>+(TblDetalle[[#This Row],[MontoBrutoProm_Mes]]/TblDetalle[[#This Row],[UnidadesProm_Mes]])*TblDetalle[[#This Row],[Unidades]]</f>
        <v>5265.5166666666664</v>
      </c>
      <c r="H215" s="8">
        <v>18</v>
      </c>
      <c r="I215" s="9">
        <v>6769.95</v>
      </c>
      <c r="J215">
        <f>+TblDetalle[[#This Row],[Monto A Rebajhar]]/TblDetalle[[#This Row],[MontoBrutoProm_Mes]]</f>
        <v>0.77777777777777779</v>
      </c>
    </row>
    <row r="216" spans="1:10" x14ac:dyDescent="0.3">
      <c r="A216" s="7">
        <v>56</v>
      </c>
      <c r="B216" s="7" t="s">
        <v>320</v>
      </c>
      <c r="C216" s="7">
        <v>101072</v>
      </c>
      <c r="D216" s="7" t="s">
        <v>273</v>
      </c>
      <c r="E216" s="7" t="s">
        <v>215</v>
      </c>
      <c r="F216" s="7">
        <f t="shared" si="2"/>
        <v>3</v>
      </c>
      <c r="G216" s="16">
        <f>+(TblDetalle[[#This Row],[MontoBrutoProm_Mes]]/TblDetalle[[#This Row],[UnidadesProm_Mes]])*TblDetalle[[#This Row],[Unidades]]</f>
        <v>130.64999999999998</v>
      </c>
      <c r="H216" s="8">
        <v>4</v>
      </c>
      <c r="I216" s="9">
        <v>174.2</v>
      </c>
      <c r="J216">
        <f>+TblDetalle[[#This Row],[Monto A Rebajhar]]/TblDetalle[[#This Row],[MontoBrutoProm_Mes]]</f>
        <v>0.74999999999999989</v>
      </c>
    </row>
    <row r="217" spans="1:10" x14ac:dyDescent="0.3">
      <c r="A217" s="7">
        <v>56</v>
      </c>
      <c r="B217" s="7" t="s">
        <v>320</v>
      </c>
      <c r="C217" s="7">
        <v>101124</v>
      </c>
      <c r="D217" s="7" t="s">
        <v>322</v>
      </c>
      <c r="E217" s="7" t="s">
        <v>215</v>
      </c>
      <c r="F217" s="7">
        <f t="shared" si="2"/>
        <v>12</v>
      </c>
      <c r="G217" s="16">
        <f>+(TblDetalle[[#This Row],[MontoBrutoProm_Mes]]/TblDetalle[[#This Row],[UnidadesProm_Mes]])*TblDetalle[[#This Row],[Unidades]]</f>
        <v>884.40000000000009</v>
      </c>
      <c r="H217" s="8">
        <v>16</v>
      </c>
      <c r="I217" s="9">
        <v>1179.2</v>
      </c>
      <c r="J217">
        <f>+TblDetalle[[#This Row],[Monto A Rebajhar]]/TblDetalle[[#This Row],[MontoBrutoProm_Mes]]</f>
        <v>0.75</v>
      </c>
    </row>
    <row r="218" spans="1:10" x14ac:dyDescent="0.3">
      <c r="A218" s="7">
        <v>56</v>
      </c>
      <c r="B218" s="7" t="s">
        <v>320</v>
      </c>
      <c r="C218" s="7">
        <v>101130</v>
      </c>
      <c r="D218" s="7" t="s">
        <v>247</v>
      </c>
      <c r="E218" s="7" t="s">
        <v>215</v>
      </c>
      <c r="F218" s="7">
        <f t="shared" si="2"/>
        <v>4</v>
      </c>
      <c r="G218" s="16">
        <f>+(TblDetalle[[#This Row],[MontoBrutoProm_Mes]]/TblDetalle[[#This Row],[UnidadesProm_Mes]])*TblDetalle[[#This Row],[Unidades]]</f>
        <v>3.7523452157598502E-2</v>
      </c>
      <c r="H218" s="8">
        <v>5.33</v>
      </c>
      <c r="I218" s="9">
        <v>0.05</v>
      </c>
      <c r="J218">
        <f>+TblDetalle[[#This Row],[Monto A Rebajhar]]/TblDetalle[[#This Row],[MontoBrutoProm_Mes]]</f>
        <v>0.75046904315197005</v>
      </c>
    </row>
    <row r="219" spans="1:10" x14ac:dyDescent="0.3">
      <c r="A219" s="7">
        <v>56</v>
      </c>
      <c r="B219" s="7" t="s">
        <v>320</v>
      </c>
      <c r="C219" s="7">
        <v>103001</v>
      </c>
      <c r="D219" s="7" t="s">
        <v>248</v>
      </c>
      <c r="E219" s="7" t="s">
        <v>215</v>
      </c>
      <c r="F219" s="7">
        <f t="shared" si="2"/>
        <v>103</v>
      </c>
      <c r="G219" s="16">
        <f>+(TblDetalle[[#This Row],[MontoBrutoProm_Mes]]/TblDetalle[[#This Row],[UnidadesProm_Mes]])*TblDetalle[[#This Row],[Unidades]]</f>
        <v>2275.27</v>
      </c>
      <c r="H219" s="8">
        <v>129</v>
      </c>
      <c r="I219" s="9">
        <v>2849.61</v>
      </c>
      <c r="J219">
        <f>+TblDetalle[[#This Row],[Monto A Rebajhar]]/TblDetalle[[#This Row],[MontoBrutoProm_Mes]]</f>
        <v>0.79844961240310075</v>
      </c>
    </row>
    <row r="220" spans="1:10" x14ac:dyDescent="0.3">
      <c r="A220" s="7">
        <v>56</v>
      </c>
      <c r="B220" s="7" t="s">
        <v>320</v>
      </c>
      <c r="C220" s="7">
        <v>201001</v>
      </c>
      <c r="D220" s="7" t="s">
        <v>216</v>
      </c>
      <c r="E220" s="7" t="s">
        <v>217</v>
      </c>
      <c r="F220" s="7">
        <f t="shared" si="2"/>
        <v>35</v>
      </c>
      <c r="G220" s="16">
        <f>+(TblDetalle[[#This Row],[MontoBrutoProm_Mes]]/TblDetalle[[#This Row],[UnidadesProm_Mes]])*TblDetalle[[#This Row],[Unidades]]</f>
        <v>7810.4454891426012</v>
      </c>
      <c r="H220" s="8">
        <v>44.67</v>
      </c>
      <c r="I220" s="9">
        <v>9968.36</v>
      </c>
      <c r="J220">
        <f>+TblDetalle[[#This Row],[Monto A Rebajhar]]/TblDetalle[[#This Row],[MontoBrutoProm_Mes]]</f>
        <v>0.78352361764047451</v>
      </c>
    </row>
    <row r="221" spans="1:10" x14ac:dyDescent="0.3">
      <c r="A221" s="7">
        <v>56</v>
      </c>
      <c r="B221" s="7" t="s">
        <v>320</v>
      </c>
      <c r="C221" s="7">
        <v>501000</v>
      </c>
      <c r="D221" s="7" t="s">
        <v>237</v>
      </c>
      <c r="E221" s="7" t="s">
        <v>217</v>
      </c>
      <c r="F221" s="7">
        <f t="shared" si="2"/>
        <v>1</v>
      </c>
      <c r="G221" s="16">
        <f>+(TblDetalle[[#This Row],[MontoBrutoProm_Mes]]/TblDetalle[[#This Row],[UnidadesProm_Mes]])*TblDetalle[[#This Row],[Unidades]]</f>
        <v>123.18796992481202</v>
      </c>
      <c r="H221" s="8">
        <v>1.33</v>
      </c>
      <c r="I221" s="9">
        <v>163.84</v>
      </c>
      <c r="J221">
        <f>+TblDetalle[[#This Row],[Monto A Rebajhar]]/TblDetalle[[#This Row],[MontoBrutoProm_Mes]]</f>
        <v>0.75187969924812026</v>
      </c>
    </row>
    <row r="222" spans="1:10" x14ac:dyDescent="0.3">
      <c r="A222" s="7">
        <v>56</v>
      </c>
      <c r="B222" s="7" t="s">
        <v>320</v>
      </c>
      <c r="C222" s="7">
        <v>611053</v>
      </c>
      <c r="D222" s="7" t="s">
        <v>253</v>
      </c>
      <c r="E222" s="7" t="s">
        <v>217</v>
      </c>
      <c r="F222" s="7">
        <f t="shared" si="2"/>
        <v>6</v>
      </c>
      <c r="G222" s="16">
        <f>+(TblDetalle[[#This Row],[MontoBrutoProm_Mes]]/TblDetalle[[#This Row],[UnidadesProm_Mes]])*TblDetalle[[#This Row],[Unidades]]</f>
        <v>132.18</v>
      </c>
      <c r="H222" s="8">
        <v>8</v>
      </c>
      <c r="I222" s="9">
        <v>176.24</v>
      </c>
      <c r="J222">
        <f>+TblDetalle[[#This Row],[Monto A Rebajhar]]/TblDetalle[[#This Row],[MontoBrutoProm_Mes]]</f>
        <v>0.75</v>
      </c>
    </row>
    <row r="223" spans="1:10" x14ac:dyDescent="0.3">
      <c r="A223" s="7">
        <v>56</v>
      </c>
      <c r="B223" s="7" t="s">
        <v>320</v>
      </c>
      <c r="C223" s="7">
        <v>621004</v>
      </c>
      <c r="D223" s="7" t="s">
        <v>256</v>
      </c>
      <c r="E223" s="7" t="s">
        <v>239</v>
      </c>
      <c r="F223" s="7">
        <f t="shared" si="2"/>
        <v>3</v>
      </c>
      <c r="G223" s="16">
        <f>+(TblDetalle[[#This Row],[MontoBrutoProm_Mes]]/TblDetalle[[#This Row],[UnidadesProm_Mes]])*TblDetalle[[#This Row],[Unidades]]</f>
        <v>854.46</v>
      </c>
      <c r="H223" s="8">
        <v>4</v>
      </c>
      <c r="I223" s="9">
        <v>1139.28</v>
      </c>
      <c r="J223">
        <f>+TblDetalle[[#This Row],[Monto A Rebajhar]]/TblDetalle[[#This Row],[MontoBrutoProm_Mes]]</f>
        <v>0.75</v>
      </c>
    </row>
    <row r="224" spans="1:10" x14ac:dyDescent="0.3">
      <c r="A224" s="7">
        <v>56</v>
      </c>
      <c r="B224" s="7" t="s">
        <v>320</v>
      </c>
      <c r="C224" s="7">
        <v>621043</v>
      </c>
      <c r="D224" s="7" t="s">
        <v>257</v>
      </c>
      <c r="E224" s="7" t="s">
        <v>239</v>
      </c>
      <c r="F224" s="7">
        <f t="shared" si="2"/>
        <v>1</v>
      </c>
      <c r="G224" s="16">
        <f>+(TblDetalle[[#This Row],[MontoBrutoProm_Mes]]/TblDetalle[[#This Row],[UnidadesProm_Mes]])*TblDetalle[[#This Row],[Unidades]]</f>
        <v>7.5187969924812026E-3</v>
      </c>
      <c r="H224" s="8">
        <v>1.33</v>
      </c>
      <c r="I224" s="9">
        <v>0.01</v>
      </c>
      <c r="J224">
        <f>+TblDetalle[[#This Row],[Monto A Rebajhar]]/TblDetalle[[#This Row],[MontoBrutoProm_Mes]]</f>
        <v>0.75187969924812026</v>
      </c>
    </row>
    <row r="225" spans="1:10" x14ac:dyDescent="0.3">
      <c r="A225" s="7">
        <v>56</v>
      </c>
      <c r="B225" s="7" t="s">
        <v>320</v>
      </c>
      <c r="C225" s="7">
        <v>621045</v>
      </c>
      <c r="D225" s="7" t="s">
        <v>238</v>
      </c>
      <c r="E225" s="7" t="s">
        <v>239</v>
      </c>
      <c r="F225" s="7">
        <f t="shared" si="2"/>
        <v>9</v>
      </c>
      <c r="G225" s="16">
        <f>+(TblDetalle[[#This Row],[MontoBrutoProm_Mes]]/TblDetalle[[#This Row],[UnidadesProm_Mes]])*TblDetalle[[#This Row],[Unidades]]</f>
        <v>1528.11</v>
      </c>
      <c r="H225" s="8">
        <v>12</v>
      </c>
      <c r="I225" s="9">
        <v>2037.48</v>
      </c>
      <c r="J225">
        <f>+TblDetalle[[#This Row],[Monto A Rebajhar]]/TblDetalle[[#This Row],[MontoBrutoProm_Mes]]</f>
        <v>0.74999999999999989</v>
      </c>
    </row>
    <row r="226" spans="1:10" x14ac:dyDescent="0.3">
      <c r="A226" s="7">
        <v>56</v>
      </c>
      <c r="B226" s="7" t="s">
        <v>320</v>
      </c>
      <c r="C226" s="7">
        <v>800088</v>
      </c>
      <c r="D226" s="7" t="s">
        <v>240</v>
      </c>
      <c r="E226" s="7" t="s">
        <v>215</v>
      </c>
      <c r="F226" s="7">
        <f t="shared" si="2"/>
        <v>6</v>
      </c>
      <c r="G226" s="16">
        <f>+(TblDetalle[[#This Row],[MontoBrutoProm_Mes]]/TblDetalle[[#This Row],[UnidadesProm_Mes]])*TblDetalle[[#This Row],[Unidades]]</f>
        <v>2197.9869621903522</v>
      </c>
      <c r="H226" s="8">
        <v>7.67</v>
      </c>
      <c r="I226" s="9">
        <v>2809.76</v>
      </c>
      <c r="J226">
        <f>+TblDetalle[[#This Row],[Monto A Rebajhar]]/TblDetalle[[#This Row],[MontoBrutoProm_Mes]]</f>
        <v>0.78226857887874834</v>
      </c>
    </row>
    <row r="227" spans="1:10" x14ac:dyDescent="0.3">
      <c r="A227" s="7">
        <v>56</v>
      </c>
      <c r="B227" s="7" t="s">
        <v>320</v>
      </c>
      <c r="C227" s="7">
        <v>800089</v>
      </c>
      <c r="D227" s="7" t="s">
        <v>241</v>
      </c>
      <c r="E227" s="7" t="s">
        <v>215</v>
      </c>
      <c r="F227" s="7">
        <f t="shared" si="2"/>
        <v>8</v>
      </c>
      <c r="G227" s="16">
        <f>+(TblDetalle[[#This Row],[MontoBrutoProm_Mes]]/TblDetalle[[#This Row],[UnidadesProm_Mes]])*TblDetalle[[#This Row],[Unidades]]</f>
        <v>3007.674733785092</v>
      </c>
      <c r="H227" s="8">
        <v>10.33</v>
      </c>
      <c r="I227" s="9">
        <v>3883.66</v>
      </c>
      <c r="J227">
        <f>+TblDetalle[[#This Row],[Monto A Rebajhar]]/TblDetalle[[#This Row],[MontoBrutoProm_Mes]]</f>
        <v>0.7744433688286545</v>
      </c>
    </row>
    <row r="228" spans="1:10" x14ac:dyDescent="0.3">
      <c r="A228" s="7">
        <v>56</v>
      </c>
      <c r="B228" s="7" t="s">
        <v>320</v>
      </c>
      <c r="C228" s="7">
        <v>800792</v>
      </c>
      <c r="D228" s="7" t="s">
        <v>242</v>
      </c>
      <c r="E228" s="7" t="s">
        <v>243</v>
      </c>
      <c r="F228" s="7">
        <f t="shared" si="2"/>
        <v>16</v>
      </c>
      <c r="G228" s="16">
        <f>+(TblDetalle[[#This Row],[MontoBrutoProm_Mes]]/TblDetalle[[#This Row],[UnidadesProm_Mes]])*TblDetalle[[#This Row],[Unidades]]</f>
        <v>2576.3200000000002</v>
      </c>
      <c r="H228" s="8">
        <v>20</v>
      </c>
      <c r="I228" s="9">
        <v>3220.4</v>
      </c>
      <c r="J228">
        <f>+TblDetalle[[#This Row],[Monto A Rebajhar]]/TblDetalle[[#This Row],[MontoBrutoProm_Mes]]</f>
        <v>0.8</v>
      </c>
    </row>
    <row r="229" spans="1:10" x14ac:dyDescent="0.3">
      <c r="A229" s="7">
        <v>56</v>
      </c>
      <c r="B229" s="7" t="s">
        <v>320</v>
      </c>
      <c r="C229" s="7">
        <v>800793</v>
      </c>
      <c r="D229" s="7" t="s">
        <v>260</v>
      </c>
      <c r="E229" s="7" t="s">
        <v>243</v>
      </c>
      <c r="F229" s="7">
        <f t="shared" si="2"/>
        <v>0</v>
      </c>
      <c r="G229" s="16">
        <f>+(TblDetalle[[#This Row],[MontoBrutoProm_Mes]]/TblDetalle[[#This Row],[UnidadesProm_Mes]])*TblDetalle[[#This Row],[Unidades]]</f>
        <v>0</v>
      </c>
      <c r="H229" s="8">
        <v>0.33</v>
      </c>
      <c r="I229" s="9">
        <v>53.67</v>
      </c>
      <c r="J229">
        <f>+TblDetalle[[#This Row],[Monto A Rebajhar]]/TblDetalle[[#This Row],[MontoBrutoProm_Mes]]</f>
        <v>0</v>
      </c>
    </row>
    <row r="230" spans="1:10" x14ac:dyDescent="0.3">
      <c r="A230" s="7">
        <v>56</v>
      </c>
      <c r="B230" s="7" t="s">
        <v>320</v>
      </c>
      <c r="C230" s="7">
        <v>800796</v>
      </c>
      <c r="D230" s="7" t="s">
        <v>276</v>
      </c>
      <c r="E230" s="7" t="s">
        <v>243</v>
      </c>
      <c r="F230" s="7">
        <f t="shared" si="2"/>
        <v>0</v>
      </c>
      <c r="G230" s="16">
        <f>+(TblDetalle[[#This Row],[MontoBrutoProm_Mes]]/TblDetalle[[#This Row],[UnidadesProm_Mes]])*TblDetalle[[#This Row],[Unidades]]</f>
        <v>0</v>
      </c>
      <c r="H230" s="8">
        <v>0.33</v>
      </c>
      <c r="I230" s="9">
        <v>53.67</v>
      </c>
      <c r="J230">
        <f>+TblDetalle[[#This Row],[Monto A Rebajhar]]/TblDetalle[[#This Row],[MontoBrutoProm_Mes]]</f>
        <v>0</v>
      </c>
    </row>
    <row r="231" spans="1:10" x14ac:dyDescent="0.3">
      <c r="A231" s="7">
        <v>56</v>
      </c>
      <c r="B231" s="7" t="s">
        <v>320</v>
      </c>
      <c r="C231" s="7">
        <v>910122</v>
      </c>
      <c r="D231" s="7" t="s">
        <v>323</v>
      </c>
      <c r="E231" s="7" t="s">
        <v>296</v>
      </c>
      <c r="F231" s="7">
        <f t="shared" si="2"/>
        <v>6</v>
      </c>
      <c r="G231" s="16">
        <f>+(TblDetalle[[#This Row],[MontoBrutoProm_Mes]]/TblDetalle[[#This Row],[UnidadesProm_Mes]])*TblDetalle[[#This Row],[Unidades]]</f>
        <v>169.38</v>
      </c>
      <c r="H231" s="8">
        <v>8</v>
      </c>
      <c r="I231" s="9">
        <v>225.84</v>
      </c>
      <c r="J231">
        <f>+TblDetalle[[#This Row],[Monto A Rebajhar]]/TblDetalle[[#This Row],[MontoBrutoProm_Mes]]</f>
        <v>0.75</v>
      </c>
    </row>
    <row r="232" spans="1:10" x14ac:dyDescent="0.3">
      <c r="A232" s="7">
        <v>56</v>
      </c>
      <c r="B232" s="7" t="s">
        <v>320</v>
      </c>
      <c r="C232" s="7">
        <v>912005</v>
      </c>
      <c r="D232" s="7" t="s">
        <v>324</v>
      </c>
      <c r="E232" s="7" t="s">
        <v>325</v>
      </c>
      <c r="F232" s="7">
        <f t="shared" si="2"/>
        <v>1</v>
      </c>
      <c r="G232" s="16">
        <f>+(TblDetalle[[#This Row],[MontoBrutoProm_Mes]]/TblDetalle[[#This Row],[UnidadesProm_Mes]])*TblDetalle[[#This Row],[Unidades]]</f>
        <v>114.61</v>
      </c>
      <c r="H232" s="8">
        <v>2</v>
      </c>
      <c r="I232" s="9">
        <v>229.22</v>
      </c>
      <c r="J232">
        <f>+TblDetalle[[#This Row],[Monto A Rebajhar]]/TblDetalle[[#This Row],[MontoBrutoProm_Mes]]</f>
        <v>0.5</v>
      </c>
    </row>
    <row r="233" spans="1:10" x14ac:dyDescent="0.3">
      <c r="A233" s="7">
        <v>56</v>
      </c>
      <c r="B233" s="7" t="s">
        <v>320</v>
      </c>
      <c r="C233" s="7">
        <v>912007</v>
      </c>
      <c r="D233" s="7" t="s">
        <v>326</v>
      </c>
      <c r="E233" s="7" t="s">
        <v>325</v>
      </c>
      <c r="F233" s="7">
        <f t="shared" si="2"/>
        <v>1</v>
      </c>
      <c r="G233" s="16">
        <f>+(TblDetalle[[#This Row],[MontoBrutoProm_Mes]]/TblDetalle[[#This Row],[UnidadesProm_Mes]])*TblDetalle[[#This Row],[Unidades]]</f>
        <v>116.71856287425149</v>
      </c>
      <c r="H233" s="8">
        <v>1.67</v>
      </c>
      <c r="I233" s="9">
        <v>194.92</v>
      </c>
      <c r="J233">
        <f>+TblDetalle[[#This Row],[Monto A Rebajhar]]/TblDetalle[[#This Row],[MontoBrutoProm_Mes]]</f>
        <v>0.59880239520958078</v>
      </c>
    </row>
    <row r="234" spans="1:10" x14ac:dyDescent="0.3">
      <c r="A234" s="7">
        <v>56</v>
      </c>
      <c r="B234" s="7" t="s">
        <v>320</v>
      </c>
      <c r="C234" s="7">
        <v>924104</v>
      </c>
      <c r="D234" s="7" t="s">
        <v>277</v>
      </c>
      <c r="E234" s="7" t="s">
        <v>215</v>
      </c>
      <c r="F234" s="7">
        <f t="shared" si="2"/>
        <v>1</v>
      </c>
      <c r="G234" s="16">
        <f>+(TblDetalle[[#This Row],[MontoBrutoProm_Mes]]/TblDetalle[[#This Row],[UnidadesProm_Mes]])*TblDetalle[[#This Row],[Unidades]]</f>
        <v>0.01</v>
      </c>
      <c r="H234" s="8">
        <v>2</v>
      </c>
      <c r="I234" s="9">
        <v>0.02</v>
      </c>
      <c r="J234">
        <f>+TblDetalle[[#This Row],[Monto A Rebajhar]]/TblDetalle[[#This Row],[MontoBrutoProm_Mes]]</f>
        <v>0.5</v>
      </c>
    </row>
    <row r="235" spans="1:10" x14ac:dyDescent="0.3">
      <c r="A235" s="7">
        <v>56</v>
      </c>
      <c r="B235" s="7" t="s">
        <v>320</v>
      </c>
      <c r="C235" s="7">
        <v>925064</v>
      </c>
      <c r="D235" s="7" t="s">
        <v>263</v>
      </c>
      <c r="E235" s="7" t="s">
        <v>220</v>
      </c>
      <c r="F235" s="7">
        <f t="shared" si="2"/>
        <v>6</v>
      </c>
      <c r="G235" s="16">
        <f>+(TblDetalle[[#This Row],[MontoBrutoProm_Mes]]/TblDetalle[[#This Row],[UnidadesProm_Mes]])*TblDetalle[[#This Row],[Unidades]]</f>
        <v>193.27490996398558</v>
      </c>
      <c r="H235" s="8">
        <v>8.33</v>
      </c>
      <c r="I235" s="9">
        <v>268.33</v>
      </c>
      <c r="J235">
        <f>+TblDetalle[[#This Row],[Monto A Rebajhar]]/TblDetalle[[#This Row],[MontoBrutoProm_Mes]]</f>
        <v>0.72028811524609837</v>
      </c>
    </row>
    <row r="236" spans="1:10" x14ac:dyDescent="0.3">
      <c r="A236" s="7">
        <v>56</v>
      </c>
      <c r="B236" s="7" t="s">
        <v>320</v>
      </c>
      <c r="C236" s="7">
        <v>925079</v>
      </c>
      <c r="D236" s="7" t="s">
        <v>279</v>
      </c>
      <c r="E236" s="7" t="s">
        <v>220</v>
      </c>
      <c r="F236" s="7">
        <f t="shared" si="2"/>
        <v>12</v>
      </c>
      <c r="G236" s="16">
        <f>+(TblDetalle[[#This Row],[MontoBrutoProm_Mes]]/TblDetalle[[#This Row],[UnidadesProm_Mes]])*TblDetalle[[#This Row],[Unidades]]</f>
        <v>844.19999999999993</v>
      </c>
      <c r="H236" s="8">
        <v>16</v>
      </c>
      <c r="I236" s="9">
        <v>1125.5999999999999</v>
      </c>
      <c r="J236">
        <f>+TblDetalle[[#This Row],[Monto A Rebajhar]]/TblDetalle[[#This Row],[MontoBrutoProm_Mes]]</f>
        <v>0.75</v>
      </c>
    </row>
    <row r="237" spans="1:10" x14ac:dyDescent="0.3">
      <c r="A237" s="7">
        <v>56</v>
      </c>
      <c r="B237" s="7" t="s">
        <v>320</v>
      </c>
      <c r="C237" s="7">
        <v>930012</v>
      </c>
      <c r="D237" s="7" t="s">
        <v>264</v>
      </c>
      <c r="E237" s="7" t="s">
        <v>243</v>
      </c>
      <c r="F237" s="7">
        <f t="shared" si="2"/>
        <v>3</v>
      </c>
      <c r="G237" s="16">
        <f>+(TblDetalle[[#This Row],[MontoBrutoProm_Mes]]/TblDetalle[[#This Row],[UnidadesProm_Mes]])*TblDetalle[[#This Row],[Unidades]]</f>
        <v>279.71999999999997</v>
      </c>
      <c r="H237" s="8">
        <v>4</v>
      </c>
      <c r="I237" s="9">
        <v>372.96</v>
      </c>
      <c r="J237">
        <f>+TblDetalle[[#This Row],[Monto A Rebajhar]]/TblDetalle[[#This Row],[MontoBrutoProm_Mes]]</f>
        <v>0.75</v>
      </c>
    </row>
    <row r="238" spans="1:10" x14ac:dyDescent="0.3">
      <c r="A238" s="7">
        <v>56</v>
      </c>
      <c r="B238" s="7" t="s">
        <v>320</v>
      </c>
      <c r="C238" s="7">
        <v>930020</v>
      </c>
      <c r="D238" s="7" t="s">
        <v>299</v>
      </c>
      <c r="E238" s="7" t="s">
        <v>243</v>
      </c>
      <c r="F238" s="7">
        <f t="shared" si="2"/>
        <v>2</v>
      </c>
      <c r="G238" s="16">
        <f>+(TblDetalle[[#This Row],[MontoBrutoProm_Mes]]/TblDetalle[[#This Row],[UnidadesProm_Mes]])*TblDetalle[[#This Row],[Unidades]]</f>
        <v>186.31062670299727</v>
      </c>
      <c r="H238" s="8">
        <v>3.67</v>
      </c>
      <c r="I238" s="9">
        <v>341.88</v>
      </c>
      <c r="J238">
        <f>+TblDetalle[[#This Row],[Monto A Rebajhar]]/TblDetalle[[#This Row],[MontoBrutoProm_Mes]]</f>
        <v>0.54495912806539504</v>
      </c>
    </row>
    <row r="239" spans="1:10" x14ac:dyDescent="0.3">
      <c r="A239" s="7">
        <v>56</v>
      </c>
      <c r="B239" s="7" t="s">
        <v>320</v>
      </c>
      <c r="C239" s="7">
        <v>930021</v>
      </c>
      <c r="D239" s="7" t="s">
        <v>300</v>
      </c>
      <c r="E239" s="7" t="s">
        <v>243</v>
      </c>
      <c r="F239" s="7">
        <f t="shared" si="2"/>
        <v>1</v>
      </c>
      <c r="G239" s="16">
        <f>+(TblDetalle[[#This Row],[MontoBrutoProm_Mes]]/TblDetalle[[#This Row],[UnidadesProm_Mes]])*TblDetalle[[#This Row],[Unidades]]</f>
        <v>93.473684210526301</v>
      </c>
      <c r="H239" s="8">
        <v>1.33</v>
      </c>
      <c r="I239" s="9">
        <v>124.32</v>
      </c>
      <c r="J239">
        <f>+TblDetalle[[#This Row],[Monto A Rebajhar]]/TblDetalle[[#This Row],[MontoBrutoProm_Mes]]</f>
        <v>0.75187969924812026</v>
      </c>
    </row>
    <row r="240" spans="1:10" x14ac:dyDescent="0.3">
      <c r="A240" s="7">
        <v>56</v>
      </c>
      <c r="B240" s="7" t="s">
        <v>320</v>
      </c>
      <c r="C240" s="7">
        <v>930022</v>
      </c>
      <c r="D240" s="7" t="s">
        <v>265</v>
      </c>
      <c r="E240" s="7" t="s">
        <v>243</v>
      </c>
      <c r="F240" s="7">
        <f t="shared" si="2"/>
        <v>0</v>
      </c>
      <c r="G240" s="16">
        <f>+(TblDetalle[[#This Row],[MontoBrutoProm_Mes]]/TblDetalle[[#This Row],[UnidadesProm_Mes]])*TblDetalle[[#This Row],[Unidades]]</f>
        <v>0</v>
      </c>
      <c r="H240" s="8">
        <v>0.33</v>
      </c>
      <c r="I240" s="9">
        <v>31.08</v>
      </c>
      <c r="J240">
        <f>+TblDetalle[[#This Row],[Monto A Rebajhar]]/TblDetalle[[#This Row],[MontoBrutoProm_Mes]]</f>
        <v>0</v>
      </c>
    </row>
    <row r="241" spans="1:10" x14ac:dyDescent="0.3">
      <c r="A241" s="7">
        <v>56</v>
      </c>
      <c r="B241" s="7" t="s">
        <v>320</v>
      </c>
      <c r="C241" s="7">
        <v>930025</v>
      </c>
      <c r="D241" s="7" t="s">
        <v>244</v>
      </c>
      <c r="E241" s="7" t="s">
        <v>243</v>
      </c>
      <c r="F241" s="7">
        <f t="shared" si="2"/>
        <v>3</v>
      </c>
      <c r="G241" s="16">
        <f>+(TblDetalle[[#This Row],[MontoBrutoProm_Mes]]/TblDetalle[[#This Row],[UnidadesProm_Mes]])*TblDetalle[[#This Row],[Unidades]]</f>
        <v>177.89999999999998</v>
      </c>
      <c r="H241" s="8">
        <v>4</v>
      </c>
      <c r="I241" s="9">
        <v>237.2</v>
      </c>
      <c r="J241">
        <f>+TblDetalle[[#This Row],[Monto A Rebajhar]]/TblDetalle[[#This Row],[MontoBrutoProm_Mes]]</f>
        <v>0.74999999999999989</v>
      </c>
    </row>
    <row r="242" spans="1:10" x14ac:dyDescent="0.3">
      <c r="A242" s="7">
        <v>56</v>
      </c>
      <c r="B242" s="7" t="s">
        <v>320</v>
      </c>
      <c r="C242" s="7">
        <v>930034</v>
      </c>
      <c r="D242" s="7" t="s">
        <v>266</v>
      </c>
      <c r="E242" s="7" t="s">
        <v>243</v>
      </c>
      <c r="F242" s="7">
        <f t="shared" si="2"/>
        <v>0</v>
      </c>
      <c r="G242" s="16">
        <f>+(TblDetalle[[#This Row],[MontoBrutoProm_Mes]]/TblDetalle[[#This Row],[UnidadesProm_Mes]])*TblDetalle[[#This Row],[Unidades]]</f>
        <v>0</v>
      </c>
      <c r="H242" s="8">
        <v>0.33</v>
      </c>
      <c r="I242" s="9">
        <v>29.67</v>
      </c>
      <c r="J242">
        <f>+TblDetalle[[#This Row],[Monto A Rebajhar]]/TblDetalle[[#This Row],[MontoBrutoProm_Mes]]</f>
        <v>0</v>
      </c>
    </row>
    <row r="243" spans="1:10" x14ac:dyDescent="0.3">
      <c r="A243" s="7">
        <v>56</v>
      </c>
      <c r="B243" s="7" t="s">
        <v>320</v>
      </c>
      <c r="C243" s="7">
        <v>930046</v>
      </c>
      <c r="D243" s="7" t="s">
        <v>327</v>
      </c>
      <c r="E243" s="7" t="s">
        <v>243</v>
      </c>
      <c r="F243" s="7">
        <f t="shared" si="2"/>
        <v>0</v>
      </c>
      <c r="G243" s="16">
        <f>+(TblDetalle[[#This Row],[MontoBrutoProm_Mes]]/TblDetalle[[#This Row],[UnidadesProm_Mes]])*TblDetalle[[#This Row],[Unidades]]</f>
        <v>0</v>
      </c>
      <c r="H243" s="8">
        <v>0.33</v>
      </c>
      <c r="I243" s="9">
        <v>22.25</v>
      </c>
      <c r="J243">
        <f>+TblDetalle[[#This Row],[Monto A Rebajhar]]/TblDetalle[[#This Row],[MontoBrutoProm_Mes]]</f>
        <v>0</v>
      </c>
    </row>
    <row r="244" spans="1:10" x14ac:dyDescent="0.3">
      <c r="A244" s="7">
        <v>56</v>
      </c>
      <c r="B244" s="7" t="s">
        <v>320</v>
      </c>
      <c r="C244" s="7">
        <v>930104</v>
      </c>
      <c r="D244" s="7" t="s">
        <v>328</v>
      </c>
      <c r="E244" s="7" t="s">
        <v>243</v>
      </c>
      <c r="F244" s="7">
        <f t="shared" si="2"/>
        <v>0</v>
      </c>
      <c r="G244" s="16">
        <f>+(TblDetalle[[#This Row],[MontoBrutoProm_Mes]]/TblDetalle[[#This Row],[UnidadesProm_Mes]])*TblDetalle[[#This Row],[Unidades]]</f>
        <v>0</v>
      </c>
      <c r="H244" s="8">
        <v>0.33</v>
      </c>
      <c r="I244" s="9">
        <v>29.67</v>
      </c>
      <c r="J244">
        <f>+TblDetalle[[#This Row],[Monto A Rebajhar]]/TblDetalle[[#This Row],[MontoBrutoProm_Mes]]</f>
        <v>0</v>
      </c>
    </row>
    <row r="245" spans="1:10" x14ac:dyDescent="0.3">
      <c r="A245" s="7">
        <v>56</v>
      </c>
      <c r="B245" s="7" t="s">
        <v>320</v>
      </c>
      <c r="C245" s="7">
        <v>930113</v>
      </c>
      <c r="D245" s="7" t="s">
        <v>303</v>
      </c>
      <c r="E245" s="7" t="s">
        <v>243</v>
      </c>
      <c r="F245" s="7">
        <f t="shared" si="2"/>
        <v>2</v>
      </c>
      <c r="G245" s="16">
        <f>+(TblDetalle[[#This Row],[MontoBrutoProm_Mes]]/TblDetalle[[#This Row],[UnidadesProm_Mes]])*TblDetalle[[#This Row],[Unidades]]</f>
        <v>321.70572207084473</v>
      </c>
      <c r="H245" s="8">
        <v>3.67</v>
      </c>
      <c r="I245" s="9">
        <v>590.33000000000004</v>
      </c>
      <c r="J245">
        <f>+TblDetalle[[#This Row],[Monto A Rebajhar]]/TblDetalle[[#This Row],[MontoBrutoProm_Mes]]</f>
        <v>0.54495912806539515</v>
      </c>
    </row>
    <row r="246" spans="1:10" x14ac:dyDescent="0.3">
      <c r="A246" s="7">
        <v>56</v>
      </c>
      <c r="B246" s="7" t="s">
        <v>320</v>
      </c>
      <c r="C246" s="7">
        <v>930137</v>
      </c>
      <c r="D246" s="7" t="s">
        <v>311</v>
      </c>
      <c r="E246" s="7" t="s">
        <v>243</v>
      </c>
      <c r="F246" s="7">
        <f t="shared" ref="F246:F309" si="3">+ROUNDDOWN(H246*0.8,0)</f>
        <v>4</v>
      </c>
      <c r="G246" s="16">
        <f>+(TblDetalle[[#This Row],[MontoBrutoProm_Mes]]/TblDetalle[[#This Row],[UnidadesProm_Mes]])*TblDetalle[[#This Row],[Unidades]]</f>
        <v>114.44000000000001</v>
      </c>
      <c r="H246" s="8">
        <v>5</v>
      </c>
      <c r="I246" s="9">
        <v>143.05000000000001</v>
      </c>
      <c r="J246">
        <f>+TblDetalle[[#This Row],[Monto A Rebajhar]]/TblDetalle[[#This Row],[MontoBrutoProm_Mes]]</f>
        <v>0.8</v>
      </c>
    </row>
    <row r="247" spans="1:10" x14ac:dyDescent="0.3">
      <c r="A247" s="7">
        <v>56</v>
      </c>
      <c r="B247" s="7" t="s">
        <v>320</v>
      </c>
      <c r="C247" s="7">
        <v>930138</v>
      </c>
      <c r="D247" s="7" t="s">
        <v>312</v>
      </c>
      <c r="E247" s="7" t="s">
        <v>243</v>
      </c>
      <c r="F247" s="7">
        <f t="shared" si="3"/>
        <v>3</v>
      </c>
      <c r="G247" s="16">
        <f>+(TblDetalle[[#This Row],[MontoBrutoProm_Mes]]/TblDetalle[[#This Row],[UnidadesProm_Mes]])*TblDetalle[[#This Row],[Unidades]]</f>
        <v>85.76659528907922</v>
      </c>
      <c r="H247" s="8">
        <v>4.67</v>
      </c>
      <c r="I247" s="9">
        <v>133.51</v>
      </c>
      <c r="J247">
        <f>+TblDetalle[[#This Row],[Monto A Rebajhar]]/TblDetalle[[#This Row],[MontoBrutoProm_Mes]]</f>
        <v>0.64239828693790146</v>
      </c>
    </row>
    <row r="248" spans="1:10" x14ac:dyDescent="0.3">
      <c r="A248" s="7">
        <v>56</v>
      </c>
      <c r="B248" s="7" t="s">
        <v>320</v>
      </c>
      <c r="C248" s="7">
        <v>930139</v>
      </c>
      <c r="D248" s="7" t="s">
        <v>313</v>
      </c>
      <c r="E248" s="7" t="s">
        <v>243</v>
      </c>
      <c r="F248" s="7">
        <f t="shared" si="3"/>
        <v>1</v>
      </c>
      <c r="G248" s="16">
        <f>+(TblDetalle[[#This Row],[MontoBrutoProm_Mes]]/TblDetalle[[#This Row],[UnidadesProm_Mes]])*TblDetalle[[#This Row],[Unidades]]</f>
        <v>28.61</v>
      </c>
      <c r="H248" s="8">
        <v>2</v>
      </c>
      <c r="I248" s="9">
        <v>57.22</v>
      </c>
      <c r="J248">
        <f>+TblDetalle[[#This Row],[Monto A Rebajhar]]/TblDetalle[[#This Row],[MontoBrutoProm_Mes]]</f>
        <v>0.5</v>
      </c>
    </row>
    <row r="249" spans="1:10" x14ac:dyDescent="0.3">
      <c r="A249" s="7">
        <v>56</v>
      </c>
      <c r="B249" s="7" t="s">
        <v>320</v>
      </c>
      <c r="C249" s="7">
        <v>930140</v>
      </c>
      <c r="D249" s="7" t="s">
        <v>314</v>
      </c>
      <c r="E249" s="7" t="s">
        <v>243</v>
      </c>
      <c r="F249" s="7">
        <f t="shared" si="3"/>
        <v>6</v>
      </c>
      <c r="G249" s="16">
        <f>+(TblDetalle[[#This Row],[MontoBrutoProm_Mes]]/TblDetalle[[#This Row],[UnidadesProm_Mes]])*TblDetalle[[#This Row],[Unidades]]</f>
        <v>171.66</v>
      </c>
      <c r="H249" s="8">
        <v>8</v>
      </c>
      <c r="I249" s="9">
        <v>228.88</v>
      </c>
      <c r="J249">
        <f>+TblDetalle[[#This Row],[Monto A Rebajhar]]/TblDetalle[[#This Row],[MontoBrutoProm_Mes]]</f>
        <v>0.75</v>
      </c>
    </row>
    <row r="250" spans="1:10" x14ac:dyDescent="0.3">
      <c r="A250" s="7">
        <v>56</v>
      </c>
      <c r="B250" s="7" t="s">
        <v>320</v>
      </c>
      <c r="C250" s="7">
        <v>930144</v>
      </c>
      <c r="D250" s="7" t="s">
        <v>315</v>
      </c>
      <c r="E250" s="7" t="s">
        <v>243</v>
      </c>
      <c r="F250" s="7">
        <f t="shared" si="3"/>
        <v>1</v>
      </c>
      <c r="G250" s="16">
        <f>+(TblDetalle[[#This Row],[MontoBrutoProm_Mes]]/TblDetalle[[#This Row],[UnidadesProm_Mes]])*TblDetalle[[#This Row],[Unidades]]</f>
        <v>28.61</v>
      </c>
      <c r="H250" s="8">
        <v>2</v>
      </c>
      <c r="I250" s="9">
        <v>57.22</v>
      </c>
      <c r="J250">
        <f>+TblDetalle[[#This Row],[Monto A Rebajhar]]/TblDetalle[[#This Row],[MontoBrutoProm_Mes]]</f>
        <v>0.5</v>
      </c>
    </row>
    <row r="251" spans="1:10" x14ac:dyDescent="0.3">
      <c r="A251" s="7">
        <v>56</v>
      </c>
      <c r="B251" s="7" t="s">
        <v>320</v>
      </c>
      <c r="C251" s="7">
        <v>930145</v>
      </c>
      <c r="D251" s="7" t="s">
        <v>316</v>
      </c>
      <c r="E251" s="7" t="s">
        <v>243</v>
      </c>
      <c r="F251" s="7">
        <f t="shared" si="3"/>
        <v>7</v>
      </c>
      <c r="G251" s="16">
        <f>+(TblDetalle[[#This Row],[MontoBrutoProm_Mes]]/TblDetalle[[#This Row],[UnidadesProm_Mes]])*TblDetalle[[#This Row],[Unidades]]</f>
        <v>200.34405144694531</v>
      </c>
      <c r="H251" s="8">
        <v>9.33</v>
      </c>
      <c r="I251" s="9">
        <v>267.02999999999997</v>
      </c>
      <c r="J251">
        <f>+TblDetalle[[#This Row],[Monto A Rebajhar]]/TblDetalle[[#This Row],[MontoBrutoProm_Mes]]</f>
        <v>0.75026795284030012</v>
      </c>
    </row>
    <row r="252" spans="1:10" x14ac:dyDescent="0.3">
      <c r="A252" s="7">
        <v>56</v>
      </c>
      <c r="B252" s="7" t="s">
        <v>320</v>
      </c>
      <c r="C252" s="7">
        <v>930154</v>
      </c>
      <c r="D252" s="7" t="s">
        <v>245</v>
      </c>
      <c r="E252" s="7" t="s">
        <v>243</v>
      </c>
      <c r="F252" s="7">
        <f t="shared" si="3"/>
        <v>3</v>
      </c>
      <c r="G252" s="16">
        <f>+(TblDetalle[[#This Row],[MontoBrutoProm_Mes]]/TblDetalle[[#This Row],[UnidadesProm_Mes]])*TblDetalle[[#This Row],[Unidades]]</f>
        <v>267</v>
      </c>
      <c r="H252" s="8">
        <v>4</v>
      </c>
      <c r="I252" s="9">
        <v>356</v>
      </c>
      <c r="J252">
        <f>+TblDetalle[[#This Row],[Monto A Rebajhar]]/TblDetalle[[#This Row],[MontoBrutoProm_Mes]]</f>
        <v>0.75</v>
      </c>
    </row>
    <row r="253" spans="1:10" x14ac:dyDescent="0.3">
      <c r="A253" s="7">
        <v>56</v>
      </c>
      <c r="B253" s="7" t="s">
        <v>320</v>
      </c>
      <c r="C253" s="7">
        <v>930174</v>
      </c>
      <c r="D253" s="7" t="s">
        <v>329</v>
      </c>
      <c r="E253" s="7" t="s">
        <v>243</v>
      </c>
      <c r="F253" s="7">
        <f t="shared" si="3"/>
        <v>0</v>
      </c>
      <c r="G253" s="16">
        <f>+(TblDetalle[[#This Row],[MontoBrutoProm_Mes]]/TblDetalle[[#This Row],[UnidadesProm_Mes]])*TblDetalle[[#This Row],[Unidades]]</f>
        <v>0</v>
      </c>
      <c r="H253" s="8">
        <v>0.67</v>
      </c>
      <c r="I253" s="9">
        <v>101.69</v>
      </c>
      <c r="J253">
        <f>+TblDetalle[[#This Row],[Monto A Rebajhar]]/TblDetalle[[#This Row],[MontoBrutoProm_Mes]]</f>
        <v>0</v>
      </c>
    </row>
    <row r="254" spans="1:10" x14ac:dyDescent="0.3">
      <c r="A254" s="7">
        <v>56</v>
      </c>
      <c r="B254" s="7" t="s">
        <v>320</v>
      </c>
      <c r="C254" s="7">
        <v>930178</v>
      </c>
      <c r="D254" s="7" t="s">
        <v>267</v>
      </c>
      <c r="E254" s="7" t="s">
        <v>243</v>
      </c>
      <c r="F254" s="7">
        <f t="shared" si="3"/>
        <v>4</v>
      </c>
      <c r="G254" s="16">
        <f>+(TblDetalle[[#This Row],[MontoBrutoProm_Mes]]/TblDetalle[[#This Row],[UnidadesProm_Mes]])*TblDetalle[[#This Row],[Unidades]]</f>
        <v>114.5140712945591</v>
      </c>
      <c r="H254" s="8">
        <v>5.33</v>
      </c>
      <c r="I254" s="9">
        <v>152.59</v>
      </c>
      <c r="J254">
        <f>+TblDetalle[[#This Row],[Monto A Rebajhar]]/TblDetalle[[#This Row],[MontoBrutoProm_Mes]]</f>
        <v>0.75046904315196994</v>
      </c>
    </row>
    <row r="255" spans="1:10" x14ac:dyDescent="0.3">
      <c r="A255" s="7">
        <v>56</v>
      </c>
      <c r="B255" s="7" t="s">
        <v>320</v>
      </c>
      <c r="C255" s="7">
        <v>930187</v>
      </c>
      <c r="D255" s="7" t="s">
        <v>330</v>
      </c>
      <c r="E255" s="7" t="s">
        <v>243</v>
      </c>
      <c r="F255" s="7">
        <f t="shared" si="3"/>
        <v>0</v>
      </c>
      <c r="G255" s="16">
        <f>+(TblDetalle[[#This Row],[MontoBrutoProm_Mes]]/TblDetalle[[#This Row],[UnidadesProm_Mes]])*TblDetalle[[#This Row],[Unidades]]</f>
        <v>0</v>
      </c>
      <c r="H255" s="8">
        <v>0.67</v>
      </c>
      <c r="I255" s="9">
        <v>671.19</v>
      </c>
      <c r="J255">
        <f>+TblDetalle[[#This Row],[Monto A Rebajhar]]/TblDetalle[[#This Row],[MontoBrutoProm_Mes]]</f>
        <v>0</v>
      </c>
    </row>
    <row r="256" spans="1:10" x14ac:dyDescent="0.3">
      <c r="A256" s="7">
        <v>56</v>
      </c>
      <c r="B256" s="7" t="s">
        <v>320</v>
      </c>
      <c r="C256" s="7">
        <v>982005</v>
      </c>
      <c r="D256" s="7" t="s">
        <v>285</v>
      </c>
      <c r="E256" s="7" t="s">
        <v>270</v>
      </c>
      <c r="F256" s="7">
        <f t="shared" si="3"/>
        <v>9</v>
      </c>
      <c r="G256" s="16">
        <f>+(TblDetalle[[#This Row],[MontoBrutoProm_Mes]]/TblDetalle[[#This Row],[UnidadesProm_Mes]])*TblDetalle[[#This Row],[Unidades]]</f>
        <v>1384.1571050308914</v>
      </c>
      <c r="H256" s="8">
        <v>11.33</v>
      </c>
      <c r="I256" s="9">
        <v>1742.5</v>
      </c>
      <c r="J256">
        <f>+TblDetalle[[#This Row],[Monto A Rebajhar]]/TblDetalle[[#This Row],[MontoBrutoProm_Mes]]</f>
        <v>0.79435127978817299</v>
      </c>
    </row>
    <row r="257" spans="1:10" x14ac:dyDescent="0.3">
      <c r="A257" s="7">
        <v>59</v>
      </c>
      <c r="B257" s="7" t="s">
        <v>331</v>
      </c>
      <c r="C257" s="7">
        <v>101028</v>
      </c>
      <c r="D257" s="7" t="s">
        <v>214</v>
      </c>
      <c r="E257" s="7" t="s">
        <v>215</v>
      </c>
      <c r="F257" s="7">
        <f t="shared" si="3"/>
        <v>4</v>
      </c>
      <c r="G257" s="16">
        <f>+(TblDetalle[[#This Row],[MontoBrutoProm_Mes]]/TblDetalle[[#This Row],[UnidadesProm_Mes]])*TblDetalle[[#This Row],[Unidades]]</f>
        <v>396.59999999999997</v>
      </c>
      <c r="H257" s="8">
        <v>6</v>
      </c>
      <c r="I257" s="9">
        <v>594.9</v>
      </c>
      <c r="J257">
        <f>+TblDetalle[[#This Row],[Monto A Rebajhar]]/TblDetalle[[#This Row],[MontoBrutoProm_Mes]]</f>
        <v>0.66666666666666663</v>
      </c>
    </row>
    <row r="258" spans="1:10" x14ac:dyDescent="0.3">
      <c r="A258" s="7">
        <v>59</v>
      </c>
      <c r="B258" s="7" t="s">
        <v>331</v>
      </c>
      <c r="C258" s="7">
        <v>101038</v>
      </c>
      <c r="D258" s="7" t="s">
        <v>235</v>
      </c>
      <c r="E258" s="7" t="s">
        <v>215</v>
      </c>
      <c r="F258" s="7">
        <f t="shared" si="3"/>
        <v>2</v>
      </c>
      <c r="G258" s="16">
        <f>+(TblDetalle[[#This Row],[MontoBrutoProm_Mes]]/TblDetalle[[#This Row],[UnidadesProm_Mes]])*TblDetalle[[#This Row],[Unidades]]</f>
        <v>729.54954954954951</v>
      </c>
      <c r="H258" s="8">
        <v>3.33</v>
      </c>
      <c r="I258" s="9">
        <v>1214.7</v>
      </c>
      <c r="J258">
        <f>+TblDetalle[[#This Row],[Monto A Rebajhar]]/TblDetalle[[#This Row],[MontoBrutoProm_Mes]]</f>
        <v>0.6006006006006005</v>
      </c>
    </row>
    <row r="259" spans="1:10" x14ac:dyDescent="0.3">
      <c r="A259" s="7">
        <v>59</v>
      </c>
      <c r="B259" s="7" t="s">
        <v>331</v>
      </c>
      <c r="C259" s="7">
        <v>201001</v>
      </c>
      <c r="D259" s="7" t="s">
        <v>216</v>
      </c>
      <c r="E259" s="7" t="s">
        <v>217</v>
      </c>
      <c r="F259" s="7">
        <f t="shared" si="3"/>
        <v>26</v>
      </c>
      <c r="G259" s="16">
        <f>+(TblDetalle[[#This Row],[MontoBrutoProm_Mes]]/TblDetalle[[#This Row],[UnidadesProm_Mes]])*TblDetalle[[#This Row],[Unidades]]</f>
        <v>5763.9963996399647</v>
      </c>
      <c r="H259" s="8">
        <v>33.33</v>
      </c>
      <c r="I259" s="9">
        <v>7389</v>
      </c>
      <c r="J259">
        <f>+TblDetalle[[#This Row],[Monto A Rebajhar]]/TblDetalle[[#This Row],[MontoBrutoProm_Mes]]</f>
        <v>0.78007800780078018</v>
      </c>
    </row>
    <row r="260" spans="1:10" x14ac:dyDescent="0.3">
      <c r="A260" s="7">
        <v>59</v>
      </c>
      <c r="B260" s="7" t="s">
        <v>331</v>
      </c>
      <c r="C260" s="7">
        <v>800089</v>
      </c>
      <c r="D260" s="7" t="s">
        <v>241</v>
      </c>
      <c r="E260" s="7" t="s">
        <v>215</v>
      </c>
      <c r="F260" s="7">
        <f t="shared" si="3"/>
        <v>2</v>
      </c>
      <c r="G260" s="16">
        <f>+(TblDetalle[[#This Row],[MontoBrutoProm_Mes]]/TblDetalle[[#This Row],[UnidadesProm_Mes]])*TblDetalle[[#This Row],[Unidades]]</f>
        <v>727.91011235955057</v>
      </c>
      <c r="H260" s="8">
        <v>2.67</v>
      </c>
      <c r="I260" s="9">
        <v>971.76</v>
      </c>
      <c r="J260">
        <f>+TblDetalle[[#This Row],[Monto A Rebajhar]]/TblDetalle[[#This Row],[MontoBrutoProm_Mes]]</f>
        <v>0.74906367041198507</v>
      </c>
    </row>
    <row r="261" spans="1:10" x14ac:dyDescent="0.3">
      <c r="A261" s="7">
        <v>60</v>
      </c>
      <c r="B261" s="7" t="s">
        <v>332</v>
      </c>
      <c r="C261" s="7">
        <v>101005</v>
      </c>
      <c r="D261" s="7" t="s">
        <v>232</v>
      </c>
      <c r="E261" s="7" t="s">
        <v>215</v>
      </c>
      <c r="F261" s="7">
        <f t="shared" si="3"/>
        <v>60</v>
      </c>
      <c r="G261" s="16">
        <f>+(TblDetalle[[#This Row],[MontoBrutoProm_Mes]]/TblDetalle[[#This Row],[UnidadesProm_Mes]])*TblDetalle[[#This Row],[Unidades]]</f>
        <v>4619.3599999999997</v>
      </c>
      <c r="H261" s="8">
        <v>75</v>
      </c>
      <c r="I261" s="9">
        <v>5774.2</v>
      </c>
      <c r="J261">
        <f>+TblDetalle[[#This Row],[Monto A Rebajhar]]/TblDetalle[[#This Row],[MontoBrutoProm_Mes]]</f>
        <v>0.79999999999999993</v>
      </c>
    </row>
    <row r="262" spans="1:10" x14ac:dyDescent="0.3">
      <c r="A262" s="7">
        <v>60</v>
      </c>
      <c r="B262" s="7" t="s">
        <v>332</v>
      </c>
      <c r="C262" s="7">
        <v>101026</v>
      </c>
      <c r="D262" s="7" t="s">
        <v>233</v>
      </c>
      <c r="E262" s="7" t="s">
        <v>215</v>
      </c>
      <c r="F262" s="7">
        <f t="shared" si="3"/>
        <v>35</v>
      </c>
      <c r="G262" s="16">
        <f>+(TblDetalle[[#This Row],[MontoBrutoProm_Mes]]/TblDetalle[[#This Row],[UnidadesProm_Mes]])*TblDetalle[[#This Row],[Unidades]]</f>
        <v>1186.6909090909091</v>
      </c>
      <c r="H262" s="8">
        <v>44</v>
      </c>
      <c r="I262" s="9">
        <v>1491.84</v>
      </c>
      <c r="J262">
        <f>+TblDetalle[[#This Row],[Monto A Rebajhar]]/TblDetalle[[#This Row],[MontoBrutoProm_Mes]]</f>
        <v>0.79545454545454553</v>
      </c>
    </row>
    <row r="263" spans="1:10" x14ac:dyDescent="0.3">
      <c r="A263" s="7">
        <v>60</v>
      </c>
      <c r="B263" s="7" t="s">
        <v>332</v>
      </c>
      <c r="C263" s="7">
        <v>101027</v>
      </c>
      <c r="D263" s="7" t="s">
        <v>234</v>
      </c>
      <c r="E263" s="7" t="s">
        <v>215</v>
      </c>
      <c r="F263" s="7">
        <f t="shared" si="3"/>
        <v>32</v>
      </c>
      <c r="G263" s="16">
        <f>+(TblDetalle[[#This Row],[MontoBrutoProm_Mes]]/TblDetalle[[#This Row],[UnidadesProm_Mes]])*TblDetalle[[#This Row],[Unidades]]</f>
        <v>2454.848</v>
      </c>
      <c r="H263" s="8">
        <v>40</v>
      </c>
      <c r="I263" s="9">
        <v>3068.56</v>
      </c>
      <c r="J263">
        <f>+TblDetalle[[#This Row],[Monto A Rebajhar]]/TblDetalle[[#This Row],[MontoBrutoProm_Mes]]</f>
        <v>0.8</v>
      </c>
    </row>
    <row r="264" spans="1:10" x14ac:dyDescent="0.3">
      <c r="A264" s="7">
        <v>60</v>
      </c>
      <c r="B264" s="7" t="s">
        <v>332</v>
      </c>
      <c r="C264" s="7">
        <v>101028</v>
      </c>
      <c r="D264" s="7" t="s">
        <v>214</v>
      </c>
      <c r="E264" s="7" t="s">
        <v>215</v>
      </c>
      <c r="F264" s="7">
        <f t="shared" si="3"/>
        <v>57</v>
      </c>
      <c r="G264" s="16">
        <f>+(TblDetalle[[#This Row],[MontoBrutoProm_Mes]]/TblDetalle[[#This Row],[UnidadesProm_Mes]])*TblDetalle[[#This Row],[Unidades]]</f>
        <v>5640.8625000000002</v>
      </c>
      <c r="H264" s="8">
        <v>72</v>
      </c>
      <c r="I264" s="9">
        <v>7125.3</v>
      </c>
      <c r="J264">
        <f>+TblDetalle[[#This Row],[Monto A Rebajhar]]/TblDetalle[[#This Row],[MontoBrutoProm_Mes]]</f>
        <v>0.79166666666666663</v>
      </c>
    </row>
    <row r="265" spans="1:10" x14ac:dyDescent="0.3">
      <c r="A265" s="7">
        <v>60</v>
      </c>
      <c r="B265" s="7" t="s">
        <v>332</v>
      </c>
      <c r="C265" s="7">
        <v>101034</v>
      </c>
      <c r="D265" s="7" t="s">
        <v>272</v>
      </c>
      <c r="E265" s="7" t="s">
        <v>215</v>
      </c>
      <c r="F265" s="7">
        <f t="shared" si="3"/>
        <v>1</v>
      </c>
      <c r="G265" s="16">
        <f>+(TblDetalle[[#This Row],[MontoBrutoProm_Mes]]/TblDetalle[[#This Row],[UnidadesProm_Mes]])*TblDetalle[[#This Row],[Unidades]]</f>
        <v>246.37593984962405</v>
      </c>
      <c r="H265" s="8">
        <v>1.33</v>
      </c>
      <c r="I265" s="9">
        <v>327.68</v>
      </c>
      <c r="J265">
        <f>+TblDetalle[[#This Row],[Monto A Rebajhar]]/TblDetalle[[#This Row],[MontoBrutoProm_Mes]]</f>
        <v>0.75187969924812026</v>
      </c>
    </row>
    <row r="266" spans="1:10" x14ac:dyDescent="0.3">
      <c r="A266" s="7">
        <v>60</v>
      </c>
      <c r="B266" s="7" t="s">
        <v>332</v>
      </c>
      <c r="C266" s="7">
        <v>101038</v>
      </c>
      <c r="D266" s="7" t="s">
        <v>235</v>
      </c>
      <c r="E266" s="7" t="s">
        <v>215</v>
      </c>
      <c r="F266" s="7">
        <f t="shared" si="3"/>
        <v>18</v>
      </c>
      <c r="G266" s="16">
        <f>+(TblDetalle[[#This Row],[MontoBrutoProm_Mes]]/TblDetalle[[#This Row],[UnidadesProm_Mes]])*TblDetalle[[#This Row],[Unidades]]</f>
        <v>6609.1069565217394</v>
      </c>
      <c r="H266" s="8">
        <v>23</v>
      </c>
      <c r="I266" s="9">
        <v>8444.9699999999993</v>
      </c>
      <c r="J266">
        <f>+TblDetalle[[#This Row],[Monto A Rebajhar]]/TblDetalle[[#This Row],[MontoBrutoProm_Mes]]</f>
        <v>0.78260869565217406</v>
      </c>
    </row>
    <row r="267" spans="1:10" x14ac:dyDescent="0.3">
      <c r="A267" s="7">
        <v>60</v>
      </c>
      <c r="B267" s="7" t="s">
        <v>332</v>
      </c>
      <c r="C267" s="7">
        <v>101072</v>
      </c>
      <c r="D267" s="7" t="s">
        <v>273</v>
      </c>
      <c r="E267" s="7" t="s">
        <v>215</v>
      </c>
      <c r="F267" s="7">
        <f t="shared" si="3"/>
        <v>12</v>
      </c>
      <c r="G267" s="16">
        <f>+(TblDetalle[[#This Row],[MontoBrutoProm_Mes]]/TblDetalle[[#This Row],[UnidadesProm_Mes]])*TblDetalle[[#This Row],[Unidades]]</f>
        <v>522.59999999999991</v>
      </c>
      <c r="H267" s="8">
        <v>16</v>
      </c>
      <c r="I267" s="9">
        <v>696.8</v>
      </c>
      <c r="J267">
        <f>+TblDetalle[[#This Row],[Monto A Rebajhar]]/TblDetalle[[#This Row],[MontoBrutoProm_Mes]]</f>
        <v>0.74999999999999989</v>
      </c>
    </row>
    <row r="268" spans="1:10" x14ac:dyDescent="0.3">
      <c r="A268" s="7">
        <v>60</v>
      </c>
      <c r="B268" s="7" t="s">
        <v>332</v>
      </c>
      <c r="C268" s="7">
        <v>101130</v>
      </c>
      <c r="D268" s="7" t="s">
        <v>247</v>
      </c>
      <c r="E268" s="7" t="s">
        <v>215</v>
      </c>
      <c r="F268" s="7">
        <f t="shared" si="3"/>
        <v>38</v>
      </c>
      <c r="G268" s="16">
        <f>+(TblDetalle[[#This Row],[MontoBrutoProm_Mes]]/TblDetalle[[#This Row],[UnidadesProm_Mes]])*TblDetalle[[#This Row],[Unidades]]</f>
        <v>0.38</v>
      </c>
      <c r="H268" s="8">
        <v>48</v>
      </c>
      <c r="I268" s="9">
        <v>0.48</v>
      </c>
      <c r="J268">
        <f>+TblDetalle[[#This Row],[Monto A Rebajhar]]/TblDetalle[[#This Row],[MontoBrutoProm_Mes]]</f>
        <v>0.79166666666666674</v>
      </c>
    </row>
    <row r="269" spans="1:10" x14ac:dyDescent="0.3">
      <c r="A269" s="7">
        <v>60</v>
      </c>
      <c r="B269" s="7" t="s">
        <v>332</v>
      </c>
      <c r="C269" s="7">
        <v>103001</v>
      </c>
      <c r="D269" s="7" t="s">
        <v>248</v>
      </c>
      <c r="E269" s="7" t="s">
        <v>215</v>
      </c>
      <c r="F269" s="7">
        <f t="shared" si="3"/>
        <v>186</v>
      </c>
      <c r="G269" s="16">
        <f>+(TblDetalle[[#This Row],[MontoBrutoProm_Mes]]/TblDetalle[[#This Row],[UnidadesProm_Mes]])*TblDetalle[[#This Row],[Unidades]]</f>
        <v>4108.6838010916754</v>
      </c>
      <c r="H269" s="8">
        <v>232.67</v>
      </c>
      <c r="I269" s="9">
        <v>5139.6099999999997</v>
      </c>
      <c r="J269">
        <f>+TblDetalle[[#This Row],[Monto A Rebajhar]]/TblDetalle[[#This Row],[MontoBrutoProm_Mes]]</f>
        <v>0.79941548115356531</v>
      </c>
    </row>
    <row r="270" spans="1:10" x14ac:dyDescent="0.3">
      <c r="A270" s="7">
        <v>60</v>
      </c>
      <c r="B270" s="7" t="s">
        <v>332</v>
      </c>
      <c r="C270" s="7">
        <v>103202</v>
      </c>
      <c r="D270" s="7" t="s">
        <v>287</v>
      </c>
      <c r="E270" s="7" t="s">
        <v>215</v>
      </c>
      <c r="F270" s="7">
        <f t="shared" si="3"/>
        <v>3</v>
      </c>
      <c r="G270" s="16">
        <f>+(TblDetalle[[#This Row],[MontoBrutoProm_Mes]]/TblDetalle[[#This Row],[UnidadesProm_Mes]])*TblDetalle[[#This Row],[Unidades]]</f>
        <v>293.21999999999997</v>
      </c>
      <c r="H270" s="8">
        <v>4</v>
      </c>
      <c r="I270" s="9">
        <v>390.96</v>
      </c>
      <c r="J270">
        <f>+TblDetalle[[#This Row],[Monto A Rebajhar]]/TblDetalle[[#This Row],[MontoBrutoProm_Mes]]</f>
        <v>0.75</v>
      </c>
    </row>
    <row r="271" spans="1:10" x14ac:dyDescent="0.3">
      <c r="A271" s="7">
        <v>60</v>
      </c>
      <c r="B271" s="7" t="s">
        <v>332</v>
      </c>
      <c r="C271" s="7">
        <v>201001</v>
      </c>
      <c r="D271" s="7" t="s">
        <v>216</v>
      </c>
      <c r="E271" s="7" t="s">
        <v>217</v>
      </c>
      <c r="F271" s="7">
        <f t="shared" si="3"/>
        <v>11</v>
      </c>
      <c r="G271" s="16">
        <f>+(TblDetalle[[#This Row],[MontoBrutoProm_Mes]]/TblDetalle[[#This Row],[UnidadesProm_Mes]])*TblDetalle[[#This Row],[Unidades]]</f>
        <v>2506.6328571428576</v>
      </c>
      <c r="H271" s="8">
        <v>14</v>
      </c>
      <c r="I271" s="9">
        <v>3190.26</v>
      </c>
      <c r="J271">
        <f>+TblDetalle[[#This Row],[Monto A Rebajhar]]/TblDetalle[[#This Row],[MontoBrutoProm_Mes]]</f>
        <v>0.78571428571428581</v>
      </c>
    </row>
    <row r="272" spans="1:10" x14ac:dyDescent="0.3">
      <c r="A272" s="7">
        <v>60</v>
      </c>
      <c r="B272" s="7" t="s">
        <v>332</v>
      </c>
      <c r="C272" s="7">
        <v>511005</v>
      </c>
      <c r="D272" s="7" t="s">
        <v>249</v>
      </c>
      <c r="E272" s="7" t="s">
        <v>217</v>
      </c>
      <c r="F272" s="7">
        <f t="shared" si="3"/>
        <v>9</v>
      </c>
      <c r="G272" s="16">
        <f>+(TblDetalle[[#This Row],[MontoBrutoProm_Mes]]/TblDetalle[[#This Row],[UnidadesProm_Mes]])*TblDetalle[[#This Row],[Unidades]]</f>
        <v>595.02</v>
      </c>
      <c r="H272" s="8">
        <v>12</v>
      </c>
      <c r="I272" s="9">
        <v>793.36</v>
      </c>
      <c r="J272">
        <f>+TblDetalle[[#This Row],[Monto A Rebajhar]]/TblDetalle[[#This Row],[MontoBrutoProm_Mes]]</f>
        <v>0.75</v>
      </c>
    </row>
    <row r="273" spans="1:10" x14ac:dyDescent="0.3">
      <c r="A273" s="7">
        <v>60</v>
      </c>
      <c r="B273" s="7" t="s">
        <v>332</v>
      </c>
      <c r="C273" s="7">
        <v>611049</v>
      </c>
      <c r="D273" s="7" t="s">
        <v>251</v>
      </c>
      <c r="E273" s="7" t="s">
        <v>217</v>
      </c>
      <c r="F273" s="7">
        <f t="shared" si="3"/>
        <v>19</v>
      </c>
      <c r="G273" s="16">
        <f>+(TblDetalle[[#This Row],[MontoBrutoProm_Mes]]/TblDetalle[[#This Row],[UnidadesProm_Mes]])*TblDetalle[[#This Row],[Unidades]]</f>
        <v>569.2399999999999</v>
      </c>
      <c r="H273" s="8">
        <v>24</v>
      </c>
      <c r="I273" s="9">
        <v>719.04</v>
      </c>
      <c r="J273">
        <f>+TblDetalle[[#This Row],[Monto A Rebajhar]]/TblDetalle[[#This Row],[MontoBrutoProm_Mes]]</f>
        <v>0.79166666666666652</v>
      </c>
    </row>
    <row r="274" spans="1:10" x14ac:dyDescent="0.3">
      <c r="A274" s="7">
        <v>60</v>
      </c>
      <c r="B274" s="7" t="s">
        <v>332</v>
      </c>
      <c r="C274" s="7">
        <v>611053</v>
      </c>
      <c r="D274" s="7" t="s">
        <v>253</v>
      </c>
      <c r="E274" s="7" t="s">
        <v>217</v>
      </c>
      <c r="F274" s="7">
        <f t="shared" si="3"/>
        <v>57</v>
      </c>
      <c r="G274" s="16">
        <f>+(TblDetalle[[#This Row],[MontoBrutoProm_Mes]]/TblDetalle[[#This Row],[UnidadesProm_Mes]])*TblDetalle[[#This Row],[Unidades]]</f>
        <v>1255.71</v>
      </c>
      <c r="H274" s="8">
        <v>72</v>
      </c>
      <c r="I274" s="9">
        <v>1586.16</v>
      </c>
      <c r="J274">
        <f>+TblDetalle[[#This Row],[Monto A Rebajhar]]/TblDetalle[[#This Row],[MontoBrutoProm_Mes]]</f>
        <v>0.79166666666666663</v>
      </c>
    </row>
    <row r="275" spans="1:10" x14ac:dyDescent="0.3">
      <c r="A275" s="7">
        <v>60</v>
      </c>
      <c r="B275" s="7" t="s">
        <v>332</v>
      </c>
      <c r="C275" s="7">
        <v>611055</v>
      </c>
      <c r="D275" s="7" t="s">
        <v>254</v>
      </c>
      <c r="E275" s="7" t="s">
        <v>217</v>
      </c>
      <c r="F275" s="7">
        <f t="shared" si="3"/>
        <v>10</v>
      </c>
      <c r="G275" s="16">
        <f>+(TblDetalle[[#This Row],[MontoBrutoProm_Mes]]/TblDetalle[[#This Row],[UnidadesProm_Mes]])*TblDetalle[[#This Row],[Unidades]]</f>
        <v>847.61440360090023</v>
      </c>
      <c r="H275" s="8">
        <v>13.33</v>
      </c>
      <c r="I275" s="9">
        <v>1129.8699999999999</v>
      </c>
      <c r="J275">
        <f>+TblDetalle[[#This Row],[Monto A Rebajhar]]/TblDetalle[[#This Row],[MontoBrutoProm_Mes]]</f>
        <v>0.75018754688672173</v>
      </c>
    </row>
    <row r="276" spans="1:10" x14ac:dyDescent="0.3">
      <c r="A276" s="7">
        <v>60</v>
      </c>
      <c r="B276" s="7" t="s">
        <v>332</v>
      </c>
      <c r="C276" s="7">
        <v>611507</v>
      </c>
      <c r="D276" s="7" t="s">
        <v>255</v>
      </c>
      <c r="E276" s="7" t="s">
        <v>215</v>
      </c>
      <c r="F276" s="7">
        <f t="shared" si="3"/>
        <v>6</v>
      </c>
      <c r="G276" s="16">
        <f>+(TblDetalle[[#This Row],[MontoBrutoProm_Mes]]/TblDetalle[[#This Row],[UnidadesProm_Mes]])*TblDetalle[[#This Row],[Unidades]]</f>
        <v>0.06</v>
      </c>
      <c r="H276" s="8">
        <v>8</v>
      </c>
      <c r="I276" s="9">
        <v>0.08</v>
      </c>
      <c r="J276">
        <f>+TblDetalle[[#This Row],[Monto A Rebajhar]]/TblDetalle[[#This Row],[MontoBrutoProm_Mes]]</f>
        <v>0.75</v>
      </c>
    </row>
    <row r="277" spans="1:10" x14ac:dyDescent="0.3">
      <c r="A277" s="7">
        <v>60</v>
      </c>
      <c r="B277" s="7" t="s">
        <v>332</v>
      </c>
      <c r="C277" s="7">
        <v>621006</v>
      </c>
      <c r="D277" s="7" t="s">
        <v>288</v>
      </c>
      <c r="E277" s="7" t="s">
        <v>239</v>
      </c>
      <c r="F277" s="7">
        <f t="shared" si="3"/>
        <v>3</v>
      </c>
      <c r="G277" s="16">
        <f>+(TblDetalle[[#This Row],[MontoBrutoProm_Mes]]/TblDetalle[[#This Row],[UnidadesProm_Mes]])*TblDetalle[[#This Row],[Unidades]]</f>
        <v>559.5</v>
      </c>
      <c r="H277" s="8">
        <v>4</v>
      </c>
      <c r="I277" s="9">
        <v>746</v>
      </c>
      <c r="J277">
        <f>+TblDetalle[[#This Row],[Monto A Rebajhar]]/TblDetalle[[#This Row],[MontoBrutoProm_Mes]]</f>
        <v>0.75</v>
      </c>
    </row>
    <row r="278" spans="1:10" x14ac:dyDescent="0.3">
      <c r="A278" s="7">
        <v>60</v>
      </c>
      <c r="B278" s="7" t="s">
        <v>332</v>
      </c>
      <c r="C278" s="7">
        <v>621008</v>
      </c>
      <c r="D278" s="7" t="s">
        <v>289</v>
      </c>
      <c r="E278" s="7" t="s">
        <v>239</v>
      </c>
      <c r="F278" s="7">
        <f t="shared" si="3"/>
        <v>3</v>
      </c>
      <c r="G278" s="16">
        <f>+(TblDetalle[[#This Row],[MontoBrutoProm_Mes]]/TblDetalle[[#This Row],[UnidadesProm_Mes]])*TblDetalle[[#This Row],[Unidades]]</f>
        <v>559.5</v>
      </c>
      <c r="H278" s="8">
        <v>4</v>
      </c>
      <c r="I278" s="9">
        <v>746</v>
      </c>
      <c r="J278">
        <f>+TblDetalle[[#This Row],[Monto A Rebajhar]]/TblDetalle[[#This Row],[MontoBrutoProm_Mes]]</f>
        <v>0.75</v>
      </c>
    </row>
    <row r="279" spans="1:10" x14ac:dyDescent="0.3">
      <c r="A279" s="7">
        <v>60</v>
      </c>
      <c r="B279" s="7" t="s">
        <v>332</v>
      </c>
      <c r="C279" s="7">
        <v>621043</v>
      </c>
      <c r="D279" s="7" t="s">
        <v>257</v>
      </c>
      <c r="E279" s="7" t="s">
        <v>239</v>
      </c>
      <c r="F279" s="7">
        <f t="shared" si="3"/>
        <v>1</v>
      </c>
      <c r="G279" s="16">
        <f>+(TblDetalle[[#This Row],[MontoBrutoProm_Mes]]/TblDetalle[[#This Row],[UnidadesProm_Mes]])*TblDetalle[[#This Row],[Unidades]]</f>
        <v>7.5187969924812026E-3</v>
      </c>
      <c r="H279" s="8">
        <v>1.33</v>
      </c>
      <c r="I279" s="9">
        <v>0.01</v>
      </c>
      <c r="J279">
        <f>+TblDetalle[[#This Row],[Monto A Rebajhar]]/TblDetalle[[#This Row],[MontoBrutoProm_Mes]]</f>
        <v>0.75187969924812026</v>
      </c>
    </row>
    <row r="280" spans="1:10" x14ac:dyDescent="0.3">
      <c r="A280" s="7">
        <v>60</v>
      </c>
      <c r="B280" s="7" t="s">
        <v>332</v>
      </c>
      <c r="C280" s="7">
        <v>621045</v>
      </c>
      <c r="D280" s="7" t="s">
        <v>238</v>
      </c>
      <c r="E280" s="7" t="s">
        <v>239</v>
      </c>
      <c r="F280" s="7">
        <f t="shared" si="3"/>
        <v>9</v>
      </c>
      <c r="G280" s="16">
        <f>+(TblDetalle[[#This Row],[MontoBrutoProm_Mes]]/TblDetalle[[#This Row],[UnidadesProm_Mes]])*TblDetalle[[#This Row],[Unidades]]</f>
        <v>1528.11</v>
      </c>
      <c r="H280" s="8">
        <v>12</v>
      </c>
      <c r="I280" s="9">
        <v>2037.48</v>
      </c>
      <c r="J280">
        <f>+TblDetalle[[#This Row],[Monto A Rebajhar]]/TblDetalle[[#This Row],[MontoBrutoProm_Mes]]</f>
        <v>0.74999999999999989</v>
      </c>
    </row>
    <row r="281" spans="1:10" x14ac:dyDescent="0.3">
      <c r="A281" s="7">
        <v>60</v>
      </c>
      <c r="B281" s="7" t="s">
        <v>332</v>
      </c>
      <c r="C281" s="7">
        <v>800088</v>
      </c>
      <c r="D281" s="7" t="s">
        <v>240</v>
      </c>
      <c r="E281" s="7" t="s">
        <v>215</v>
      </c>
      <c r="F281" s="7">
        <f t="shared" si="3"/>
        <v>8</v>
      </c>
      <c r="G281" s="16">
        <f>+(TblDetalle[[#This Row],[MontoBrutoProm_Mes]]/TblDetalle[[#This Row],[UnidadesProm_Mes]])*TblDetalle[[#This Row],[Unidades]]</f>
        <v>2924.3119999999999</v>
      </c>
      <c r="H281" s="8">
        <v>10</v>
      </c>
      <c r="I281" s="9">
        <v>3655.39</v>
      </c>
      <c r="J281">
        <f>+TblDetalle[[#This Row],[Monto A Rebajhar]]/TblDetalle[[#This Row],[MontoBrutoProm_Mes]]</f>
        <v>0.8</v>
      </c>
    </row>
    <row r="282" spans="1:10" x14ac:dyDescent="0.3">
      <c r="A282" s="7">
        <v>60</v>
      </c>
      <c r="B282" s="7" t="s">
        <v>332</v>
      </c>
      <c r="C282" s="7">
        <v>800089</v>
      </c>
      <c r="D282" s="7" t="s">
        <v>241</v>
      </c>
      <c r="E282" s="7" t="s">
        <v>215</v>
      </c>
      <c r="F282" s="7">
        <f t="shared" si="3"/>
        <v>6</v>
      </c>
      <c r="G282" s="16">
        <f>+(TblDetalle[[#This Row],[MontoBrutoProm_Mes]]/TblDetalle[[#This Row],[UnidadesProm_Mes]])*TblDetalle[[#This Row],[Unidades]]</f>
        <v>2207.6686674669868</v>
      </c>
      <c r="H282" s="8">
        <v>8.33</v>
      </c>
      <c r="I282" s="9">
        <v>3064.98</v>
      </c>
      <c r="J282">
        <f>+TblDetalle[[#This Row],[Monto A Rebajhar]]/TblDetalle[[#This Row],[MontoBrutoProm_Mes]]</f>
        <v>0.72028811524609848</v>
      </c>
    </row>
    <row r="283" spans="1:10" x14ac:dyDescent="0.3">
      <c r="A283" s="7">
        <v>60</v>
      </c>
      <c r="B283" s="7" t="s">
        <v>332</v>
      </c>
      <c r="C283" s="7">
        <v>800792</v>
      </c>
      <c r="D283" s="7" t="s">
        <v>242</v>
      </c>
      <c r="E283" s="7" t="s">
        <v>243</v>
      </c>
      <c r="F283" s="7">
        <f t="shared" si="3"/>
        <v>13</v>
      </c>
      <c r="G283" s="16">
        <f>+(TblDetalle[[#This Row],[MontoBrutoProm_Mes]]/TblDetalle[[#This Row],[UnidadesProm_Mes]])*TblDetalle[[#This Row],[Unidades]]</f>
        <v>1990.0293941211755</v>
      </c>
      <c r="H283" s="8">
        <v>16.670000000000002</v>
      </c>
      <c r="I283" s="9">
        <v>2551.83</v>
      </c>
      <c r="J283">
        <f>+TblDetalle[[#This Row],[Monto A Rebajhar]]/TblDetalle[[#This Row],[MontoBrutoProm_Mes]]</f>
        <v>0.77984403119376122</v>
      </c>
    </row>
    <row r="284" spans="1:10" x14ac:dyDescent="0.3">
      <c r="A284" s="7">
        <v>60</v>
      </c>
      <c r="B284" s="7" t="s">
        <v>332</v>
      </c>
      <c r="C284" s="7">
        <v>800793</v>
      </c>
      <c r="D284" s="7" t="s">
        <v>260</v>
      </c>
      <c r="E284" s="7" t="s">
        <v>243</v>
      </c>
      <c r="F284" s="7">
        <f t="shared" si="3"/>
        <v>4</v>
      </c>
      <c r="G284" s="16">
        <f>+(TblDetalle[[#This Row],[MontoBrutoProm_Mes]]/TblDetalle[[#This Row],[UnidadesProm_Mes]])*TblDetalle[[#This Row],[Unidades]]</f>
        <v>612.82551594746724</v>
      </c>
      <c r="H284" s="8">
        <v>5.33</v>
      </c>
      <c r="I284" s="9">
        <v>816.59</v>
      </c>
      <c r="J284">
        <f>+TblDetalle[[#This Row],[Monto A Rebajhar]]/TblDetalle[[#This Row],[MontoBrutoProm_Mes]]</f>
        <v>0.75046904315197005</v>
      </c>
    </row>
    <row r="285" spans="1:10" x14ac:dyDescent="0.3">
      <c r="A285" s="7">
        <v>60</v>
      </c>
      <c r="B285" s="7" t="s">
        <v>332</v>
      </c>
      <c r="C285" s="7">
        <v>924104</v>
      </c>
      <c r="D285" s="7" t="s">
        <v>277</v>
      </c>
      <c r="E285" s="7" t="s">
        <v>215</v>
      </c>
      <c r="F285" s="7">
        <f t="shared" si="3"/>
        <v>3</v>
      </c>
      <c r="G285" s="16">
        <f>+(TblDetalle[[#This Row],[MontoBrutoProm_Mes]]/TblDetalle[[#This Row],[UnidadesProm_Mes]])*TblDetalle[[#This Row],[Unidades]]</f>
        <v>0.03</v>
      </c>
      <c r="H285" s="8">
        <v>4</v>
      </c>
      <c r="I285" s="9">
        <v>0.04</v>
      </c>
      <c r="J285">
        <f>+TblDetalle[[#This Row],[Monto A Rebajhar]]/TblDetalle[[#This Row],[MontoBrutoProm_Mes]]</f>
        <v>0.75</v>
      </c>
    </row>
    <row r="286" spans="1:10" x14ac:dyDescent="0.3">
      <c r="A286" s="7">
        <v>60</v>
      </c>
      <c r="B286" s="7" t="s">
        <v>332</v>
      </c>
      <c r="C286" s="7">
        <v>925050</v>
      </c>
      <c r="D286" s="7" t="s">
        <v>261</v>
      </c>
      <c r="E286" s="7" t="s">
        <v>220</v>
      </c>
      <c r="F286" s="7">
        <f t="shared" si="3"/>
        <v>3</v>
      </c>
      <c r="G286" s="16">
        <f>+(TblDetalle[[#This Row],[MontoBrutoProm_Mes]]/TblDetalle[[#This Row],[UnidadesProm_Mes]])*TblDetalle[[#This Row],[Unidades]]</f>
        <v>231.84</v>
      </c>
      <c r="H286" s="8">
        <v>4</v>
      </c>
      <c r="I286" s="9">
        <v>309.12</v>
      </c>
      <c r="J286">
        <f>+TblDetalle[[#This Row],[Monto A Rebajhar]]/TblDetalle[[#This Row],[MontoBrutoProm_Mes]]</f>
        <v>0.75</v>
      </c>
    </row>
    <row r="287" spans="1:10" x14ac:dyDescent="0.3">
      <c r="A287" s="7">
        <v>60</v>
      </c>
      <c r="B287" s="7" t="s">
        <v>332</v>
      </c>
      <c r="C287" s="7">
        <v>925059</v>
      </c>
      <c r="D287" s="7" t="s">
        <v>262</v>
      </c>
      <c r="E287" s="7" t="s">
        <v>220</v>
      </c>
      <c r="F287" s="7">
        <f t="shared" si="3"/>
        <v>0</v>
      </c>
      <c r="G287" s="16">
        <f>+(TblDetalle[[#This Row],[MontoBrutoProm_Mes]]/TblDetalle[[#This Row],[UnidadesProm_Mes]])*TblDetalle[[#This Row],[Unidades]]</f>
        <v>0</v>
      </c>
      <c r="H287" s="8">
        <v>0.33</v>
      </c>
      <c r="I287" s="9">
        <v>0</v>
      </c>
      <c r="J287" t="e">
        <f>+TblDetalle[[#This Row],[Monto A Rebajhar]]/TblDetalle[[#This Row],[MontoBrutoProm_Mes]]</f>
        <v>#DIV/0!</v>
      </c>
    </row>
    <row r="288" spans="1:10" x14ac:dyDescent="0.3">
      <c r="A288" s="7">
        <v>60</v>
      </c>
      <c r="B288" s="7" t="s">
        <v>332</v>
      </c>
      <c r="C288" s="7">
        <v>925064</v>
      </c>
      <c r="D288" s="7" t="s">
        <v>263</v>
      </c>
      <c r="E288" s="7" t="s">
        <v>220</v>
      </c>
      <c r="F288" s="7">
        <f t="shared" si="3"/>
        <v>6</v>
      </c>
      <c r="G288" s="16">
        <f>+(TblDetalle[[#This Row],[MontoBrutoProm_Mes]]/TblDetalle[[#This Row],[UnidadesProm_Mes]])*TblDetalle[[#This Row],[Unidades]]</f>
        <v>206.24009603841537</v>
      </c>
      <c r="H288" s="8">
        <v>8.33</v>
      </c>
      <c r="I288" s="9">
        <v>286.33</v>
      </c>
      <c r="J288">
        <f>+TblDetalle[[#This Row],[Monto A Rebajhar]]/TblDetalle[[#This Row],[MontoBrutoProm_Mes]]</f>
        <v>0.72028811524609848</v>
      </c>
    </row>
    <row r="289" spans="1:10" x14ac:dyDescent="0.3">
      <c r="A289" s="7">
        <v>60</v>
      </c>
      <c r="B289" s="7" t="s">
        <v>332</v>
      </c>
      <c r="C289" s="7">
        <v>925078</v>
      </c>
      <c r="D289" s="7" t="s">
        <v>221</v>
      </c>
      <c r="E289" s="7" t="s">
        <v>220</v>
      </c>
      <c r="F289" s="7">
        <f t="shared" si="3"/>
        <v>3</v>
      </c>
      <c r="G289" s="16">
        <f>+(TblDetalle[[#This Row],[MontoBrutoProm_Mes]]/TblDetalle[[#This Row],[UnidadesProm_Mes]])*TblDetalle[[#This Row],[Unidades]]</f>
        <v>221.01</v>
      </c>
      <c r="H289" s="8">
        <v>4</v>
      </c>
      <c r="I289" s="9">
        <v>294.68</v>
      </c>
      <c r="J289">
        <f>+TblDetalle[[#This Row],[Monto A Rebajhar]]/TblDetalle[[#This Row],[MontoBrutoProm_Mes]]</f>
        <v>0.75</v>
      </c>
    </row>
    <row r="290" spans="1:10" x14ac:dyDescent="0.3">
      <c r="A290" s="7">
        <v>60</v>
      </c>
      <c r="B290" s="7" t="s">
        <v>332</v>
      </c>
      <c r="C290" s="7">
        <v>925079</v>
      </c>
      <c r="D290" s="7" t="s">
        <v>279</v>
      </c>
      <c r="E290" s="7" t="s">
        <v>220</v>
      </c>
      <c r="F290" s="7">
        <f t="shared" si="3"/>
        <v>1</v>
      </c>
      <c r="G290" s="16">
        <f>+(TblDetalle[[#This Row],[MontoBrutoProm_Mes]]/TblDetalle[[#This Row],[UnidadesProm_Mes]])*TblDetalle[[#This Row],[Unidades]]</f>
        <v>73.67</v>
      </c>
      <c r="H290" s="8">
        <v>2</v>
      </c>
      <c r="I290" s="9">
        <v>147.34</v>
      </c>
      <c r="J290">
        <f>+TblDetalle[[#This Row],[Monto A Rebajhar]]/TblDetalle[[#This Row],[MontoBrutoProm_Mes]]</f>
        <v>0.5</v>
      </c>
    </row>
    <row r="291" spans="1:10" x14ac:dyDescent="0.3">
      <c r="A291" s="7">
        <v>60</v>
      </c>
      <c r="B291" s="7" t="s">
        <v>332</v>
      </c>
      <c r="C291" s="7">
        <v>930012</v>
      </c>
      <c r="D291" s="7" t="s">
        <v>264</v>
      </c>
      <c r="E291" s="7" t="s">
        <v>243</v>
      </c>
      <c r="F291" s="7">
        <f t="shared" si="3"/>
        <v>10</v>
      </c>
      <c r="G291" s="16">
        <f>+(TblDetalle[[#This Row],[MontoBrutoProm_Mes]]/TblDetalle[[#This Row],[UnidadesProm_Mes]])*TblDetalle[[#This Row],[Unidades]]</f>
        <v>918.6571642910726</v>
      </c>
      <c r="H291" s="8">
        <v>13.33</v>
      </c>
      <c r="I291" s="9">
        <v>1224.57</v>
      </c>
      <c r="J291">
        <f>+TblDetalle[[#This Row],[Monto A Rebajhar]]/TblDetalle[[#This Row],[MontoBrutoProm_Mes]]</f>
        <v>0.75018754688672162</v>
      </c>
    </row>
    <row r="292" spans="1:10" x14ac:dyDescent="0.3">
      <c r="A292" s="7">
        <v>60</v>
      </c>
      <c r="B292" s="7" t="s">
        <v>332</v>
      </c>
      <c r="C292" s="7">
        <v>930020</v>
      </c>
      <c r="D292" s="7" t="s">
        <v>299</v>
      </c>
      <c r="E292" s="7" t="s">
        <v>243</v>
      </c>
      <c r="F292" s="7">
        <f t="shared" si="3"/>
        <v>2</v>
      </c>
      <c r="G292" s="16">
        <f>+(TblDetalle[[#This Row],[MontoBrutoProm_Mes]]/TblDetalle[[#This Row],[UnidadesProm_Mes]])*TblDetalle[[#This Row],[Unidades]]</f>
        <v>186.24719101123594</v>
      </c>
      <c r="H292" s="8">
        <v>2.67</v>
      </c>
      <c r="I292" s="9">
        <v>248.64</v>
      </c>
      <c r="J292">
        <f>+TblDetalle[[#This Row],[Monto A Rebajhar]]/TblDetalle[[#This Row],[MontoBrutoProm_Mes]]</f>
        <v>0.74906367041198496</v>
      </c>
    </row>
    <row r="293" spans="1:10" x14ac:dyDescent="0.3">
      <c r="A293" s="7">
        <v>60</v>
      </c>
      <c r="B293" s="7" t="s">
        <v>332</v>
      </c>
      <c r="C293" s="7">
        <v>930021</v>
      </c>
      <c r="D293" s="7" t="s">
        <v>300</v>
      </c>
      <c r="E293" s="7" t="s">
        <v>243</v>
      </c>
      <c r="F293" s="7">
        <f t="shared" si="3"/>
        <v>2</v>
      </c>
      <c r="G293" s="16">
        <f>+(TblDetalle[[#This Row],[MontoBrutoProm_Mes]]/TblDetalle[[#This Row],[UnidadesProm_Mes]])*TblDetalle[[#This Row],[Unidades]]</f>
        <v>183.18801089918256</v>
      </c>
      <c r="H293" s="8">
        <v>3.67</v>
      </c>
      <c r="I293" s="9">
        <v>336.15</v>
      </c>
      <c r="J293">
        <f>+TblDetalle[[#This Row],[Monto A Rebajhar]]/TblDetalle[[#This Row],[MontoBrutoProm_Mes]]</f>
        <v>0.54495912806539515</v>
      </c>
    </row>
    <row r="294" spans="1:10" x14ac:dyDescent="0.3">
      <c r="A294" s="7">
        <v>60</v>
      </c>
      <c r="B294" s="7" t="s">
        <v>332</v>
      </c>
      <c r="C294" s="7">
        <v>930022</v>
      </c>
      <c r="D294" s="7" t="s">
        <v>265</v>
      </c>
      <c r="E294" s="7" t="s">
        <v>243</v>
      </c>
      <c r="F294" s="7">
        <f t="shared" si="3"/>
        <v>2</v>
      </c>
      <c r="G294" s="16">
        <f>+(TblDetalle[[#This Row],[MontoBrutoProm_Mes]]/TblDetalle[[#This Row],[UnidadesProm_Mes]])*TblDetalle[[#This Row],[Unidades]]</f>
        <v>183.18801089918256</v>
      </c>
      <c r="H294" s="8">
        <v>3.67</v>
      </c>
      <c r="I294" s="9">
        <v>336.15</v>
      </c>
      <c r="J294">
        <f>+TblDetalle[[#This Row],[Monto A Rebajhar]]/TblDetalle[[#This Row],[MontoBrutoProm_Mes]]</f>
        <v>0.54495912806539515</v>
      </c>
    </row>
    <row r="295" spans="1:10" x14ac:dyDescent="0.3">
      <c r="A295" s="7">
        <v>60</v>
      </c>
      <c r="B295" s="7" t="s">
        <v>332</v>
      </c>
      <c r="C295" s="7">
        <v>930025</v>
      </c>
      <c r="D295" s="7" t="s">
        <v>244</v>
      </c>
      <c r="E295" s="7" t="s">
        <v>243</v>
      </c>
      <c r="F295" s="7">
        <f t="shared" si="3"/>
        <v>8</v>
      </c>
      <c r="G295" s="16">
        <f>+(TblDetalle[[#This Row],[MontoBrutoProm_Mes]]/TblDetalle[[#This Row],[UnidadesProm_Mes]])*TblDetalle[[#This Row],[Unidades]]</f>
        <v>467.41143392689781</v>
      </c>
      <c r="H295" s="8">
        <v>10.67</v>
      </c>
      <c r="I295" s="9">
        <v>623.41</v>
      </c>
      <c r="J295">
        <f>+TblDetalle[[#This Row],[Monto A Rebajhar]]/TblDetalle[[#This Row],[MontoBrutoProm_Mes]]</f>
        <v>0.7497656982193065</v>
      </c>
    </row>
    <row r="296" spans="1:10" x14ac:dyDescent="0.3">
      <c r="A296" s="7">
        <v>60</v>
      </c>
      <c r="B296" s="7" t="s">
        <v>332</v>
      </c>
      <c r="C296" s="7">
        <v>930154</v>
      </c>
      <c r="D296" s="7" t="s">
        <v>245</v>
      </c>
      <c r="E296" s="7" t="s">
        <v>243</v>
      </c>
      <c r="F296" s="7">
        <f t="shared" si="3"/>
        <v>0</v>
      </c>
      <c r="G296" s="16">
        <f>+(TblDetalle[[#This Row],[MontoBrutoProm_Mes]]/TblDetalle[[#This Row],[UnidadesProm_Mes]])*TblDetalle[[#This Row],[Unidades]]</f>
        <v>0</v>
      </c>
      <c r="H296" s="8">
        <v>1</v>
      </c>
      <c r="I296" s="9">
        <v>89</v>
      </c>
      <c r="J296">
        <f>+TblDetalle[[#This Row],[Monto A Rebajhar]]/TblDetalle[[#This Row],[MontoBrutoProm_Mes]]</f>
        <v>0</v>
      </c>
    </row>
    <row r="297" spans="1:10" x14ac:dyDescent="0.3">
      <c r="A297" s="7">
        <v>66</v>
      </c>
      <c r="B297" s="7" t="s">
        <v>333</v>
      </c>
      <c r="C297" s="7">
        <v>101005</v>
      </c>
      <c r="D297" s="7" t="s">
        <v>232</v>
      </c>
      <c r="E297" s="7" t="s">
        <v>215</v>
      </c>
      <c r="F297" s="7">
        <f t="shared" si="3"/>
        <v>18</v>
      </c>
      <c r="G297" s="16">
        <f>+(TblDetalle[[#This Row],[MontoBrutoProm_Mes]]/TblDetalle[[#This Row],[UnidadesProm_Mes]])*TblDetalle[[#This Row],[Unidades]]</f>
        <v>1395.9219888555508</v>
      </c>
      <c r="H297" s="8">
        <v>23.33</v>
      </c>
      <c r="I297" s="9">
        <v>1809.27</v>
      </c>
      <c r="J297">
        <f>+TblDetalle[[#This Row],[Monto A Rebajhar]]/TblDetalle[[#This Row],[MontoBrutoProm_Mes]]</f>
        <v>0.77153879125589375</v>
      </c>
    </row>
    <row r="298" spans="1:10" x14ac:dyDescent="0.3">
      <c r="A298" s="7">
        <v>66</v>
      </c>
      <c r="B298" s="7" t="s">
        <v>333</v>
      </c>
      <c r="C298" s="7">
        <v>101026</v>
      </c>
      <c r="D298" s="7" t="s">
        <v>233</v>
      </c>
      <c r="E298" s="7" t="s">
        <v>215</v>
      </c>
      <c r="F298" s="7">
        <f t="shared" si="3"/>
        <v>38</v>
      </c>
      <c r="G298" s="16">
        <f>+(TblDetalle[[#This Row],[MontoBrutoProm_Mes]]/TblDetalle[[#This Row],[UnidadesProm_Mes]])*TblDetalle[[#This Row],[Unidades]]</f>
        <v>1326.96</v>
      </c>
      <c r="H298" s="8">
        <v>48</v>
      </c>
      <c r="I298" s="9">
        <v>1676.16</v>
      </c>
      <c r="J298">
        <f>+TblDetalle[[#This Row],[Monto A Rebajhar]]/TblDetalle[[#This Row],[MontoBrutoProm_Mes]]</f>
        <v>0.79166666666666663</v>
      </c>
    </row>
    <row r="299" spans="1:10" x14ac:dyDescent="0.3">
      <c r="A299" s="7">
        <v>66</v>
      </c>
      <c r="B299" s="7" t="s">
        <v>333</v>
      </c>
      <c r="C299" s="7">
        <v>101027</v>
      </c>
      <c r="D299" s="7" t="s">
        <v>234</v>
      </c>
      <c r="E299" s="7" t="s">
        <v>215</v>
      </c>
      <c r="F299" s="7">
        <f t="shared" si="3"/>
        <v>6</v>
      </c>
      <c r="G299" s="16">
        <f>+(TblDetalle[[#This Row],[MontoBrutoProm_Mes]]/TblDetalle[[#This Row],[UnidadesProm_Mes]])*TblDetalle[[#This Row],[Unidades]]</f>
        <v>465.24</v>
      </c>
      <c r="H299" s="8">
        <v>8</v>
      </c>
      <c r="I299" s="9">
        <v>620.32000000000005</v>
      </c>
      <c r="J299">
        <f>+TblDetalle[[#This Row],[Monto A Rebajhar]]/TblDetalle[[#This Row],[MontoBrutoProm_Mes]]</f>
        <v>0.75</v>
      </c>
    </row>
    <row r="300" spans="1:10" x14ac:dyDescent="0.3">
      <c r="A300" s="7">
        <v>66</v>
      </c>
      <c r="B300" s="7" t="s">
        <v>333</v>
      </c>
      <c r="C300" s="7">
        <v>101028</v>
      </c>
      <c r="D300" s="7" t="s">
        <v>214</v>
      </c>
      <c r="E300" s="7" t="s">
        <v>215</v>
      </c>
      <c r="F300" s="7">
        <f t="shared" si="3"/>
        <v>33</v>
      </c>
      <c r="G300" s="16">
        <f>+(TblDetalle[[#This Row],[MontoBrutoProm_Mes]]/TblDetalle[[#This Row],[UnidadesProm_Mes]])*TblDetalle[[#This Row],[Unidades]]</f>
        <v>3271.6882649388044</v>
      </c>
      <c r="H300" s="8">
        <v>41.67</v>
      </c>
      <c r="I300" s="9">
        <v>4131.25</v>
      </c>
      <c r="J300">
        <f>+TblDetalle[[#This Row],[Monto A Rebajhar]]/TblDetalle[[#This Row],[MontoBrutoProm_Mes]]</f>
        <v>0.79193664506839445</v>
      </c>
    </row>
    <row r="301" spans="1:10" x14ac:dyDescent="0.3">
      <c r="A301" s="7">
        <v>66</v>
      </c>
      <c r="B301" s="7" t="s">
        <v>333</v>
      </c>
      <c r="C301" s="7">
        <v>101038</v>
      </c>
      <c r="D301" s="7" t="s">
        <v>235</v>
      </c>
      <c r="E301" s="7" t="s">
        <v>215</v>
      </c>
      <c r="F301" s="7">
        <f t="shared" si="3"/>
        <v>1</v>
      </c>
      <c r="G301" s="16">
        <f>+(TblDetalle[[#This Row],[MontoBrutoProm_Mes]]/TblDetalle[[#This Row],[UnidadesProm_Mes]])*TblDetalle[[#This Row],[Unidades]]</f>
        <v>386.14163090128756</v>
      </c>
      <c r="H301" s="8">
        <v>2.33</v>
      </c>
      <c r="I301" s="9">
        <v>899.71</v>
      </c>
      <c r="J301">
        <f>+TblDetalle[[#This Row],[Monto A Rebajhar]]/TblDetalle[[#This Row],[MontoBrutoProm_Mes]]</f>
        <v>0.42918454935622319</v>
      </c>
    </row>
    <row r="302" spans="1:10" x14ac:dyDescent="0.3">
      <c r="A302" s="7">
        <v>66</v>
      </c>
      <c r="B302" s="7" t="s">
        <v>333</v>
      </c>
      <c r="C302" s="7">
        <v>103001</v>
      </c>
      <c r="D302" s="7" t="s">
        <v>248</v>
      </c>
      <c r="E302" s="7" t="s">
        <v>215</v>
      </c>
      <c r="F302" s="7">
        <f t="shared" si="3"/>
        <v>12</v>
      </c>
      <c r="G302" s="16">
        <f>+(TblDetalle[[#This Row],[MontoBrutoProm_Mes]]/TblDetalle[[#This Row],[UnidadesProm_Mes]])*TblDetalle[[#This Row],[Unidades]]</f>
        <v>265.08</v>
      </c>
      <c r="H302" s="8">
        <v>16</v>
      </c>
      <c r="I302" s="9">
        <v>353.44</v>
      </c>
      <c r="J302">
        <f>+TblDetalle[[#This Row],[Monto A Rebajhar]]/TblDetalle[[#This Row],[MontoBrutoProm_Mes]]</f>
        <v>0.75</v>
      </c>
    </row>
    <row r="303" spans="1:10" x14ac:dyDescent="0.3">
      <c r="A303" s="7">
        <v>66</v>
      </c>
      <c r="B303" s="7" t="s">
        <v>333</v>
      </c>
      <c r="C303" s="7">
        <v>201001</v>
      </c>
      <c r="D303" s="7" t="s">
        <v>216</v>
      </c>
      <c r="E303" s="7" t="s">
        <v>217</v>
      </c>
      <c r="F303" s="7">
        <f t="shared" si="3"/>
        <v>0</v>
      </c>
      <c r="G303" s="16">
        <f>+(TblDetalle[[#This Row],[MontoBrutoProm_Mes]]/TblDetalle[[#This Row],[UnidadesProm_Mes]])*TblDetalle[[#This Row],[Unidades]]</f>
        <v>0</v>
      </c>
      <c r="H303" s="8">
        <v>0.33</v>
      </c>
      <c r="I303" s="9">
        <v>79.319999999999993</v>
      </c>
      <c r="J303">
        <f>+TblDetalle[[#This Row],[Monto A Rebajhar]]/TblDetalle[[#This Row],[MontoBrutoProm_Mes]]</f>
        <v>0</v>
      </c>
    </row>
    <row r="304" spans="1:10" x14ac:dyDescent="0.3">
      <c r="A304" s="7">
        <v>66</v>
      </c>
      <c r="B304" s="7" t="s">
        <v>333</v>
      </c>
      <c r="C304" s="7">
        <v>501000</v>
      </c>
      <c r="D304" s="7" t="s">
        <v>237</v>
      </c>
      <c r="E304" s="7" t="s">
        <v>217</v>
      </c>
      <c r="F304" s="7">
        <f t="shared" si="3"/>
        <v>0</v>
      </c>
      <c r="G304" s="16">
        <f>+(TblDetalle[[#This Row],[MontoBrutoProm_Mes]]/TblDetalle[[#This Row],[UnidadesProm_Mes]])*TblDetalle[[#This Row],[Unidades]]</f>
        <v>0</v>
      </c>
      <c r="H304" s="8">
        <v>0.67</v>
      </c>
      <c r="I304" s="9">
        <v>81.92</v>
      </c>
      <c r="J304">
        <f>+TblDetalle[[#This Row],[Monto A Rebajhar]]/TblDetalle[[#This Row],[MontoBrutoProm_Mes]]</f>
        <v>0</v>
      </c>
    </row>
    <row r="305" spans="1:10" x14ac:dyDescent="0.3">
      <c r="A305" s="7">
        <v>66</v>
      </c>
      <c r="B305" s="7" t="s">
        <v>333</v>
      </c>
      <c r="C305" s="7">
        <v>611048</v>
      </c>
      <c r="D305" s="7" t="s">
        <v>250</v>
      </c>
      <c r="E305" s="7" t="s">
        <v>217</v>
      </c>
      <c r="F305" s="7">
        <f t="shared" si="3"/>
        <v>3</v>
      </c>
      <c r="G305" s="16">
        <f>+(TblDetalle[[#This Row],[MontoBrutoProm_Mes]]/TblDetalle[[#This Row],[UnidadesProm_Mes]])*TblDetalle[[#This Row],[Unidades]]</f>
        <v>45.150000000000006</v>
      </c>
      <c r="H305" s="8">
        <v>4</v>
      </c>
      <c r="I305" s="9">
        <v>60.2</v>
      </c>
      <c r="J305">
        <f>+TblDetalle[[#This Row],[Monto A Rebajhar]]/TblDetalle[[#This Row],[MontoBrutoProm_Mes]]</f>
        <v>0.75000000000000011</v>
      </c>
    </row>
    <row r="306" spans="1:10" x14ac:dyDescent="0.3">
      <c r="A306" s="7">
        <v>66</v>
      </c>
      <c r="B306" s="7" t="s">
        <v>333</v>
      </c>
      <c r="C306" s="7">
        <v>611052</v>
      </c>
      <c r="D306" s="7" t="s">
        <v>252</v>
      </c>
      <c r="E306" s="7" t="s">
        <v>217</v>
      </c>
      <c r="F306" s="7">
        <f t="shared" si="3"/>
        <v>12</v>
      </c>
      <c r="G306" s="16">
        <f>+(TblDetalle[[#This Row],[MontoBrutoProm_Mes]]/TblDetalle[[#This Row],[UnidadesProm_Mes]])*TblDetalle[[#This Row],[Unidades]]</f>
        <v>264.36</v>
      </c>
      <c r="H306" s="8">
        <v>16</v>
      </c>
      <c r="I306" s="9">
        <v>352.48</v>
      </c>
      <c r="J306">
        <f>+TblDetalle[[#This Row],[Monto A Rebajhar]]/TblDetalle[[#This Row],[MontoBrutoProm_Mes]]</f>
        <v>0.75</v>
      </c>
    </row>
    <row r="307" spans="1:10" x14ac:dyDescent="0.3">
      <c r="A307" s="7">
        <v>66</v>
      </c>
      <c r="B307" s="7" t="s">
        <v>333</v>
      </c>
      <c r="C307" s="7">
        <v>611053</v>
      </c>
      <c r="D307" s="7" t="s">
        <v>253</v>
      </c>
      <c r="E307" s="7" t="s">
        <v>217</v>
      </c>
      <c r="F307" s="7">
        <f t="shared" si="3"/>
        <v>6</v>
      </c>
      <c r="G307" s="16">
        <f>+(TblDetalle[[#This Row],[MontoBrutoProm_Mes]]/TblDetalle[[#This Row],[UnidadesProm_Mes]])*TblDetalle[[#This Row],[Unidades]]</f>
        <v>132.18</v>
      </c>
      <c r="H307" s="8">
        <v>8</v>
      </c>
      <c r="I307" s="9">
        <v>176.24</v>
      </c>
      <c r="J307">
        <f>+TblDetalle[[#This Row],[Monto A Rebajhar]]/TblDetalle[[#This Row],[MontoBrutoProm_Mes]]</f>
        <v>0.75</v>
      </c>
    </row>
    <row r="308" spans="1:10" x14ac:dyDescent="0.3">
      <c r="A308" s="7">
        <v>66</v>
      </c>
      <c r="B308" s="7" t="s">
        <v>333</v>
      </c>
      <c r="C308" s="7">
        <v>611055</v>
      </c>
      <c r="D308" s="7" t="s">
        <v>254</v>
      </c>
      <c r="E308" s="7" t="s">
        <v>217</v>
      </c>
      <c r="F308" s="7">
        <f t="shared" si="3"/>
        <v>14</v>
      </c>
      <c r="G308" s="16">
        <f>+(TblDetalle[[#This Row],[MontoBrutoProm_Mes]]/TblDetalle[[#This Row],[UnidadesProm_Mes]])*TblDetalle[[#This Row],[Unidades]]</f>
        <v>1186.1456882699517</v>
      </c>
      <c r="H308" s="8">
        <v>18.670000000000002</v>
      </c>
      <c r="I308" s="9">
        <v>1581.81</v>
      </c>
      <c r="J308">
        <f>+TblDetalle[[#This Row],[Monto A Rebajhar]]/TblDetalle[[#This Row],[MontoBrutoProm_Mes]]</f>
        <v>0.74986609534011783</v>
      </c>
    </row>
    <row r="309" spans="1:10" x14ac:dyDescent="0.3">
      <c r="A309" s="7">
        <v>66</v>
      </c>
      <c r="B309" s="7" t="s">
        <v>333</v>
      </c>
      <c r="C309" s="7">
        <v>611507</v>
      </c>
      <c r="D309" s="7" t="s">
        <v>255</v>
      </c>
      <c r="E309" s="7" t="s">
        <v>215</v>
      </c>
      <c r="F309" s="7">
        <f t="shared" si="3"/>
        <v>2</v>
      </c>
      <c r="G309" s="16">
        <f>+(TblDetalle[[#This Row],[MontoBrutoProm_Mes]]/TblDetalle[[#This Row],[UnidadesProm_Mes]])*TblDetalle[[#This Row],[Unidades]]</f>
        <v>2.247191011235955E-2</v>
      </c>
      <c r="H309" s="8">
        <v>2.67</v>
      </c>
      <c r="I309" s="9">
        <v>0.03</v>
      </c>
      <c r="J309">
        <f>+TblDetalle[[#This Row],[Monto A Rebajhar]]/TblDetalle[[#This Row],[MontoBrutoProm_Mes]]</f>
        <v>0.74906367041198507</v>
      </c>
    </row>
    <row r="310" spans="1:10" x14ac:dyDescent="0.3">
      <c r="A310" s="7">
        <v>66</v>
      </c>
      <c r="B310" s="7" t="s">
        <v>333</v>
      </c>
      <c r="C310" s="7">
        <v>621012</v>
      </c>
      <c r="D310" s="7" t="s">
        <v>334</v>
      </c>
      <c r="E310" s="7" t="s">
        <v>239</v>
      </c>
      <c r="F310" s="7">
        <f t="shared" ref="F310:F373" si="4">+ROUNDDOWN(H310*0.8,0)</f>
        <v>6</v>
      </c>
      <c r="G310" s="16">
        <f>+(TblDetalle[[#This Row],[MontoBrutoProm_Mes]]/TblDetalle[[#This Row],[UnidadesProm_Mes]])*TblDetalle[[#This Row],[Unidades]]</f>
        <v>161.57999999999998</v>
      </c>
      <c r="H310" s="8">
        <v>8</v>
      </c>
      <c r="I310" s="9">
        <v>215.44</v>
      </c>
      <c r="J310">
        <f>+TblDetalle[[#This Row],[Monto A Rebajhar]]/TblDetalle[[#This Row],[MontoBrutoProm_Mes]]</f>
        <v>0.74999999999999989</v>
      </c>
    </row>
    <row r="311" spans="1:10" x14ac:dyDescent="0.3">
      <c r="A311" s="7">
        <v>66</v>
      </c>
      <c r="B311" s="7" t="s">
        <v>333</v>
      </c>
      <c r="C311" s="7">
        <v>800088</v>
      </c>
      <c r="D311" s="7" t="s">
        <v>240</v>
      </c>
      <c r="E311" s="7" t="s">
        <v>215</v>
      </c>
      <c r="F311" s="7">
        <f t="shared" si="4"/>
        <v>0</v>
      </c>
      <c r="G311" s="16">
        <f>+(TblDetalle[[#This Row],[MontoBrutoProm_Mes]]/TblDetalle[[#This Row],[UnidadesProm_Mes]])*TblDetalle[[#This Row],[Unidades]]</f>
        <v>0</v>
      </c>
      <c r="H311" s="8">
        <v>0.33</v>
      </c>
      <c r="I311" s="9">
        <v>127.12</v>
      </c>
      <c r="J311">
        <f>+TblDetalle[[#This Row],[Monto A Rebajhar]]/TblDetalle[[#This Row],[MontoBrutoProm_Mes]]</f>
        <v>0</v>
      </c>
    </row>
    <row r="312" spans="1:10" x14ac:dyDescent="0.3">
      <c r="A312" s="7">
        <v>66</v>
      </c>
      <c r="B312" s="7" t="s">
        <v>333</v>
      </c>
      <c r="C312" s="7">
        <v>800089</v>
      </c>
      <c r="D312" s="7" t="s">
        <v>241</v>
      </c>
      <c r="E312" s="7" t="s">
        <v>215</v>
      </c>
      <c r="F312" s="7">
        <f t="shared" si="4"/>
        <v>0</v>
      </c>
      <c r="G312" s="16">
        <f>+(TblDetalle[[#This Row],[MontoBrutoProm_Mes]]/TblDetalle[[#This Row],[UnidadesProm_Mes]])*TblDetalle[[#This Row],[Unidades]]</f>
        <v>0</v>
      </c>
      <c r="H312" s="8">
        <v>1</v>
      </c>
      <c r="I312" s="9">
        <v>381.35</v>
      </c>
      <c r="J312">
        <f>+TblDetalle[[#This Row],[Monto A Rebajhar]]/TblDetalle[[#This Row],[MontoBrutoProm_Mes]]</f>
        <v>0</v>
      </c>
    </row>
    <row r="313" spans="1:10" x14ac:dyDescent="0.3">
      <c r="A313" s="7">
        <v>66</v>
      </c>
      <c r="B313" s="7" t="s">
        <v>333</v>
      </c>
      <c r="C313" s="7">
        <v>800792</v>
      </c>
      <c r="D313" s="7" t="s">
        <v>242</v>
      </c>
      <c r="E313" s="7" t="s">
        <v>243</v>
      </c>
      <c r="F313" s="7">
        <f t="shared" si="4"/>
        <v>1</v>
      </c>
      <c r="G313" s="16">
        <f>+(TblDetalle[[#This Row],[MontoBrutoProm_Mes]]/TblDetalle[[#This Row],[UnidadesProm_Mes]])*TblDetalle[[#This Row],[Unidades]]</f>
        <v>160.70059880239521</v>
      </c>
      <c r="H313" s="8">
        <v>1.67</v>
      </c>
      <c r="I313" s="9">
        <v>268.37</v>
      </c>
      <c r="J313">
        <f>+TblDetalle[[#This Row],[Monto A Rebajhar]]/TblDetalle[[#This Row],[MontoBrutoProm_Mes]]</f>
        <v>0.59880239520958078</v>
      </c>
    </row>
    <row r="314" spans="1:10" x14ac:dyDescent="0.3">
      <c r="A314" s="7">
        <v>66</v>
      </c>
      <c r="B314" s="7" t="s">
        <v>333</v>
      </c>
      <c r="C314" s="7">
        <v>910103</v>
      </c>
      <c r="D314" s="7" t="s">
        <v>295</v>
      </c>
      <c r="E314" s="7" t="s">
        <v>296</v>
      </c>
      <c r="F314" s="7">
        <f t="shared" si="4"/>
        <v>6</v>
      </c>
      <c r="G314" s="16">
        <f>+(TblDetalle[[#This Row],[MontoBrutoProm_Mes]]/TblDetalle[[#This Row],[UnidadesProm_Mes]])*TblDetalle[[#This Row],[Unidades]]</f>
        <v>169.38</v>
      </c>
      <c r="H314" s="8">
        <v>8</v>
      </c>
      <c r="I314" s="9">
        <v>225.84</v>
      </c>
      <c r="J314">
        <f>+TblDetalle[[#This Row],[Monto A Rebajhar]]/TblDetalle[[#This Row],[MontoBrutoProm_Mes]]</f>
        <v>0.75</v>
      </c>
    </row>
    <row r="315" spans="1:10" x14ac:dyDescent="0.3">
      <c r="A315" s="7">
        <v>66</v>
      </c>
      <c r="B315" s="7" t="s">
        <v>333</v>
      </c>
      <c r="C315" s="7">
        <v>925064</v>
      </c>
      <c r="D315" s="7" t="s">
        <v>263</v>
      </c>
      <c r="E315" s="7" t="s">
        <v>220</v>
      </c>
      <c r="F315" s="7">
        <f t="shared" si="4"/>
        <v>3</v>
      </c>
      <c r="G315" s="16">
        <f>+(TblDetalle[[#This Row],[MontoBrutoProm_Mes]]/TblDetalle[[#This Row],[UnidadesProm_Mes]])*TblDetalle[[#This Row],[Unidades]]</f>
        <v>103.08</v>
      </c>
      <c r="H315" s="8">
        <v>4</v>
      </c>
      <c r="I315" s="9">
        <v>137.44</v>
      </c>
      <c r="J315">
        <f>+TblDetalle[[#This Row],[Monto A Rebajhar]]/TblDetalle[[#This Row],[MontoBrutoProm_Mes]]</f>
        <v>0.75</v>
      </c>
    </row>
    <row r="316" spans="1:10" x14ac:dyDescent="0.3">
      <c r="A316" s="7">
        <v>66</v>
      </c>
      <c r="B316" s="7" t="s">
        <v>333</v>
      </c>
      <c r="C316" s="7">
        <v>925078</v>
      </c>
      <c r="D316" s="7" t="s">
        <v>221</v>
      </c>
      <c r="E316" s="7" t="s">
        <v>220</v>
      </c>
      <c r="F316" s="7">
        <f t="shared" si="4"/>
        <v>6</v>
      </c>
      <c r="G316" s="16">
        <f>+(TblDetalle[[#This Row],[MontoBrutoProm_Mes]]/TblDetalle[[#This Row],[UnidadesProm_Mes]])*TblDetalle[[#This Row],[Unidades]]</f>
        <v>442.02</v>
      </c>
      <c r="H316" s="8">
        <v>8</v>
      </c>
      <c r="I316" s="9">
        <v>589.36</v>
      </c>
      <c r="J316">
        <f>+TblDetalle[[#This Row],[Monto A Rebajhar]]/TblDetalle[[#This Row],[MontoBrutoProm_Mes]]</f>
        <v>0.75</v>
      </c>
    </row>
    <row r="317" spans="1:10" x14ac:dyDescent="0.3">
      <c r="A317" s="7">
        <v>66</v>
      </c>
      <c r="B317" s="7" t="s">
        <v>333</v>
      </c>
      <c r="C317" s="7">
        <v>925079</v>
      </c>
      <c r="D317" s="7" t="s">
        <v>279</v>
      </c>
      <c r="E317" s="7" t="s">
        <v>220</v>
      </c>
      <c r="F317" s="7">
        <f t="shared" si="4"/>
        <v>6</v>
      </c>
      <c r="G317" s="16">
        <f>+(TblDetalle[[#This Row],[MontoBrutoProm_Mes]]/TblDetalle[[#This Row],[UnidadesProm_Mes]])*TblDetalle[[#This Row],[Unidades]]</f>
        <v>442.02</v>
      </c>
      <c r="H317" s="8">
        <v>8</v>
      </c>
      <c r="I317" s="9">
        <v>589.36</v>
      </c>
      <c r="J317">
        <f>+TblDetalle[[#This Row],[Monto A Rebajhar]]/TblDetalle[[#This Row],[MontoBrutoProm_Mes]]</f>
        <v>0.75</v>
      </c>
    </row>
    <row r="318" spans="1:10" x14ac:dyDescent="0.3">
      <c r="A318" s="7">
        <v>66</v>
      </c>
      <c r="B318" s="7" t="s">
        <v>333</v>
      </c>
      <c r="C318" s="7">
        <v>925094</v>
      </c>
      <c r="D318" s="7" t="s">
        <v>298</v>
      </c>
      <c r="E318" s="7" t="s">
        <v>220</v>
      </c>
      <c r="F318" s="7">
        <f t="shared" si="4"/>
        <v>1</v>
      </c>
      <c r="G318" s="16">
        <f>+(TblDetalle[[#This Row],[MontoBrutoProm_Mes]]/TblDetalle[[#This Row],[UnidadesProm_Mes]])*TblDetalle[[#This Row],[Unidades]]</f>
        <v>48.52</v>
      </c>
      <c r="H318" s="8">
        <v>2</v>
      </c>
      <c r="I318" s="9">
        <v>97.04</v>
      </c>
      <c r="J318">
        <f>+TblDetalle[[#This Row],[Monto A Rebajhar]]/TblDetalle[[#This Row],[MontoBrutoProm_Mes]]</f>
        <v>0.5</v>
      </c>
    </row>
    <row r="319" spans="1:10" x14ac:dyDescent="0.3">
      <c r="A319" s="7">
        <v>66</v>
      </c>
      <c r="B319" s="7" t="s">
        <v>333</v>
      </c>
      <c r="C319" s="7">
        <v>930012</v>
      </c>
      <c r="D319" s="7" t="s">
        <v>264</v>
      </c>
      <c r="E319" s="7" t="s">
        <v>243</v>
      </c>
      <c r="F319" s="7">
        <f t="shared" si="4"/>
        <v>1</v>
      </c>
      <c r="G319" s="16">
        <f>+(TblDetalle[[#This Row],[MontoBrutoProm_Mes]]/TblDetalle[[#This Row],[UnidadesProm_Mes]])*TblDetalle[[#This Row],[Unidades]]</f>
        <v>93.053892215568865</v>
      </c>
      <c r="H319" s="8">
        <v>1.67</v>
      </c>
      <c r="I319" s="9">
        <v>155.4</v>
      </c>
      <c r="J319">
        <f>+TblDetalle[[#This Row],[Monto A Rebajhar]]/TblDetalle[[#This Row],[MontoBrutoProm_Mes]]</f>
        <v>0.59880239520958078</v>
      </c>
    </row>
    <row r="320" spans="1:10" x14ac:dyDescent="0.3">
      <c r="A320" s="7">
        <v>66</v>
      </c>
      <c r="B320" s="7" t="s">
        <v>333</v>
      </c>
      <c r="C320" s="7">
        <v>930021</v>
      </c>
      <c r="D320" s="7" t="s">
        <v>300</v>
      </c>
      <c r="E320" s="7" t="s">
        <v>243</v>
      </c>
      <c r="F320" s="7">
        <f t="shared" si="4"/>
        <v>1</v>
      </c>
      <c r="G320" s="16">
        <f>+(TblDetalle[[#This Row],[MontoBrutoProm_Mes]]/TblDetalle[[#This Row],[UnidadesProm_Mes]])*TblDetalle[[#This Row],[Unidades]]</f>
        <v>93.053892215568865</v>
      </c>
      <c r="H320" s="8">
        <v>1.67</v>
      </c>
      <c r="I320" s="9">
        <v>155.4</v>
      </c>
      <c r="J320">
        <f>+TblDetalle[[#This Row],[Monto A Rebajhar]]/TblDetalle[[#This Row],[MontoBrutoProm_Mes]]</f>
        <v>0.59880239520958078</v>
      </c>
    </row>
    <row r="321" spans="1:10" x14ac:dyDescent="0.3">
      <c r="A321" s="7">
        <v>66</v>
      </c>
      <c r="B321" s="7" t="s">
        <v>333</v>
      </c>
      <c r="C321" s="7">
        <v>930023</v>
      </c>
      <c r="D321" s="7" t="s">
        <v>335</v>
      </c>
      <c r="E321" s="7" t="s">
        <v>243</v>
      </c>
      <c r="F321" s="7">
        <f t="shared" si="4"/>
        <v>0</v>
      </c>
      <c r="G321" s="16">
        <f>+(TblDetalle[[#This Row],[MontoBrutoProm_Mes]]/TblDetalle[[#This Row],[UnidadesProm_Mes]])*TblDetalle[[#This Row],[Unidades]]</f>
        <v>0</v>
      </c>
      <c r="H321" s="8">
        <v>1</v>
      </c>
      <c r="I321" s="9">
        <v>144.1</v>
      </c>
      <c r="J321">
        <f>+TblDetalle[[#This Row],[Monto A Rebajhar]]/TblDetalle[[#This Row],[MontoBrutoProm_Mes]]</f>
        <v>0</v>
      </c>
    </row>
    <row r="322" spans="1:10" x14ac:dyDescent="0.3">
      <c r="A322" s="7">
        <v>66</v>
      </c>
      <c r="B322" s="7" t="s">
        <v>333</v>
      </c>
      <c r="C322" s="7">
        <v>930025</v>
      </c>
      <c r="D322" s="7" t="s">
        <v>244</v>
      </c>
      <c r="E322" s="7" t="s">
        <v>243</v>
      </c>
      <c r="F322" s="7">
        <f t="shared" si="4"/>
        <v>1</v>
      </c>
      <c r="G322" s="16">
        <f>+(TblDetalle[[#This Row],[MontoBrutoProm_Mes]]/TblDetalle[[#This Row],[UnidadesProm_Mes]])*TblDetalle[[#This Row],[Unidades]]</f>
        <v>59.451127819548866</v>
      </c>
      <c r="H322" s="8">
        <v>1.33</v>
      </c>
      <c r="I322" s="9">
        <v>79.069999999999993</v>
      </c>
      <c r="J322">
        <f>+TblDetalle[[#This Row],[Monto A Rebajhar]]/TblDetalle[[#This Row],[MontoBrutoProm_Mes]]</f>
        <v>0.75187969924812026</v>
      </c>
    </row>
    <row r="323" spans="1:10" x14ac:dyDescent="0.3">
      <c r="A323" s="7">
        <v>66</v>
      </c>
      <c r="B323" s="7" t="s">
        <v>333</v>
      </c>
      <c r="C323" s="7">
        <v>930026</v>
      </c>
      <c r="D323" s="7" t="s">
        <v>301</v>
      </c>
      <c r="E323" s="7" t="s">
        <v>243</v>
      </c>
      <c r="F323" s="7">
        <f t="shared" si="4"/>
        <v>0</v>
      </c>
      <c r="G323" s="16">
        <f>+(TblDetalle[[#This Row],[MontoBrutoProm_Mes]]/TblDetalle[[#This Row],[UnidadesProm_Mes]])*TblDetalle[[#This Row],[Unidades]]</f>
        <v>0</v>
      </c>
      <c r="H323" s="8">
        <v>1</v>
      </c>
      <c r="I323" s="9">
        <v>59.3</v>
      </c>
      <c r="J323">
        <f>+TblDetalle[[#This Row],[Monto A Rebajhar]]/TblDetalle[[#This Row],[MontoBrutoProm_Mes]]</f>
        <v>0</v>
      </c>
    </row>
    <row r="324" spans="1:10" x14ac:dyDescent="0.3">
      <c r="A324" s="7">
        <v>66</v>
      </c>
      <c r="B324" s="7" t="s">
        <v>333</v>
      </c>
      <c r="C324" s="7">
        <v>930028</v>
      </c>
      <c r="D324" s="7" t="s">
        <v>302</v>
      </c>
      <c r="E324" s="7" t="s">
        <v>243</v>
      </c>
      <c r="F324" s="7">
        <f t="shared" si="4"/>
        <v>0</v>
      </c>
      <c r="G324" s="16">
        <f>+(TblDetalle[[#This Row],[MontoBrutoProm_Mes]]/TblDetalle[[#This Row],[UnidadesProm_Mes]])*TblDetalle[[#This Row],[Unidades]]</f>
        <v>0</v>
      </c>
      <c r="H324" s="8">
        <v>1</v>
      </c>
      <c r="I324" s="9">
        <v>93.22</v>
      </c>
      <c r="J324">
        <f>+TblDetalle[[#This Row],[Monto A Rebajhar]]/TblDetalle[[#This Row],[MontoBrutoProm_Mes]]</f>
        <v>0</v>
      </c>
    </row>
    <row r="325" spans="1:10" x14ac:dyDescent="0.3">
      <c r="A325" s="7">
        <v>66</v>
      </c>
      <c r="B325" s="7" t="s">
        <v>333</v>
      </c>
      <c r="C325" s="7">
        <v>930060</v>
      </c>
      <c r="D325" s="7" t="s">
        <v>336</v>
      </c>
      <c r="E325" s="7" t="s">
        <v>243</v>
      </c>
      <c r="F325" s="7">
        <f t="shared" si="4"/>
        <v>0</v>
      </c>
      <c r="G325" s="16">
        <f>+(TblDetalle[[#This Row],[MontoBrutoProm_Mes]]/TblDetalle[[#This Row],[UnidadesProm_Mes]])*TblDetalle[[#This Row],[Unidades]]</f>
        <v>0</v>
      </c>
      <c r="H325" s="8">
        <v>1</v>
      </c>
      <c r="I325" s="9">
        <v>161</v>
      </c>
      <c r="J325">
        <f>+TblDetalle[[#This Row],[Monto A Rebajhar]]/TblDetalle[[#This Row],[MontoBrutoProm_Mes]]</f>
        <v>0</v>
      </c>
    </row>
    <row r="326" spans="1:10" x14ac:dyDescent="0.3">
      <c r="A326" s="7">
        <v>66</v>
      </c>
      <c r="B326" s="7" t="s">
        <v>333</v>
      </c>
      <c r="C326" s="7">
        <v>930112</v>
      </c>
      <c r="D326" s="7" t="s">
        <v>310</v>
      </c>
      <c r="E326" s="7" t="s">
        <v>243</v>
      </c>
      <c r="F326" s="7">
        <f t="shared" si="4"/>
        <v>0</v>
      </c>
      <c r="G326" s="16">
        <f>+(TblDetalle[[#This Row],[MontoBrutoProm_Mes]]/TblDetalle[[#This Row],[UnidadesProm_Mes]])*TblDetalle[[#This Row],[Unidades]]</f>
        <v>0</v>
      </c>
      <c r="H326" s="8">
        <v>0.67</v>
      </c>
      <c r="I326" s="9">
        <v>107.33</v>
      </c>
      <c r="J326">
        <f>+TblDetalle[[#This Row],[Monto A Rebajhar]]/TblDetalle[[#This Row],[MontoBrutoProm_Mes]]</f>
        <v>0</v>
      </c>
    </row>
    <row r="327" spans="1:10" x14ac:dyDescent="0.3">
      <c r="A327" s="7">
        <v>66</v>
      </c>
      <c r="B327" s="7" t="s">
        <v>333</v>
      </c>
      <c r="C327" s="7">
        <v>930113</v>
      </c>
      <c r="D327" s="7" t="s">
        <v>303</v>
      </c>
      <c r="E327" s="7" t="s">
        <v>243</v>
      </c>
      <c r="F327" s="7">
        <f t="shared" si="4"/>
        <v>0</v>
      </c>
      <c r="G327" s="16">
        <f>+(TblDetalle[[#This Row],[MontoBrutoProm_Mes]]/TblDetalle[[#This Row],[UnidadesProm_Mes]])*TblDetalle[[#This Row],[Unidades]]</f>
        <v>0</v>
      </c>
      <c r="H327" s="8">
        <v>0.67</v>
      </c>
      <c r="I327" s="9">
        <v>107.33</v>
      </c>
      <c r="J327">
        <f>+TblDetalle[[#This Row],[Monto A Rebajhar]]/TblDetalle[[#This Row],[MontoBrutoProm_Mes]]</f>
        <v>0</v>
      </c>
    </row>
    <row r="328" spans="1:10" x14ac:dyDescent="0.3">
      <c r="A328" s="7">
        <v>66</v>
      </c>
      <c r="B328" s="7" t="s">
        <v>333</v>
      </c>
      <c r="C328" s="7">
        <v>930137</v>
      </c>
      <c r="D328" s="7" t="s">
        <v>311</v>
      </c>
      <c r="E328" s="7" t="s">
        <v>243</v>
      </c>
      <c r="F328" s="7">
        <f t="shared" si="4"/>
        <v>3</v>
      </c>
      <c r="G328" s="16">
        <f>+(TblDetalle[[#This Row],[MontoBrutoProm_Mes]]/TblDetalle[[#This Row],[UnidadesProm_Mes]])*TblDetalle[[#This Row],[Unidades]]</f>
        <v>85.83</v>
      </c>
      <c r="H328" s="8">
        <v>4</v>
      </c>
      <c r="I328" s="9">
        <v>114.44</v>
      </c>
      <c r="J328">
        <f>+TblDetalle[[#This Row],[Monto A Rebajhar]]/TblDetalle[[#This Row],[MontoBrutoProm_Mes]]</f>
        <v>0.75</v>
      </c>
    </row>
    <row r="329" spans="1:10" x14ac:dyDescent="0.3">
      <c r="A329" s="7">
        <v>66</v>
      </c>
      <c r="B329" s="7" t="s">
        <v>333</v>
      </c>
      <c r="C329" s="7">
        <v>930138</v>
      </c>
      <c r="D329" s="7" t="s">
        <v>312</v>
      </c>
      <c r="E329" s="7" t="s">
        <v>243</v>
      </c>
      <c r="F329" s="7">
        <f t="shared" si="4"/>
        <v>1</v>
      </c>
      <c r="G329" s="16">
        <f>+(TblDetalle[[#This Row],[MontoBrutoProm_Mes]]/TblDetalle[[#This Row],[UnidadesProm_Mes]])*TblDetalle[[#This Row],[Unidades]]</f>
        <v>28.61</v>
      </c>
      <c r="H329" s="8">
        <v>2</v>
      </c>
      <c r="I329" s="9">
        <v>57.22</v>
      </c>
      <c r="J329">
        <f>+TblDetalle[[#This Row],[Monto A Rebajhar]]/TblDetalle[[#This Row],[MontoBrutoProm_Mes]]</f>
        <v>0.5</v>
      </c>
    </row>
    <row r="330" spans="1:10" x14ac:dyDescent="0.3">
      <c r="A330" s="7">
        <v>66</v>
      </c>
      <c r="B330" s="7" t="s">
        <v>333</v>
      </c>
      <c r="C330" s="7">
        <v>930139</v>
      </c>
      <c r="D330" s="7" t="s">
        <v>313</v>
      </c>
      <c r="E330" s="7" t="s">
        <v>243</v>
      </c>
      <c r="F330" s="7">
        <f t="shared" si="4"/>
        <v>1</v>
      </c>
      <c r="G330" s="16">
        <f>+(TblDetalle[[#This Row],[MontoBrutoProm_Mes]]/TblDetalle[[#This Row],[UnidadesProm_Mes]])*TblDetalle[[#This Row],[Unidades]]</f>
        <v>28.61</v>
      </c>
      <c r="H330" s="8">
        <v>2</v>
      </c>
      <c r="I330" s="9">
        <v>57.22</v>
      </c>
      <c r="J330">
        <f>+TblDetalle[[#This Row],[Monto A Rebajhar]]/TblDetalle[[#This Row],[MontoBrutoProm_Mes]]</f>
        <v>0.5</v>
      </c>
    </row>
    <row r="331" spans="1:10" x14ac:dyDescent="0.3">
      <c r="A331" s="7">
        <v>66</v>
      </c>
      <c r="B331" s="7" t="s">
        <v>333</v>
      </c>
      <c r="C331" s="7">
        <v>930140</v>
      </c>
      <c r="D331" s="7" t="s">
        <v>314</v>
      </c>
      <c r="E331" s="7" t="s">
        <v>243</v>
      </c>
      <c r="F331" s="7">
        <f t="shared" si="4"/>
        <v>3</v>
      </c>
      <c r="G331" s="16">
        <f>+(TblDetalle[[#This Row],[MontoBrutoProm_Mes]]/TblDetalle[[#This Row],[UnidadesProm_Mes]])*TblDetalle[[#This Row],[Unidades]]</f>
        <v>85.83</v>
      </c>
      <c r="H331" s="8">
        <v>4</v>
      </c>
      <c r="I331" s="9">
        <v>114.44</v>
      </c>
      <c r="J331">
        <f>+TblDetalle[[#This Row],[Monto A Rebajhar]]/TblDetalle[[#This Row],[MontoBrutoProm_Mes]]</f>
        <v>0.75</v>
      </c>
    </row>
    <row r="332" spans="1:10" x14ac:dyDescent="0.3">
      <c r="A332" s="7">
        <v>66</v>
      </c>
      <c r="B332" s="7" t="s">
        <v>333</v>
      </c>
      <c r="C332" s="7">
        <v>930145</v>
      </c>
      <c r="D332" s="7" t="s">
        <v>316</v>
      </c>
      <c r="E332" s="7" t="s">
        <v>243</v>
      </c>
      <c r="F332" s="7">
        <f t="shared" si="4"/>
        <v>1</v>
      </c>
      <c r="G332" s="16">
        <f>+(TblDetalle[[#This Row],[MontoBrutoProm_Mes]]/TblDetalle[[#This Row],[UnidadesProm_Mes]])*TblDetalle[[#This Row],[Unidades]]</f>
        <v>28.61</v>
      </c>
      <c r="H332" s="8">
        <v>2</v>
      </c>
      <c r="I332" s="9">
        <v>57.22</v>
      </c>
      <c r="J332">
        <f>+TblDetalle[[#This Row],[Monto A Rebajhar]]/TblDetalle[[#This Row],[MontoBrutoProm_Mes]]</f>
        <v>0.5</v>
      </c>
    </row>
    <row r="333" spans="1:10" x14ac:dyDescent="0.3">
      <c r="A333" s="7">
        <v>66</v>
      </c>
      <c r="B333" s="7" t="s">
        <v>333</v>
      </c>
      <c r="C333" s="7">
        <v>930154</v>
      </c>
      <c r="D333" s="7" t="s">
        <v>245</v>
      </c>
      <c r="E333" s="7" t="s">
        <v>243</v>
      </c>
      <c r="F333" s="7">
        <f t="shared" si="4"/>
        <v>0</v>
      </c>
      <c r="G333" s="16">
        <f>+(TblDetalle[[#This Row],[MontoBrutoProm_Mes]]/TblDetalle[[#This Row],[UnidadesProm_Mes]])*TblDetalle[[#This Row],[Unidades]]</f>
        <v>0</v>
      </c>
      <c r="H333" s="8">
        <v>0.33</v>
      </c>
      <c r="I333" s="9">
        <v>29.67</v>
      </c>
      <c r="J333">
        <f>+TblDetalle[[#This Row],[Monto A Rebajhar]]/TblDetalle[[#This Row],[MontoBrutoProm_Mes]]</f>
        <v>0</v>
      </c>
    </row>
    <row r="334" spans="1:10" x14ac:dyDescent="0.3">
      <c r="A334" s="7">
        <v>66</v>
      </c>
      <c r="B334" s="7" t="s">
        <v>333</v>
      </c>
      <c r="C334" s="7">
        <v>930168</v>
      </c>
      <c r="D334" s="7" t="s">
        <v>337</v>
      </c>
      <c r="E334" s="7" t="s">
        <v>243</v>
      </c>
      <c r="F334" s="7">
        <f t="shared" si="4"/>
        <v>1</v>
      </c>
      <c r="G334" s="16">
        <f>+(TblDetalle[[#This Row],[MontoBrutoProm_Mes]]/TblDetalle[[#This Row],[UnidadesProm_Mes]])*TblDetalle[[#This Row],[Unidades]]</f>
        <v>23.71</v>
      </c>
      <c r="H334" s="8">
        <v>2</v>
      </c>
      <c r="I334" s="9">
        <v>47.42</v>
      </c>
      <c r="J334">
        <f>+TblDetalle[[#This Row],[Monto A Rebajhar]]/TblDetalle[[#This Row],[MontoBrutoProm_Mes]]</f>
        <v>0.5</v>
      </c>
    </row>
    <row r="335" spans="1:10" x14ac:dyDescent="0.3">
      <c r="A335" s="7">
        <v>66</v>
      </c>
      <c r="B335" s="7" t="s">
        <v>333</v>
      </c>
      <c r="C335" s="7">
        <v>930177</v>
      </c>
      <c r="D335" s="7" t="s">
        <v>317</v>
      </c>
      <c r="E335" s="7" t="s">
        <v>243</v>
      </c>
      <c r="F335" s="7">
        <f t="shared" si="4"/>
        <v>3</v>
      </c>
      <c r="G335" s="16">
        <f>+(TblDetalle[[#This Row],[MontoBrutoProm_Mes]]/TblDetalle[[#This Row],[UnidadesProm_Mes]])*TblDetalle[[#This Row],[Unidades]]</f>
        <v>85.83</v>
      </c>
      <c r="H335" s="8">
        <v>4</v>
      </c>
      <c r="I335" s="9">
        <v>114.44</v>
      </c>
      <c r="J335">
        <f>+TblDetalle[[#This Row],[Monto A Rebajhar]]/TblDetalle[[#This Row],[MontoBrutoProm_Mes]]</f>
        <v>0.75</v>
      </c>
    </row>
    <row r="336" spans="1:10" x14ac:dyDescent="0.3">
      <c r="A336" s="7">
        <v>66</v>
      </c>
      <c r="B336" s="7" t="s">
        <v>333</v>
      </c>
      <c r="C336" s="7">
        <v>930178</v>
      </c>
      <c r="D336" s="7" t="s">
        <v>267</v>
      </c>
      <c r="E336" s="7" t="s">
        <v>243</v>
      </c>
      <c r="F336" s="7">
        <f t="shared" si="4"/>
        <v>1</v>
      </c>
      <c r="G336" s="16">
        <f>+(TblDetalle[[#This Row],[MontoBrutoProm_Mes]]/TblDetalle[[#This Row],[UnidadesProm_Mes]])*TblDetalle[[#This Row],[Unidades]]</f>
        <v>28.65236051502146</v>
      </c>
      <c r="H336" s="8">
        <v>2.33</v>
      </c>
      <c r="I336" s="9">
        <v>66.760000000000005</v>
      </c>
      <c r="J336">
        <f>+TblDetalle[[#This Row],[Monto A Rebajhar]]/TblDetalle[[#This Row],[MontoBrutoProm_Mes]]</f>
        <v>0.42918454935622313</v>
      </c>
    </row>
    <row r="337" spans="1:10" x14ac:dyDescent="0.3">
      <c r="A337" s="7">
        <v>66</v>
      </c>
      <c r="B337" s="7" t="s">
        <v>333</v>
      </c>
      <c r="C337" s="7">
        <v>982005</v>
      </c>
      <c r="D337" s="7" t="s">
        <v>285</v>
      </c>
      <c r="E337" s="7" t="s">
        <v>270</v>
      </c>
      <c r="F337" s="7">
        <f t="shared" si="4"/>
        <v>4</v>
      </c>
      <c r="G337" s="16">
        <f>+(TblDetalle[[#This Row],[MontoBrutoProm_Mes]]/TblDetalle[[#This Row],[UnidadesProm_Mes]])*TblDetalle[[#This Row],[Unidades]]</f>
        <v>615</v>
      </c>
      <c r="H337" s="8">
        <v>6</v>
      </c>
      <c r="I337" s="9">
        <v>922.5</v>
      </c>
      <c r="J337">
        <f>+TblDetalle[[#This Row],[Monto A Rebajhar]]/TblDetalle[[#This Row],[MontoBrutoProm_Mes]]</f>
        <v>0.66666666666666663</v>
      </c>
    </row>
    <row r="338" spans="1:10" x14ac:dyDescent="0.3">
      <c r="A338" s="7">
        <v>70</v>
      </c>
      <c r="B338" s="7" t="s">
        <v>338</v>
      </c>
      <c r="C338" s="7">
        <v>101005</v>
      </c>
      <c r="D338" s="7" t="s">
        <v>232</v>
      </c>
      <c r="E338" s="7" t="s">
        <v>215</v>
      </c>
      <c r="F338" s="7">
        <f t="shared" si="4"/>
        <v>29</v>
      </c>
      <c r="G338" s="16">
        <f>+(TblDetalle[[#This Row],[MontoBrutoProm_Mes]]/TblDetalle[[#This Row],[UnidadesProm_Mes]])*TblDetalle[[#This Row],[Unidades]]</f>
        <v>2183.1298063812383</v>
      </c>
      <c r="H338" s="8">
        <v>36.67</v>
      </c>
      <c r="I338" s="9">
        <v>2760.53</v>
      </c>
      <c r="J338">
        <f>+TblDetalle[[#This Row],[Monto A Rebajhar]]/TblDetalle[[#This Row],[MontoBrutoProm_Mes]]</f>
        <v>0.79083719661848928</v>
      </c>
    </row>
    <row r="339" spans="1:10" x14ac:dyDescent="0.3">
      <c r="A339" s="7">
        <v>70</v>
      </c>
      <c r="B339" s="7" t="s">
        <v>338</v>
      </c>
      <c r="C339" s="7">
        <v>101026</v>
      </c>
      <c r="D339" s="7" t="s">
        <v>233</v>
      </c>
      <c r="E339" s="7" t="s">
        <v>215</v>
      </c>
      <c r="F339" s="7">
        <f t="shared" si="4"/>
        <v>9</v>
      </c>
      <c r="G339" s="16">
        <f>+(TblDetalle[[#This Row],[MontoBrutoProm_Mes]]/TblDetalle[[#This Row],[UnidadesProm_Mes]])*TblDetalle[[#This Row],[Unidades]]</f>
        <v>314.28000000000003</v>
      </c>
      <c r="H339" s="8">
        <v>12</v>
      </c>
      <c r="I339" s="9">
        <v>419.04</v>
      </c>
      <c r="J339">
        <f>+TblDetalle[[#This Row],[Monto A Rebajhar]]/TblDetalle[[#This Row],[MontoBrutoProm_Mes]]</f>
        <v>0.75</v>
      </c>
    </row>
    <row r="340" spans="1:10" x14ac:dyDescent="0.3">
      <c r="A340" s="7">
        <v>70</v>
      </c>
      <c r="B340" s="7" t="s">
        <v>338</v>
      </c>
      <c r="C340" s="7">
        <v>101027</v>
      </c>
      <c r="D340" s="7" t="s">
        <v>234</v>
      </c>
      <c r="E340" s="7" t="s">
        <v>215</v>
      </c>
      <c r="F340" s="7">
        <f t="shared" si="4"/>
        <v>37</v>
      </c>
      <c r="G340" s="16">
        <f>+(TblDetalle[[#This Row],[MontoBrutoProm_Mes]]/TblDetalle[[#This Row],[UnidadesProm_Mes]])*TblDetalle[[#This Row],[Unidades]]</f>
        <v>2763.995928862224</v>
      </c>
      <c r="H340" s="8">
        <v>46.67</v>
      </c>
      <c r="I340" s="9">
        <v>3486.37</v>
      </c>
      <c r="J340">
        <f>+TblDetalle[[#This Row],[Monto A Rebajhar]]/TblDetalle[[#This Row],[MontoBrutoProm_Mes]]</f>
        <v>0.79280051424898224</v>
      </c>
    </row>
    <row r="341" spans="1:10" x14ac:dyDescent="0.3">
      <c r="A341" s="7">
        <v>70</v>
      </c>
      <c r="B341" s="7" t="s">
        <v>338</v>
      </c>
      <c r="C341" s="7">
        <v>101028</v>
      </c>
      <c r="D341" s="7" t="s">
        <v>214</v>
      </c>
      <c r="E341" s="7" t="s">
        <v>215</v>
      </c>
      <c r="F341" s="7">
        <f t="shared" si="4"/>
        <v>41</v>
      </c>
      <c r="G341" s="16">
        <f>+(TblDetalle[[#This Row],[MontoBrutoProm_Mes]]/TblDetalle[[#This Row],[UnidadesProm_Mes]])*TblDetalle[[#This Row],[Unidades]]</f>
        <v>4043.8476524449638</v>
      </c>
      <c r="H341" s="8">
        <v>51.33</v>
      </c>
      <c r="I341" s="9">
        <v>5062.7</v>
      </c>
      <c r="J341">
        <f>+TblDetalle[[#This Row],[Monto A Rebajhar]]/TblDetalle[[#This Row],[MontoBrutoProm_Mes]]</f>
        <v>0.79875316578998634</v>
      </c>
    </row>
    <row r="342" spans="1:10" x14ac:dyDescent="0.3">
      <c r="A342" s="7">
        <v>70</v>
      </c>
      <c r="B342" s="7" t="s">
        <v>338</v>
      </c>
      <c r="C342" s="7">
        <v>101034</v>
      </c>
      <c r="D342" s="7" t="s">
        <v>272</v>
      </c>
      <c r="E342" s="7" t="s">
        <v>215</v>
      </c>
      <c r="F342" s="7">
        <f t="shared" si="4"/>
        <v>0</v>
      </c>
      <c r="G342" s="16">
        <f>+(TblDetalle[[#This Row],[MontoBrutoProm_Mes]]/TblDetalle[[#This Row],[UnidadesProm_Mes]])*TblDetalle[[#This Row],[Unidades]]</f>
        <v>0</v>
      </c>
      <c r="H342" s="8">
        <v>0.67</v>
      </c>
      <c r="I342" s="9">
        <v>163.84</v>
      </c>
      <c r="J342">
        <f>+TblDetalle[[#This Row],[Monto A Rebajhar]]/TblDetalle[[#This Row],[MontoBrutoProm_Mes]]</f>
        <v>0</v>
      </c>
    </row>
    <row r="343" spans="1:10" x14ac:dyDescent="0.3">
      <c r="A343" s="7">
        <v>70</v>
      </c>
      <c r="B343" s="7" t="s">
        <v>338</v>
      </c>
      <c r="C343" s="7">
        <v>101038</v>
      </c>
      <c r="D343" s="7" t="s">
        <v>235</v>
      </c>
      <c r="E343" s="7" t="s">
        <v>215</v>
      </c>
      <c r="F343" s="7">
        <f t="shared" si="4"/>
        <v>12</v>
      </c>
      <c r="G343" s="16">
        <f>+(TblDetalle[[#This Row],[MontoBrutoProm_Mes]]/TblDetalle[[#This Row],[UnidadesProm_Mes]])*TblDetalle[[#This Row],[Unidades]]</f>
        <v>4401.16</v>
      </c>
      <c r="H343" s="8">
        <v>15</v>
      </c>
      <c r="I343" s="9">
        <v>5501.45</v>
      </c>
      <c r="J343">
        <f>+TblDetalle[[#This Row],[Monto A Rebajhar]]/TblDetalle[[#This Row],[MontoBrutoProm_Mes]]</f>
        <v>0.8</v>
      </c>
    </row>
    <row r="344" spans="1:10" x14ac:dyDescent="0.3">
      <c r="A344" s="7">
        <v>70</v>
      </c>
      <c r="B344" s="7" t="s">
        <v>338</v>
      </c>
      <c r="C344" s="7">
        <v>101072</v>
      </c>
      <c r="D344" s="7" t="s">
        <v>273</v>
      </c>
      <c r="E344" s="7" t="s">
        <v>215</v>
      </c>
      <c r="F344" s="7">
        <f t="shared" si="4"/>
        <v>3</v>
      </c>
      <c r="G344" s="16">
        <f>+(TblDetalle[[#This Row],[MontoBrutoProm_Mes]]/TblDetalle[[#This Row],[UnidadesProm_Mes]])*TblDetalle[[#This Row],[Unidades]]</f>
        <v>130.64999999999998</v>
      </c>
      <c r="H344" s="8">
        <v>4</v>
      </c>
      <c r="I344" s="9">
        <v>174.2</v>
      </c>
      <c r="J344">
        <f>+TblDetalle[[#This Row],[Monto A Rebajhar]]/TblDetalle[[#This Row],[MontoBrutoProm_Mes]]</f>
        <v>0.74999999999999989</v>
      </c>
    </row>
    <row r="345" spans="1:10" x14ac:dyDescent="0.3">
      <c r="A345" s="7">
        <v>70</v>
      </c>
      <c r="B345" s="7" t="s">
        <v>338</v>
      </c>
      <c r="C345" s="7">
        <v>101111</v>
      </c>
      <c r="D345" s="7" t="s">
        <v>339</v>
      </c>
      <c r="E345" s="7" t="s">
        <v>215</v>
      </c>
      <c r="F345" s="7">
        <f t="shared" si="4"/>
        <v>7</v>
      </c>
      <c r="G345" s="16">
        <f>+(TblDetalle[[#This Row],[MontoBrutoProm_Mes]]/TblDetalle[[#This Row],[UnidadesProm_Mes]])*TblDetalle[[#This Row],[Unidades]]</f>
        <v>645.89</v>
      </c>
      <c r="H345" s="8">
        <v>9</v>
      </c>
      <c r="I345" s="9">
        <v>830.43</v>
      </c>
      <c r="J345">
        <f>+TblDetalle[[#This Row],[Monto A Rebajhar]]/TblDetalle[[#This Row],[MontoBrutoProm_Mes]]</f>
        <v>0.77777777777777779</v>
      </c>
    </row>
    <row r="346" spans="1:10" x14ac:dyDescent="0.3">
      <c r="A346" s="7">
        <v>70</v>
      </c>
      <c r="B346" s="7" t="s">
        <v>338</v>
      </c>
      <c r="C346" s="7">
        <v>101124</v>
      </c>
      <c r="D346" s="7" t="s">
        <v>322</v>
      </c>
      <c r="E346" s="7" t="s">
        <v>215</v>
      </c>
      <c r="F346" s="7">
        <f t="shared" si="4"/>
        <v>6</v>
      </c>
      <c r="G346" s="16">
        <f>+(TblDetalle[[#This Row],[MontoBrutoProm_Mes]]/TblDetalle[[#This Row],[UnidadesProm_Mes]])*TblDetalle[[#This Row],[Unidades]]</f>
        <v>442.20000000000005</v>
      </c>
      <c r="H346" s="8">
        <v>8</v>
      </c>
      <c r="I346" s="9">
        <v>589.6</v>
      </c>
      <c r="J346">
        <f>+TblDetalle[[#This Row],[Monto A Rebajhar]]/TblDetalle[[#This Row],[MontoBrutoProm_Mes]]</f>
        <v>0.75</v>
      </c>
    </row>
    <row r="347" spans="1:10" x14ac:dyDescent="0.3">
      <c r="A347" s="7">
        <v>70</v>
      </c>
      <c r="B347" s="7" t="s">
        <v>338</v>
      </c>
      <c r="C347" s="7">
        <v>101130</v>
      </c>
      <c r="D347" s="7" t="s">
        <v>247</v>
      </c>
      <c r="E347" s="7" t="s">
        <v>215</v>
      </c>
      <c r="F347" s="7">
        <f t="shared" si="4"/>
        <v>4</v>
      </c>
      <c r="G347" s="16">
        <f>+(TblDetalle[[#This Row],[MontoBrutoProm_Mes]]/TblDetalle[[#This Row],[UnidadesProm_Mes]])*TblDetalle[[#This Row],[Unidades]]</f>
        <v>3.7523452157598502E-2</v>
      </c>
      <c r="H347" s="8">
        <v>5.33</v>
      </c>
      <c r="I347" s="9">
        <v>0.05</v>
      </c>
      <c r="J347">
        <f>+TblDetalle[[#This Row],[Monto A Rebajhar]]/TblDetalle[[#This Row],[MontoBrutoProm_Mes]]</f>
        <v>0.75046904315197005</v>
      </c>
    </row>
    <row r="348" spans="1:10" x14ac:dyDescent="0.3">
      <c r="A348" s="7">
        <v>70</v>
      </c>
      <c r="B348" s="7" t="s">
        <v>338</v>
      </c>
      <c r="C348" s="7">
        <v>101132</v>
      </c>
      <c r="D348" s="7" t="s">
        <v>340</v>
      </c>
      <c r="E348" s="7" t="s">
        <v>215</v>
      </c>
      <c r="F348" s="7">
        <f t="shared" si="4"/>
        <v>4</v>
      </c>
      <c r="G348" s="16">
        <f>+(TblDetalle[[#This Row],[MontoBrutoProm_Mes]]/TblDetalle[[#This Row],[UnidadesProm_Mes]])*TblDetalle[[#This Row],[Unidades]]</f>
        <v>369.08</v>
      </c>
      <c r="H348" s="8">
        <v>6</v>
      </c>
      <c r="I348" s="9">
        <v>553.62</v>
      </c>
      <c r="J348">
        <f>+TblDetalle[[#This Row],[Monto A Rebajhar]]/TblDetalle[[#This Row],[MontoBrutoProm_Mes]]</f>
        <v>0.66666666666666663</v>
      </c>
    </row>
    <row r="349" spans="1:10" x14ac:dyDescent="0.3">
      <c r="A349" s="7">
        <v>70</v>
      </c>
      <c r="B349" s="7" t="s">
        <v>338</v>
      </c>
      <c r="C349" s="7">
        <v>103001</v>
      </c>
      <c r="D349" s="7" t="s">
        <v>248</v>
      </c>
      <c r="E349" s="7" t="s">
        <v>215</v>
      </c>
      <c r="F349" s="7">
        <f t="shared" si="4"/>
        <v>60</v>
      </c>
      <c r="G349" s="16">
        <f>+(TblDetalle[[#This Row],[MontoBrutoProm_Mes]]/TblDetalle[[#This Row],[UnidadesProm_Mes]])*TblDetalle[[#This Row],[Unidades]]</f>
        <v>1281.5435443372539</v>
      </c>
      <c r="H349" s="8">
        <v>75.67</v>
      </c>
      <c r="I349" s="9">
        <v>1616.24</v>
      </c>
      <c r="J349">
        <f>+TblDetalle[[#This Row],[Monto A Rebajhar]]/TblDetalle[[#This Row],[MontoBrutoProm_Mes]]</f>
        <v>0.79291661160301308</v>
      </c>
    </row>
    <row r="350" spans="1:10" x14ac:dyDescent="0.3">
      <c r="A350" s="7">
        <v>70</v>
      </c>
      <c r="B350" s="7" t="s">
        <v>338</v>
      </c>
      <c r="C350" s="7">
        <v>104023</v>
      </c>
      <c r="D350" s="7" t="s">
        <v>341</v>
      </c>
      <c r="E350" s="7" t="s">
        <v>215</v>
      </c>
      <c r="F350" s="7">
        <f t="shared" si="4"/>
        <v>0</v>
      </c>
      <c r="G350" s="16">
        <f>+(TblDetalle[[#This Row],[MontoBrutoProm_Mes]]/TblDetalle[[#This Row],[UnidadesProm_Mes]])*TblDetalle[[#This Row],[Unidades]]</f>
        <v>0</v>
      </c>
      <c r="H350" s="8">
        <v>0.67</v>
      </c>
      <c r="I350" s="9">
        <v>197.25</v>
      </c>
      <c r="J350">
        <f>+TblDetalle[[#This Row],[Monto A Rebajhar]]/TblDetalle[[#This Row],[MontoBrutoProm_Mes]]</f>
        <v>0</v>
      </c>
    </row>
    <row r="351" spans="1:10" x14ac:dyDescent="0.3">
      <c r="A351" s="7">
        <v>70</v>
      </c>
      <c r="B351" s="7" t="s">
        <v>338</v>
      </c>
      <c r="C351" s="7">
        <v>201001</v>
      </c>
      <c r="D351" s="7" t="s">
        <v>216</v>
      </c>
      <c r="E351" s="7" t="s">
        <v>217</v>
      </c>
      <c r="F351" s="7">
        <f t="shared" si="4"/>
        <v>15</v>
      </c>
      <c r="G351" s="16">
        <f>+(TblDetalle[[#This Row],[MontoBrutoProm_Mes]]/TblDetalle[[#This Row],[UnidadesProm_Mes]])*TblDetalle[[#This Row],[Unidades]]</f>
        <v>3359.3326435592353</v>
      </c>
      <c r="H351" s="8">
        <v>19.329999999999998</v>
      </c>
      <c r="I351" s="9">
        <v>4329.0600000000004</v>
      </c>
      <c r="J351">
        <f>+TblDetalle[[#This Row],[Monto A Rebajhar]]/TblDetalle[[#This Row],[MontoBrutoProm_Mes]]</f>
        <v>0.77599586135540621</v>
      </c>
    </row>
    <row r="352" spans="1:10" x14ac:dyDescent="0.3">
      <c r="A352" s="7">
        <v>70</v>
      </c>
      <c r="B352" s="7" t="s">
        <v>338</v>
      </c>
      <c r="C352" s="7">
        <v>220006</v>
      </c>
      <c r="D352" s="7" t="s">
        <v>342</v>
      </c>
      <c r="E352" s="7" t="s">
        <v>220</v>
      </c>
      <c r="F352" s="7">
        <f t="shared" si="4"/>
        <v>0</v>
      </c>
      <c r="G352" s="16">
        <f>+(TblDetalle[[#This Row],[MontoBrutoProm_Mes]]/TblDetalle[[#This Row],[UnidadesProm_Mes]])*TblDetalle[[#This Row],[Unidades]]</f>
        <v>0</v>
      </c>
      <c r="H352" s="8">
        <v>1</v>
      </c>
      <c r="I352" s="9">
        <v>161.33000000000001</v>
      </c>
      <c r="J352">
        <f>+TblDetalle[[#This Row],[Monto A Rebajhar]]/TblDetalle[[#This Row],[MontoBrutoProm_Mes]]</f>
        <v>0</v>
      </c>
    </row>
    <row r="353" spans="1:10" x14ac:dyDescent="0.3">
      <c r="A353" s="7">
        <v>70</v>
      </c>
      <c r="B353" s="7" t="s">
        <v>338</v>
      </c>
      <c r="C353" s="7">
        <v>220007</v>
      </c>
      <c r="D353" s="7" t="s">
        <v>343</v>
      </c>
      <c r="E353" s="7" t="s">
        <v>220</v>
      </c>
      <c r="F353" s="7">
        <f t="shared" si="4"/>
        <v>0</v>
      </c>
      <c r="G353" s="16">
        <f>+(TblDetalle[[#This Row],[MontoBrutoProm_Mes]]/TblDetalle[[#This Row],[UnidadesProm_Mes]])*TblDetalle[[#This Row],[Unidades]]</f>
        <v>0</v>
      </c>
      <c r="H353" s="8">
        <v>1</v>
      </c>
      <c r="I353" s="9">
        <v>161.33000000000001</v>
      </c>
      <c r="J353">
        <f>+TblDetalle[[#This Row],[Monto A Rebajhar]]/TblDetalle[[#This Row],[MontoBrutoProm_Mes]]</f>
        <v>0</v>
      </c>
    </row>
    <row r="354" spans="1:10" x14ac:dyDescent="0.3">
      <c r="A354" s="7">
        <v>70</v>
      </c>
      <c r="B354" s="7" t="s">
        <v>338</v>
      </c>
      <c r="C354" s="7">
        <v>220008</v>
      </c>
      <c r="D354" s="7" t="s">
        <v>344</v>
      </c>
      <c r="E354" s="7" t="s">
        <v>220</v>
      </c>
      <c r="F354" s="7">
        <f t="shared" si="4"/>
        <v>0</v>
      </c>
      <c r="G354" s="16">
        <f>+(TblDetalle[[#This Row],[MontoBrutoProm_Mes]]/TblDetalle[[#This Row],[UnidadesProm_Mes]])*TblDetalle[[#This Row],[Unidades]]</f>
        <v>0</v>
      </c>
      <c r="H354" s="8">
        <v>1</v>
      </c>
      <c r="I354" s="9">
        <v>161.33000000000001</v>
      </c>
      <c r="J354">
        <f>+TblDetalle[[#This Row],[Monto A Rebajhar]]/TblDetalle[[#This Row],[MontoBrutoProm_Mes]]</f>
        <v>0</v>
      </c>
    </row>
    <row r="355" spans="1:10" x14ac:dyDescent="0.3">
      <c r="A355" s="7">
        <v>70</v>
      </c>
      <c r="B355" s="7" t="s">
        <v>338</v>
      </c>
      <c r="C355" s="7">
        <v>511005</v>
      </c>
      <c r="D355" s="7" t="s">
        <v>249</v>
      </c>
      <c r="E355" s="7" t="s">
        <v>217</v>
      </c>
      <c r="F355" s="7">
        <f t="shared" si="4"/>
        <v>3</v>
      </c>
      <c r="G355" s="16">
        <f>+(TblDetalle[[#This Row],[MontoBrutoProm_Mes]]/TblDetalle[[#This Row],[UnidadesProm_Mes]])*TblDetalle[[#This Row],[Unidades]]</f>
        <v>193.32</v>
      </c>
      <c r="H355" s="8">
        <v>4</v>
      </c>
      <c r="I355" s="9">
        <v>257.76</v>
      </c>
      <c r="J355">
        <f>+TblDetalle[[#This Row],[Monto A Rebajhar]]/TblDetalle[[#This Row],[MontoBrutoProm_Mes]]</f>
        <v>0.75</v>
      </c>
    </row>
    <row r="356" spans="1:10" x14ac:dyDescent="0.3">
      <c r="A356" s="7">
        <v>70</v>
      </c>
      <c r="B356" s="7" t="s">
        <v>338</v>
      </c>
      <c r="C356" s="7">
        <v>611049</v>
      </c>
      <c r="D356" s="7" t="s">
        <v>251</v>
      </c>
      <c r="E356" s="7" t="s">
        <v>217</v>
      </c>
      <c r="F356" s="7">
        <f t="shared" si="4"/>
        <v>6</v>
      </c>
      <c r="G356" s="16">
        <f>+(TblDetalle[[#This Row],[MontoBrutoProm_Mes]]/TblDetalle[[#This Row],[UnidadesProm_Mes]])*TblDetalle[[#This Row],[Unidades]]</f>
        <v>166.56</v>
      </c>
      <c r="H356" s="8">
        <v>8</v>
      </c>
      <c r="I356" s="9">
        <v>222.08</v>
      </c>
      <c r="J356">
        <f>+TblDetalle[[#This Row],[Monto A Rebajhar]]/TblDetalle[[#This Row],[MontoBrutoProm_Mes]]</f>
        <v>0.75</v>
      </c>
    </row>
    <row r="357" spans="1:10" x14ac:dyDescent="0.3">
      <c r="A357" s="7">
        <v>70</v>
      </c>
      <c r="B357" s="7" t="s">
        <v>338</v>
      </c>
      <c r="C357" s="7">
        <v>611052</v>
      </c>
      <c r="D357" s="7" t="s">
        <v>252</v>
      </c>
      <c r="E357" s="7" t="s">
        <v>217</v>
      </c>
      <c r="F357" s="7">
        <f t="shared" si="4"/>
        <v>6</v>
      </c>
      <c r="G357" s="16">
        <f>+(TblDetalle[[#This Row],[MontoBrutoProm_Mes]]/TblDetalle[[#This Row],[UnidadesProm_Mes]])*TblDetalle[[#This Row],[Unidades]]</f>
        <v>120</v>
      </c>
      <c r="H357" s="8">
        <v>8</v>
      </c>
      <c r="I357" s="9">
        <v>160</v>
      </c>
      <c r="J357">
        <f>+TblDetalle[[#This Row],[Monto A Rebajhar]]/TblDetalle[[#This Row],[MontoBrutoProm_Mes]]</f>
        <v>0.75</v>
      </c>
    </row>
    <row r="358" spans="1:10" x14ac:dyDescent="0.3">
      <c r="A358" s="7">
        <v>70</v>
      </c>
      <c r="B358" s="7" t="s">
        <v>338</v>
      </c>
      <c r="C358" s="7">
        <v>611053</v>
      </c>
      <c r="D358" s="7" t="s">
        <v>253</v>
      </c>
      <c r="E358" s="7" t="s">
        <v>217</v>
      </c>
      <c r="F358" s="7">
        <f t="shared" si="4"/>
        <v>22</v>
      </c>
      <c r="G358" s="16">
        <f>+(TblDetalle[[#This Row],[MontoBrutoProm_Mes]]/TblDetalle[[#This Row],[UnidadesProm_Mes]])*TblDetalle[[#This Row],[Unidades]]</f>
        <v>452.76000000000005</v>
      </c>
      <c r="H358" s="8">
        <v>28</v>
      </c>
      <c r="I358" s="9">
        <v>576.24</v>
      </c>
      <c r="J358">
        <f>+TblDetalle[[#This Row],[Monto A Rebajhar]]/TblDetalle[[#This Row],[MontoBrutoProm_Mes]]</f>
        <v>0.78571428571428581</v>
      </c>
    </row>
    <row r="359" spans="1:10" x14ac:dyDescent="0.3">
      <c r="A359" s="7">
        <v>70</v>
      </c>
      <c r="B359" s="7" t="s">
        <v>338</v>
      </c>
      <c r="C359" s="7">
        <v>611055</v>
      </c>
      <c r="D359" s="7" t="s">
        <v>254</v>
      </c>
      <c r="E359" s="7" t="s">
        <v>217</v>
      </c>
      <c r="F359" s="7">
        <f t="shared" si="4"/>
        <v>13</v>
      </c>
      <c r="G359" s="16">
        <f>+(TblDetalle[[#This Row],[MontoBrutoProm_Mes]]/TblDetalle[[#This Row],[UnidadesProm_Mes]])*TblDetalle[[#This Row],[Unidades]]</f>
        <v>1031.2008078476631</v>
      </c>
      <c r="H359" s="8">
        <v>17.329999999999998</v>
      </c>
      <c r="I359" s="9">
        <v>1374.67</v>
      </c>
      <c r="J359">
        <f>+TblDetalle[[#This Row],[Monto A Rebajhar]]/TblDetalle[[#This Row],[MontoBrutoProm_Mes]]</f>
        <v>0.75014425851125222</v>
      </c>
    </row>
    <row r="360" spans="1:10" x14ac:dyDescent="0.3">
      <c r="A360" s="7">
        <v>70</v>
      </c>
      <c r="B360" s="7" t="s">
        <v>338</v>
      </c>
      <c r="C360" s="7">
        <v>621004</v>
      </c>
      <c r="D360" s="7" t="s">
        <v>256</v>
      </c>
      <c r="E360" s="7" t="s">
        <v>239</v>
      </c>
      <c r="F360" s="7">
        <f t="shared" si="4"/>
        <v>3</v>
      </c>
      <c r="G360" s="16">
        <f>+(TblDetalle[[#This Row],[MontoBrutoProm_Mes]]/TblDetalle[[#This Row],[UnidadesProm_Mes]])*TblDetalle[[#This Row],[Unidades]]</f>
        <v>796.77</v>
      </c>
      <c r="H360" s="8">
        <v>4</v>
      </c>
      <c r="I360" s="9">
        <v>1062.3599999999999</v>
      </c>
      <c r="J360">
        <f>+TblDetalle[[#This Row],[Monto A Rebajhar]]/TblDetalle[[#This Row],[MontoBrutoProm_Mes]]</f>
        <v>0.75</v>
      </c>
    </row>
    <row r="361" spans="1:10" x14ac:dyDescent="0.3">
      <c r="A361" s="7">
        <v>70</v>
      </c>
      <c r="B361" s="7" t="s">
        <v>338</v>
      </c>
      <c r="C361" s="7">
        <v>621043</v>
      </c>
      <c r="D361" s="7" t="s">
        <v>257</v>
      </c>
      <c r="E361" s="7" t="s">
        <v>239</v>
      </c>
      <c r="F361" s="7">
        <f t="shared" si="4"/>
        <v>1</v>
      </c>
      <c r="G361" s="16">
        <f>+(TblDetalle[[#This Row],[MontoBrutoProm_Mes]]/TblDetalle[[#This Row],[UnidadesProm_Mes]])*TblDetalle[[#This Row],[Unidades]]</f>
        <v>0</v>
      </c>
      <c r="H361" s="8">
        <v>1.33</v>
      </c>
      <c r="I361" s="9">
        <v>0</v>
      </c>
      <c r="J361" t="e">
        <f>+TblDetalle[[#This Row],[Monto A Rebajhar]]/TblDetalle[[#This Row],[MontoBrutoProm_Mes]]</f>
        <v>#DIV/0!</v>
      </c>
    </row>
    <row r="362" spans="1:10" x14ac:dyDescent="0.3">
      <c r="A362" s="7">
        <v>70</v>
      </c>
      <c r="B362" s="7" t="s">
        <v>338</v>
      </c>
      <c r="C362" s="7">
        <v>621045</v>
      </c>
      <c r="D362" s="7" t="s">
        <v>238</v>
      </c>
      <c r="E362" s="7" t="s">
        <v>239</v>
      </c>
      <c r="F362" s="7">
        <f t="shared" si="4"/>
        <v>12</v>
      </c>
      <c r="G362" s="16">
        <f>+(TblDetalle[[#This Row],[MontoBrutoProm_Mes]]/TblDetalle[[#This Row],[UnidadesProm_Mes]])*TblDetalle[[#This Row],[Unidades]]</f>
        <v>1990.44</v>
      </c>
      <c r="H362" s="8">
        <v>16</v>
      </c>
      <c r="I362" s="9">
        <v>2653.92</v>
      </c>
      <c r="J362">
        <f>+TblDetalle[[#This Row],[Monto A Rebajhar]]/TblDetalle[[#This Row],[MontoBrutoProm_Mes]]</f>
        <v>0.75</v>
      </c>
    </row>
    <row r="363" spans="1:10" x14ac:dyDescent="0.3">
      <c r="A363" s="7">
        <v>70</v>
      </c>
      <c r="B363" s="7" t="s">
        <v>338</v>
      </c>
      <c r="C363" s="7">
        <v>800088</v>
      </c>
      <c r="D363" s="7" t="s">
        <v>240</v>
      </c>
      <c r="E363" s="7" t="s">
        <v>215</v>
      </c>
      <c r="F363" s="7">
        <f t="shared" si="4"/>
        <v>0</v>
      </c>
      <c r="G363" s="16">
        <f>+(TblDetalle[[#This Row],[MontoBrutoProm_Mes]]/TblDetalle[[#This Row],[UnidadesProm_Mes]])*TblDetalle[[#This Row],[Unidades]]</f>
        <v>0</v>
      </c>
      <c r="H363" s="8">
        <v>0.67</v>
      </c>
      <c r="I363" s="9">
        <v>254.23</v>
      </c>
      <c r="J363">
        <f>+TblDetalle[[#This Row],[Monto A Rebajhar]]/TblDetalle[[#This Row],[MontoBrutoProm_Mes]]</f>
        <v>0</v>
      </c>
    </row>
    <row r="364" spans="1:10" x14ac:dyDescent="0.3">
      <c r="A364" s="7">
        <v>70</v>
      </c>
      <c r="B364" s="7" t="s">
        <v>338</v>
      </c>
      <c r="C364" s="7">
        <v>800089</v>
      </c>
      <c r="D364" s="7" t="s">
        <v>241</v>
      </c>
      <c r="E364" s="7" t="s">
        <v>215</v>
      </c>
      <c r="F364" s="7">
        <f t="shared" si="4"/>
        <v>4</v>
      </c>
      <c r="G364" s="16">
        <f>+(TblDetalle[[#This Row],[MontoBrutoProm_Mes]]/TblDetalle[[#This Row],[UnidadesProm_Mes]])*TblDetalle[[#This Row],[Unidades]]</f>
        <v>1460.7689594356261</v>
      </c>
      <c r="H364" s="8">
        <v>5.67</v>
      </c>
      <c r="I364" s="9">
        <v>2070.64</v>
      </c>
      <c r="J364">
        <f>+TblDetalle[[#This Row],[Monto A Rebajhar]]/TblDetalle[[#This Row],[MontoBrutoProm_Mes]]</f>
        <v>0.70546737213403887</v>
      </c>
    </row>
    <row r="365" spans="1:10" x14ac:dyDescent="0.3">
      <c r="A365" s="7">
        <v>70</v>
      </c>
      <c r="B365" s="7" t="s">
        <v>338</v>
      </c>
      <c r="C365" s="7">
        <v>800783</v>
      </c>
      <c r="D365" s="7" t="s">
        <v>258</v>
      </c>
      <c r="E365" s="7" t="s">
        <v>243</v>
      </c>
      <c r="F365" s="7">
        <f t="shared" si="4"/>
        <v>0</v>
      </c>
      <c r="G365" s="16">
        <f>+(TblDetalle[[#This Row],[MontoBrutoProm_Mes]]/TblDetalle[[#This Row],[UnidadesProm_Mes]])*TblDetalle[[#This Row],[Unidades]]</f>
        <v>0</v>
      </c>
      <c r="H365" s="8">
        <v>0.33</v>
      </c>
      <c r="I365" s="9">
        <v>0.02</v>
      </c>
      <c r="J365">
        <f>+TblDetalle[[#This Row],[Monto A Rebajhar]]/TblDetalle[[#This Row],[MontoBrutoProm_Mes]]</f>
        <v>0</v>
      </c>
    </row>
    <row r="366" spans="1:10" x14ac:dyDescent="0.3">
      <c r="A366" s="7">
        <v>70</v>
      </c>
      <c r="B366" s="7" t="s">
        <v>338</v>
      </c>
      <c r="C366" s="7">
        <v>800791</v>
      </c>
      <c r="D366" s="7" t="s">
        <v>259</v>
      </c>
      <c r="E366" s="7" t="s">
        <v>243</v>
      </c>
      <c r="F366" s="7">
        <f t="shared" si="4"/>
        <v>0</v>
      </c>
      <c r="G366" s="16">
        <f>+(TblDetalle[[#This Row],[MontoBrutoProm_Mes]]/TblDetalle[[#This Row],[UnidadesProm_Mes]])*TblDetalle[[#This Row],[Unidades]]</f>
        <v>0</v>
      </c>
      <c r="H366" s="8">
        <v>1</v>
      </c>
      <c r="I366" s="9">
        <v>161.02000000000001</v>
      </c>
      <c r="J366">
        <f>+TblDetalle[[#This Row],[Monto A Rebajhar]]/TblDetalle[[#This Row],[MontoBrutoProm_Mes]]</f>
        <v>0</v>
      </c>
    </row>
    <row r="367" spans="1:10" x14ac:dyDescent="0.3">
      <c r="A367" s="7">
        <v>70</v>
      </c>
      <c r="B367" s="7" t="s">
        <v>338</v>
      </c>
      <c r="C367" s="7">
        <v>800792</v>
      </c>
      <c r="D367" s="7" t="s">
        <v>242</v>
      </c>
      <c r="E367" s="7" t="s">
        <v>243</v>
      </c>
      <c r="F367" s="7">
        <f t="shared" si="4"/>
        <v>2</v>
      </c>
      <c r="G367" s="16">
        <f>+(TblDetalle[[#This Row],[MontoBrutoProm_Mes]]/TblDetalle[[#This Row],[UnidadesProm_Mes]])*TblDetalle[[#This Row],[Unidades]]</f>
        <v>310.25068119891006</v>
      </c>
      <c r="H367" s="8">
        <v>3.67</v>
      </c>
      <c r="I367" s="9">
        <v>569.30999999999995</v>
      </c>
      <c r="J367">
        <f>+TblDetalle[[#This Row],[Monto A Rebajhar]]/TblDetalle[[#This Row],[MontoBrutoProm_Mes]]</f>
        <v>0.54495912806539515</v>
      </c>
    </row>
    <row r="368" spans="1:10" x14ac:dyDescent="0.3">
      <c r="A368" s="7">
        <v>70</v>
      </c>
      <c r="B368" s="7" t="s">
        <v>338</v>
      </c>
      <c r="C368" s="7">
        <v>800793</v>
      </c>
      <c r="D368" s="7" t="s">
        <v>260</v>
      </c>
      <c r="E368" s="7" t="s">
        <v>243</v>
      </c>
      <c r="F368" s="7">
        <f t="shared" si="4"/>
        <v>1</v>
      </c>
      <c r="G368" s="16">
        <f>+(TblDetalle[[#This Row],[MontoBrutoProm_Mes]]/TblDetalle[[#This Row],[UnidadesProm_Mes]])*TblDetalle[[#This Row],[Unidades]]</f>
        <v>161.42105263157893</v>
      </c>
      <c r="H368" s="8">
        <v>1.33</v>
      </c>
      <c r="I368" s="9">
        <v>214.69</v>
      </c>
      <c r="J368">
        <f>+TblDetalle[[#This Row],[Monto A Rebajhar]]/TblDetalle[[#This Row],[MontoBrutoProm_Mes]]</f>
        <v>0.75187969924812026</v>
      </c>
    </row>
    <row r="369" spans="1:10" x14ac:dyDescent="0.3">
      <c r="A369" s="7">
        <v>70</v>
      </c>
      <c r="B369" s="7" t="s">
        <v>338</v>
      </c>
      <c r="C369" s="7">
        <v>925050</v>
      </c>
      <c r="D369" s="7" t="s">
        <v>261</v>
      </c>
      <c r="E369" s="7" t="s">
        <v>220</v>
      </c>
      <c r="F369" s="7">
        <f t="shared" si="4"/>
        <v>6</v>
      </c>
      <c r="G369" s="16">
        <f>+(TblDetalle[[#This Row],[MontoBrutoProm_Mes]]/TblDetalle[[#This Row],[UnidadesProm_Mes]])*TblDetalle[[#This Row],[Unidades]]</f>
        <v>440.70000000000005</v>
      </c>
      <c r="H369" s="8">
        <v>8</v>
      </c>
      <c r="I369" s="9">
        <v>587.6</v>
      </c>
      <c r="J369">
        <f>+TblDetalle[[#This Row],[Monto A Rebajhar]]/TblDetalle[[#This Row],[MontoBrutoProm_Mes]]</f>
        <v>0.75</v>
      </c>
    </row>
    <row r="370" spans="1:10" x14ac:dyDescent="0.3">
      <c r="A370" s="7">
        <v>70</v>
      </c>
      <c r="B370" s="7" t="s">
        <v>338</v>
      </c>
      <c r="C370" s="7">
        <v>925059</v>
      </c>
      <c r="D370" s="7" t="s">
        <v>262</v>
      </c>
      <c r="E370" s="7" t="s">
        <v>220</v>
      </c>
      <c r="F370" s="7">
        <f t="shared" si="4"/>
        <v>0</v>
      </c>
      <c r="G370" s="16">
        <f>+(TblDetalle[[#This Row],[MontoBrutoProm_Mes]]/TblDetalle[[#This Row],[UnidadesProm_Mes]])*TblDetalle[[#This Row],[Unidades]]</f>
        <v>0</v>
      </c>
      <c r="H370" s="8">
        <v>0.67</v>
      </c>
      <c r="I370" s="9">
        <v>0.01</v>
      </c>
      <c r="J370">
        <f>+TblDetalle[[#This Row],[Monto A Rebajhar]]/TblDetalle[[#This Row],[MontoBrutoProm_Mes]]</f>
        <v>0</v>
      </c>
    </row>
    <row r="371" spans="1:10" x14ac:dyDescent="0.3">
      <c r="A371" s="7">
        <v>70</v>
      </c>
      <c r="B371" s="7" t="s">
        <v>338</v>
      </c>
      <c r="C371" s="7">
        <v>925062</v>
      </c>
      <c r="D371" s="7" t="s">
        <v>345</v>
      </c>
      <c r="E371" s="7" t="s">
        <v>220</v>
      </c>
      <c r="F371" s="7">
        <f t="shared" si="4"/>
        <v>1</v>
      </c>
      <c r="G371" s="16">
        <f>+(TblDetalle[[#This Row],[MontoBrutoProm_Mes]]/TblDetalle[[#This Row],[UnidadesProm_Mes]])*TblDetalle[[#This Row],[Unidades]]</f>
        <v>7.5187969924812026E-3</v>
      </c>
      <c r="H371" s="8">
        <v>1.33</v>
      </c>
      <c r="I371" s="9">
        <v>0.01</v>
      </c>
      <c r="J371">
        <f>+TblDetalle[[#This Row],[Monto A Rebajhar]]/TblDetalle[[#This Row],[MontoBrutoProm_Mes]]</f>
        <v>0.75187969924812026</v>
      </c>
    </row>
    <row r="372" spans="1:10" x14ac:dyDescent="0.3">
      <c r="A372" s="7">
        <v>70</v>
      </c>
      <c r="B372" s="7" t="s">
        <v>338</v>
      </c>
      <c r="C372" s="7">
        <v>925064</v>
      </c>
      <c r="D372" s="7" t="s">
        <v>263</v>
      </c>
      <c r="E372" s="7" t="s">
        <v>220</v>
      </c>
      <c r="F372" s="7">
        <f t="shared" si="4"/>
        <v>13</v>
      </c>
      <c r="G372" s="16">
        <f>+(TblDetalle[[#This Row],[MontoBrutoProm_Mes]]/TblDetalle[[#This Row],[UnidadesProm_Mes]])*TblDetalle[[#This Row],[Unidades]]</f>
        <v>427.09718056388715</v>
      </c>
      <c r="H372" s="8">
        <v>16.670000000000002</v>
      </c>
      <c r="I372" s="9">
        <v>547.66999999999996</v>
      </c>
      <c r="J372">
        <f>+TblDetalle[[#This Row],[Monto A Rebajhar]]/TblDetalle[[#This Row],[MontoBrutoProm_Mes]]</f>
        <v>0.77984403119376122</v>
      </c>
    </row>
    <row r="373" spans="1:10" x14ac:dyDescent="0.3">
      <c r="A373" s="7">
        <v>70</v>
      </c>
      <c r="B373" s="7" t="s">
        <v>338</v>
      </c>
      <c r="C373" s="7">
        <v>925076</v>
      </c>
      <c r="D373" s="7" t="s">
        <v>278</v>
      </c>
      <c r="E373" s="7" t="s">
        <v>220</v>
      </c>
      <c r="F373" s="7">
        <f t="shared" si="4"/>
        <v>12</v>
      </c>
      <c r="G373" s="16">
        <f>+(TblDetalle[[#This Row],[MontoBrutoProm_Mes]]/TblDetalle[[#This Row],[UnidadesProm_Mes]])*TblDetalle[[#This Row],[Unidades]]</f>
        <v>478.43999999999994</v>
      </c>
      <c r="H373" s="8">
        <v>16</v>
      </c>
      <c r="I373" s="9">
        <v>637.91999999999996</v>
      </c>
      <c r="J373">
        <f>+TblDetalle[[#This Row],[Monto A Rebajhar]]/TblDetalle[[#This Row],[MontoBrutoProm_Mes]]</f>
        <v>0.75</v>
      </c>
    </row>
    <row r="374" spans="1:10" x14ac:dyDescent="0.3">
      <c r="A374" s="7">
        <v>70</v>
      </c>
      <c r="B374" s="7" t="s">
        <v>338</v>
      </c>
      <c r="C374" s="7">
        <v>925083</v>
      </c>
      <c r="D374" s="7" t="s">
        <v>346</v>
      </c>
      <c r="E374" s="7" t="s">
        <v>220</v>
      </c>
      <c r="F374" s="7">
        <f t="shared" ref="F374:F437" si="5">+ROUNDDOWN(H374*0.8,0)</f>
        <v>3</v>
      </c>
      <c r="G374" s="16">
        <f>+(TblDetalle[[#This Row],[MontoBrutoProm_Mes]]/TblDetalle[[#This Row],[UnidadesProm_Mes]])*TblDetalle[[#This Row],[Unidades]]</f>
        <v>258.93</v>
      </c>
      <c r="H374" s="8">
        <v>4</v>
      </c>
      <c r="I374" s="9">
        <v>345.24</v>
      </c>
      <c r="J374">
        <f>+TblDetalle[[#This Row],[Monto A Rebajhar]]/TblDetalle[[#This Row],[MontoBrutoProm_Mes]]</f>
        <v>0.75</v>
      </c>
    </row>
    <row r="375" spans="1:10" x14ac:dyDescent="0.3">
      <c r="A375" s="7">
        <v>70</v>
      </c>
      <c r="B375" s="7" t="s">
        <v>338</v>
      </c>
      <c r="C375" s="7">
        <v>930012</v>
      </c>
      <c r="D375" s="7" t="s">
        <v>264</v>
      </c>
      <c r="E375" s="7" t="s">
        <v>243</v>
      </c>
      <c r="F375" s="7">
        <f t="shared" si="5"/>
        <v>0</v>
      </c>
      <c r="G375" s="16">
        <f>+(TblDetalle[[#This Row],[MontoBrutoProm_Mes]]/TblDetalle[[#This Row],[UnidadesProm_Mes]])*TblDetalle[[#This Row],[Unidades]]</f>
        <v>0</v>
      </c>
      <c r="H375" s="8">
        <v>0.33</v>
      </c>
      <c r="I375" s="9">
        <v>31.08</v>
      </c>
      <c r="J375">
        <f>+TblDetalle[[#This Row],[Monto A Rebajhar]]/TblDetalle[[#This Row],[MontoBrutoProm_Mes]]</f>
        <v>0</v>
      </c>
    </row>
    <row r="376" spans="1:10" x14ac:dyDescent="0.3">
      <c r="A376" s="7">
        <v>70</v>
      </c>
      <c r="B376" s="7" t="s">
        <v>338</v>
      </c>
      <c r="C376" s="7">
        <v>930022</v>
      </c>
      <c r="D376" s="7" t="s">
        <v>265</v>
      </c>
      <c r="E376" s="7" t="s">
        <v>243</v>
      </c>
      <c r="F376" s="7">
        <f t="shared" si="5"/>
        <v>0</v>
      </c>
      <c r="G376" s="16">
        <f>+(TblDetalle[[#This Row],[MontoBrutoProm_Mes]]/TblDetalle[[#This Row],[UnidadesProm_Mes]])*TblDetalle[[#This Row],[Unidades]]</f>
        <v>0</v>
      </c>
      <c r="H376" s="8">
        <v>1</v>
      </c>
      <c r="I376" s="9">
        <v>93.24</v>
      </c>
      <c r="J376">
        <f>+TblDetalle[[#This Row],[Monto A Rebajhar]]/TblDetalle[[#This Row],[MontoBrutoProm_Mes]]</f>
        <v>0</v>
      </c>
    </row>
    <row r="377" spans="1:10" x14ac:dyDescent="0.3">
      <c r="A377" s="7">
        <v>70</v>
      </c>
      <c r="B377" s="7" t="s">
        <v>338</v>
      </c>
      <c r="C377" s="7">
        <v>930023</v>
      </c>
      <c r="D377" s="7" t="s">
        <v>335</v>
      </c>
      <c r="E377" s="7" t="s">
        <v>243</v>
      </c>
      <c r="F377" s="7">
        <f t="shared" si="5"/>
        <v>4</v>
      </c>
      <c r="G377" s="16">
        <f>+(TblDetalle[[#This Row],[MontoBrutoProm_Mes]]/TblDetalle[[#This Row],[UnidadesProm_Mes]])*TblDetalle[[#This Row],[Unidades]]</f>
        <v>563.35459662288929</v>
      </c>
      <c r="H377" s="8">
        <v>5.33</v>
      </c>
      <c r="I377" s="9">
        <v>750.67</v>
      </c>
      <c r="J377">
        <f>+TblDetalle[[#This Row],[Monto A Rebajhar]]/TblDetalle[[#This Row],[MontoBrutoProm_Mes]]</f>
        <v>0.75046904315197005</v>
      </c>
    </row>
    <row r="378" spans="1:10" x14ac:dyDescent="0.3">
      <c r="A378" s="7">
        <v>70</v>
      </c>
      <c r="B378" s="7" t="s">
        <v>338</v>
      </c>
      <c r="C378" s="7">
        <v>930025</v>
      </c>
      <c r="D378" s="7" t="s">
        <v>244</v>
      </c>
      <c r="E378" s="7" t="s">
        <v>243</v>
      </c>
      <c r="F378" s="7">
        <f t="shared" si="5"/>
        <v>1</v>
      </c>
      <c r="G378" s="16">
        <f>+(TblDetalle[[#This Row],[MontoBrutoProm_Mes]]/TblDetalle[[#This Row],[UnidadesProm_Mes]])*TblDetalle[[#This Row],[Unidades]]</f>
        <v>59.11</v>
      </c>
      <c r="H378" s="8">
        <v>2</v>
      </c>
      <c r="I378" s="9">
        <v>118.22</v>
      </c>
      <c r="J378">
        <f>+TblDetalle[[#This Row],[Monto A Rebajhar]]/TblDetalle[[#This Row],[MontoBrutoProm_Mes]]</f>
        <v>0.5</v>
      </c>
    </row>
    <row r="379" spans="1:10" x14ac:dyDescent="0.3">
      <c r="A379" s="7">
        <v>70</v>
      </c>
      <c r="B379" s="7" t="s">
        <v>338</v>
      </c>
      <c r="C379" s="7">
        <v>930153</v>
      </c>
      <c r="D379" s="7" t="s">
        <v>282</v>
      </c>
      <c r="E379" s="7" t="s">
        <v>243</v>
      </c>
      <c r="F379" s="7">
        <f t="shared" si="5"/>
        <v>0</v>
      </c>
      <c r="G379" s="16">
        <f>+(TblDetalle[[#This Row],[MontoBrutoProm_Mes]]/TblDetalle[[#This Row],[UnidadesProm_Mes]])*TblDetalle[[#This Row],[Unidades]]</f>
        <v>0</v>
      </c>
      <c r="H379" s="8">
        <v>0.33</v>
      </c>
      <c r="I379" s="9">
        <v>53.67</v>
      </c>
      <c r="J379">
        <f>+TblDetalle[[#This Row],[Monto A Rebajhar]]/TblDetalle[[#This Row],[MontoBrutoProm_Mes]]</f>
        <v>0</v>
      </c>
    </row>
    <row r="380" spans="1:10" x14ac:dyDescent="0.3">
      <c r="A380" s="7">
        <v>70</v>
      </c>
      <c r="B380" s="7" t="s">
        <v>338</v>
      </c>
      <c r="C380" s="7">
        <v>930154</v>
      </c>
      <c r="D380" s="7" t="s">
        <v>245</v>
      </c>
      <c r="E380" s="7" t="s">
        <v>243</v>
      </c>
      <c r="F380" s="7">
        <f t="shared" si="5"/>
        <v>0</v>
      </c>
      <c r="G380" s="16">
        <f>+(TblDetalle[[#This Row],[MontoBrutoProm_Mes]]/TblDetalle[[#This Row],[UnidadesProm_Mes]])*TblDetalle[[#This Row],[Unidades]]</f>
        <v>0</v>
      </c>
      <c r="H380" s="8">
        <v>0.33</v>
      </c>
      <c r="I380" s="9">
        <v>29.67</v>
      </c>
      <c r="J380">
        <f>+TblDetalle[[#This Row],[Monto A Rebajhar]]/TblDetalle[[#This Row],[MontoBrutoProm_Mes]]</f>
        <v>0</v>
      </c>
    </row>
    <row r="381" spans="1:10" x14ac:dyDescent="0.3">
      <c r="A381" s="7">
        <v>70</v>
      </c>
      <c r="B381" s="7" t="s">
        <v>338</v>
      </c>
      <c r="C381" s="7">
        <v>930178</v>
      </c>
      <c r="D381" s="7" t="s">
        <v>267</v>
      </c>
      <c r="E381" s="7" t="s">
        <v>243</v>
      </c>
      <c r="F381" s="7">
        <f t="shared" si="5"/>
        <v>0</v>
      </c>
      <c r="G381" s="16">
        <f>+(TblDetalle[[#This Row],[MontoBrutoProm_Mes]]/TblDetalle[[#This Row],[UnidadesProm_Mes]])*TblDetalle[[#This Row],[Unidades]]</f>
        <v>0</v>
      </c>
      <c r="H381" s="8">
        <v>0.33</v>
      </c>
      <c r="I381" s="9">
        <v>9.5399999999999991</v>
      </c>
      <c r="J381">
        <f>+TblDetalle[[#This Row],[Monto A Rebajhar]]/TblDetalle[[#This Row],[MontoBrutoProm_Mes]]</f>
        <v>0</v>
      </c>
    </row>
    <row r="382" spans="1:10" x14ac:dyDescent="0.3">
      <c r="A382" s="7">
        <v>70</v>
      </c>
      <c r="B382" s="7" t="s">
        <v>338</v>
      </c>
      <c r="C382" s="7">
        <v>930193</v>
      </c>
      <c r="D382" s="7" t="s">
        <v>268</v>
      </c>
      <c r="E382" s="7" t="s">
        <v>243</v>
      </c>
      <c r="F382" s="7">
        <f t="shared" si="5"/>
        <v>0</v>
      </c>
      <c r="G382" s="16">
        <f>+(TblDetalle[[#This Row],[MontoBrutoProm_Mes]]/TblDetalle[[#This Row],[UnidadesProm_Mes]])*TblDetalle[[#This Row],[Unidades]]</f>
        <v>0</v>
      </c>
      <c r="H382" s="8">
        <v>0.33</v>
      </c>
      <c r="I382" s="9">
        <v>0</v>
      </c>
      <c r="J382" t="e">
        <f>+TblDetalle[[#This Row],[Monto A Rebajhar]]/TblDetalle[[#This Row],[MontoBrutoProm_Mes]]</f>
        <v>#DIV/0!</v>
      </c>
    </row>
    <row r="383" spans="1:10" x14ac:dyDescent="0.3">
      <c r="A383" s="7">
        <v>70</v>
      </c>
      <c r="B383" s="7" t="s">
        <v>338</v>
      </c>
      <c r="C383" s="7">
        <v>982005</v>
      </c>
      <c r="D383" s="7" t="s">
        <v>285</v>
      </c>
      <c r="E383" s="7" t="s">
        <v>270</v>
      </c>
      <c r="F383" s="7">
        <f t="shared" si="5"/>
        <v>2</v>
      </c>
      <c r="G383" s="16">
        <f>+(TblDetalle[[#This Row],[MontoBrutoProm_Mes]]/TblDetalle[[#This Row],[UnidadesProm_Mes]])*TblDetalle[[#This Row],[Unidades]]</f>
        <v>307.5</v>
      </c>
      <c r="H383" s="8">
        <v>3</v>
      </c>
      <c r="I383" s="9">
        <v>461.25</v>
      </c>
      <c r="J383">
        <f>+TblDetalle[[#This Row],[Monto A Rebajhar]]/TblDetalle[[#This Row],[MontoBrutoProm_Mes]]</f>
        <v>0.66666666666666663</v>
      </c>
    </row>
    <row r="384" spans="1:10" x14ac:dyDescent="0.3">
      <c r="A384" s="7">
        <v>72</v>
      </c>
      <c r="B384" s="7" t="s">
        <v>347</v>
      </c>
      <c r="C384" s="7">
        <v>101005</v>
      </c>
      <c r="D384" s="7" t="s">
        <v>232</v>
      </c>
      <c r="E384" s="7" t="s">
        <v>215</v>
      </c>
      <c r="F384" s="7">
        <f t="shared" si="5"/>
        <v>144</v>
      </c>
      <c r="G384" s="16">
        <f>+(TblDetalle[[#This Row],[MontoBrutoProm_Mes]]/TblDetalle[[#This Row],[UnidadesProm_Mes]])*TblDetalle[[#This Row],[Unidades]]</f>
        <v>10990.647999999999</v>
      </c>
      <c r="H384" s="8">
        <v>180</v>
      </c>
      <c r="I384" s="9">
        <v>13738.31</v>
      </c>
      <c r="J384">
        <f>+TblDetalle[[#This Row],[Monto A Rebajhar]]/TblDetalle[[#This Row],[MontoBrutoProm_Mes]]</f>
        <v>0.79999999999999993</v>
      </c>
    </row>
    <row r="385" spans="1:10" x14ac:dyDescent="0.3">
      <c r="A385" s="7">
        <v>72</v>
      </c>
      <c r="B385" s="7" t="s">
        <v>347</v>
      </c>
      <c r="C385" s="7">
        <v>101026</v>
      </c>
      <c r="D385" s="7" t="s">
        <v>233</v>
      </c>
      <c r="E385" s="7" t="s">
        <v>215</v>
      </c>
      <c r="F385" s="7">
        <f t="shared" si="5"/>
        <v>129</v>
      </c>
      <c r="G385" s="16">
        <f>+(TblDetalle[[#This Row],[MontoBrutoProm_Mes]]/TblDetalle[[#This Row],[UnidadesProm_Mes]])*TblDetalle[[#This Row],[Unidades]]</f>
        <v>4466.3418961374973</v>
      </c>
      <c r="H385" s="8">
        <v>162.33000000000001</v>
      </c>
      <c r="I385" s="9">
        <v>5620.32</v>
      </c>
      <c r="J385">
        <f>+TblDetalle[[#This Row],[Monto A Rebajhar]]/TblDetalle[[#This Row],[MontoBrutoProm_Mes]]</f>
        <v>0.79467750877841437</v>
      </c>
    </row>
    <row r="386" spans="1:10" x14ac:dyDescent="0.3">
      <c r="A386" s="7">
        <v>72</v>
      </c>
      <c r="B386" s="7" t="s">
        <v>347</v>
      </c>
      <c r="C386" s="7">
        <v>101027</v>
      </c>
      <c r="D386" s="7" t="s">
        <v>234</v>
      </c>
      <c r="E386" s="7" t="s">
        <v>215</v>
      </c>
      <c r="F386" s="7">
        <f t="shared" si="5"/>
        <v>115</v>
      </c>
      <c r="G386" s="16">
        <f>+(TblDetalle[[#This Row],[MontoBrutoProm_Mes]]/TblDetalle[[#This Row],[UnidadesProm_Mes]])*TblDetalle[[#This Row],[Unidades]]</f>
        <v>8798.3624999999993</v>
      </c>
      <c r="H386" s="8">
        <v>144</v>
      </c>
      <c r="I386" s="9">
        <v>11017.08</v>
      </c>
      <c r="J386">
        <f>+TblDetalle[[#This Row],[Monto A Rebajhar]]/TblDetalle[[#This Row],[MontoBrutoProm_Mes]]</f>
        <v>0.79861111111111105</v>
      </c>
    </row>
    <row r="387" spans="1:10" x14ac:dyDescent="0.3">
      <c r="A387" s="7">
        <v>72</v>
      </c>
      <c r="B387" s="7" t="s">
        <v>347</v>
      </c>
      <c r="C387" s="7">
        <v>101028</v>
      </c>
      <c r="D387" s="7" t="s">
        <v>214</v>
      </c>
      <c r="E387" s="7" t="s">
        <v>215</v>
      </c>
      <c r="F387" s="7">
        <f t="shared" si="5"/>
        <v>141</v>
      </c>
      <c r="G387" s="16">
        <f>+(TblDetalle[[#This Row],[MontoBrutoProm_Mes]]/TblDetalle[[#This Row],[UnidadesProm_Mes]])*TblDetalle[[#This Row],[Unidades]]</f>
        <v>13957.624624284012</v>
      </c>
      <c r="H387" s="8">
        <v>176.33</v>
      </c>
      <c r="I387" s="9">
        <v>17454.95</v>
      </c>
      <c r="J387">
        <f>+TblDetalle[[#This Row],[Monto A Rebajhar]]/TblDetalle[[#This Row],[MontoBrutoProm_Mes]]</f>
        <v>0.79963704417852877</v>
      </c>
    </row>
    <row r="388" spans="1:10" x14ac:dyDescent="0.3">
      <c r="A388" s="7">
        <v>72</v>
      </c>
      <c r="B388" s="7" t="s">
        <v>347</v>
      </c>
      <c r="C388" s="7">
        <v>101034</v>
      </c>
      <c r="D388" s="7" t="s">
        <v>272</v>
      </c>
      <c r="E388" s="7" t="s">
        <v>215</v>
      </c>
      <c r="F388" s="7">
        <f t="shared" si="5"/>
        <v>4</v>
      </c>
      <c r="G388" s="16">
        <f>+(TblDetalle[[#This Row],[MontoBrutoProm_Mes]]/TblDetalle[[#This Row],[UnidadesProm_Mes]])*TblDetalle[[#This Row],[Unidades]]</f>
        <v>934.63844797178126</v>
      </c>
      <c r="H388" s="8">
        <v>5.67</v>
      </c>
      <c r="I388" s="9">
        <v>1324.85</v>
      </c>
      <c r="J388">
        <f>+TblDetalle[[#This Row],[Monto A Rebajhar]]/TblDetalle[[#This Row],[MontoBrutoProm_Mes]]</f>
        <v>0.70546737213403876</v>
      </c>
    </row>
    <row r="389" spans="1:10" x14ac:dyDescent="0.3">
      <c r="A389" s="7">
        <v>72</v>
      </c>
      <c r="B389" s="7" t="s">
        <v>347</v>
      </c>
      <c r="C389" s="7">
        <v>101038</v>
      </c>
      <c r="D389" s="7" t="s">
        <v>235</v>
      </c>
      <c r="E389" s="7" t="s">
        <v>215</v>
      </c>
      <c r="F389" s="7">
        <f t="shared" si="5"/>
        <v>17</v>
      </c>
      <c r="G389" s="16">
        <f>+(TblDetalle[[#This Row],[MontoBrutoProm_Mes]]/TblDetalle[[#This Row],[UnidadesProm_Mes]])*TblDetalle[[#This Row],[Unidades]]</f>
        <v>6255.0179131213617</v>
      </c>
      <c r="H389" s="8">
        <v>22.33</v>
      </c>
      <c r="I389" s="9">
        <v>8216.15</v>
      </c>
      <c r="J389">
        <f>+TblDetalle[[#This Row],[Monto A Rebajhar]]/TblDetalle[[#This Row],[MontoBrutoProm_Mes]]</f>
        <v>0.76130765785938204</v>
      </c>
    </row>
    <row r="390" spans="1:10" x14ac:dyDescent="0.3">
      <c r="A390" s="7">
        <v>72</v>
      </c>
      <c r="B390" s="7" t="s">
        <v>347</v>
      </c>
      <c r="C390" s="7">
        <v>101072</v>
      </c>
      <c r="D390" s="7" t="s">
        <v>273</v>
      </c>
      <c r="E390" s="7" t="s">
        <v>215</v>
      </c>
      <c r="F390" s="7">
        <f t="shared" si="5"/>
        <v>24</v>
      </c>
      <c r="G390" s="16">
        <f>+(TblDetalle[[#This Row],[MontoBrutoProm_Mes]]/TblDetalle[[#This Row],[UnidadesProm_Mes]])*TblDetalle[[#This Row],[Unidades]]</f>
        <v>1045.0837952396478</v>
      </c>
      <c r="H390" s="8">
        <v>30.67</v>
      </c>
      <c r="I390" s="9">
        <v>1335.53</v>
      </c>
      <c r="J390">
        <f>+TblDetalle[[#This Row],[Monto A Rebajhar]]/TblDetalle[[#This Row],[MontoBrutoProm_Mes]]</f>
        <v>0.78252363873492004</v>
      </c>
    </row>
    <row r="391" spans="1:10" x14ac:dyDescent="0.3">
      <c r="A391" s="7">
        <v>72</v>
      </c>
      <c r="B391" s="7" t="s">
        <v>347</v>
      </c>
      <c r="C391" s="7">
        <v>101124</v>
      </c>
      <c r="D391" s="7" t="s">
        <v>322</v>
      </c>
      <c r="E391" s="7" t="s">
        <v>215</v>
      </c>
      <c r="F391" s="7">
        <f t="shared" si="5"/>
        <v>38</v>
      </c>
      <c r="G391" s="16">
        <f>+(TblDetalle[[#This Row],[MontoBrutoProm_Mes]]/TblDetalle[[#This Row],[UnidadesProm_Mes]])*TblDetalle[[#This Row],[Unidades]]</f>
        <v>2800.6</v>
      </c>
      <c r="H391" s="8">
        <v>48</v>
      </c>
      <c r="I391" s="9">
        <v>3537.6</v>
      </c>
      <c r="J391">
        <f>+TblDetalle[[#This Row],[Monto A Rebajhar]]/TblDetalle[[#This Row],[MontoBrutoProm_Mes]]</f>
        <v>0.79166666666666663</v>
      </c>
    </row>
    <row r="392" spans="1:10" x14ac:dyDescent="0.3">
      <c r="A392" s="7">
        <v>72</v>
      </c>
      <c r="B392" s="7" t="s">
        <v>347</v>
      </c>
      <c r="C392" s="7">
        <v>101130</v>
      </c>
      <c r="D392" s="7" t="s">
        <v>247</v>
      </c>
      <c r="E392" s="7" t="s">
        <v>215</v>
      </c>
      <c r="F392" s="7">
        <f t="shared" si="5"/>
        <v>10</v>
      </c>
      <c r="G392" s="16">
        <f>+(TblDetalle[[#This Row],[MontoBrutoProm_Mes]]/TblDetalle[[#This Row],[UnidadesProm_Mes]])*TblDetalle[[#This Row],[Unidades]]</f>
        <v>9.7524381095273824E-2</v>
      </c>
      <c r="H392" s="8">
        <v>13.33</v>
      </c>
      <c r="I392" s="9">
        <v>0.13</v>
      </c>
      <c r="J392">
        <f>+TblDetalle[[#This Row],[Monto A Rebajhar]]/TblDetalle[[#This Row],[MontoBrutoProm_Mes]]</f>
        <v>0.75018754688672173</v>
      </c>
    </row>
    <row r="393" spans="1:10" x14ac:dyDescent="0.3">
      <c r="A393" s="7">
        <v>72</v>
      </c>
      <c r="B393" s="7" t="s">
        <v>347</v>
      </c>
      <c r="C393" s="7">
        <v>101145</v>
      </c>
      <c r="D393" s="7" t="s">
        <v>275</v>
      </c>
      <c r="E393" s="7" t="s">
        <v>215</v>
      </c>
      <c r="F393" s="7">
        <f t="shared" si="5"/>
        <v>6</v>
      </c>
      <c r="G393" s="16">
        <f>+(TblDetalle[[#This Row],[MontoBrutoProm_Mes]]/TblDetalle[[#This Row],[UnidadesProm_Mes]])*TblDetalle[[#This Row],[Unidades]]</f>
        <v>261.42</v>
      </c>
      <c r="H393" s="8">
        <v>8</v>
      </c>
      <c r="I393" s="9">
        <v>348.56</v>
      </c>
      <c r="J393">
        <f>+TblDetalle[[#This Row],[Monto A Rebajhar]]/TblDetalle[[#This Row],[MontoBrutoProm_Mes]]</f>
        <v>0.75</v>
      </c>
    </row>
    <row r="394" spans="1:10" x14ac:dyDescent="0.3">
      <c r="A394" s="7">
        <v>72</v>
      </c>
      <c r="B394" s="7" t="s">
        <v>347</v>
      </c>
      <c r="C394" s="7">
        <v>103001</v>
      </c>
      <c r="D394" s="7" t="s">
        <v>248</v>
      </c>
      <c r="E394" s="7" t="s">
        <v>215</v>
      </c>
      <c r="F394" s="7">
        <f t="shared" si="5"/>
        <v>125</v>
      </c>
      <c r="G394" s="16">
        <f>+(TblDetalle[[#This Row],[MontoBrutoProm_Mes]]/TblDetalle[[#This Row],[UnidadesProm_Mes]])*TblDetalle[[#This Row],[Unidades]]</f>
        <v>2711.2659235668789</v>
      </c>
      <c r="H394" s="8">
        <v>157</v>
      </c>
      <c r="I394" s="9">
        <v>3405.35</v>
      </c>
      <c r="J394">
        <f>+TblDetalle[[#This Row],[Monto A Rebajhar]]/TblDetalle[[#This Row],[MontoBrutoProm_Mes]]</f>
        <v>0.79617834394904463</v>
      </c>
    </row>
    <row r="395" spans="1:10" x14ac:dyDescent="0.3">
      <c r="A395" s="7">
        <v>72</v>
      </c>
      <c r="B395" s="7" t="s">
        <v>347</v>
      </c>
      <c r="C395" s="7">
        <v>103202</v>
      </c>
      <c r="D395" s="7" t="s">
        <v>287</v>
      </c>
      <c r="E395" s="7" t="s">
        <v>215</v>
      </c>
      <c r="F395" s="7">
        <f t="shared" si="5"/>
        <v>28</v>
      </c>
      <c r="G395" s="16">
        <f>+(TblDetalle[[#This Row],[MontoBrutoProm_Mes]]/TblDetalle[[#This Row],[UnidadesProm_Mes]])*TblDetalle[[#This Row],[Unidades]]</f>
        <v>2736.72</v>
      </c>
      <c r="H395" s="8">
        <v>36</v>
      </c>
      <c r="I395" s="9">
        <v>3518.64</v>
      </c>
      <c r="J395">
        <f>+TblDetalle[[#This Row],[Monto A Rebajhar]]/TblDetalle[[#This Row],[MontoBrutoProm_Mes]]</f>
        <v>0.77777777777777779</v>
      </c>
    </row>
    <row r="396" spans="1:10" x14ac:dyDescent="0.3">
      <c r="A396" s="7">
        <v>72</v>
      </c>
      <c r="B396" s="7" t="s">
        <v>347</v>
      </c>
      <c r="C396" s="7">
        <v>103208</v>
      </c>
      <c r="D396" s="7" t="s">
        <v>236</v>
      </c>
      <c r="E396" s="7" t="s">
        <v>215</v>
      </c>
      <c r="F396" s="7">
        <f t="shared" si="5"/>
        <v>6</v>
      </c>
      <c r="G396" s="16">
        <f>+(TblDetalle[[#This Row],[MontoBrutoProm_Mes]]/TblDetalle[[#This Row],[UnidadesProm_Mes]])*TblDetalle[[#This Row],[Unidades]]</f>
        <v>461.34000000000003</v>
      </c>
      <c r="H396" s="8">
        <v>8</v>
      </c>
      <c r="I396" s="9">
        <v>615.12</v>
      </c>
      <c r="J396">
        <f>+TblDetalle[[#This Row],[Monto A Rebajhar]]/TblDetalle[[#This Row],[MontoBrutoProm_Mes]]</f>
        <v>0.75</v>
      </c>
    </row>
    <row r="397" spans="1:10" x14ac:dyDescent="0.3">
      <c r="A397" s="7">
        <v>72</v>
      </c>
      <c r="B397" s="7" t="s">
        <v>347</v>
      </c>
      <c r="C397" s="7">
        <v>201001</v>
      </c>
      <c r="D397" s="7" t="s">
        <v>216</v>
      </c>
      <c r="E397" s="7" t="s">
        <v>217</v>
      </c>
      <c r="F397" s="7">
        <f t="shared" si="5"/>
        <v>83</v>
      </c>
      <c r="G397" s="16">
        <f>+(TblDetalle[[#This Row],[MontoBrutoProm_Mes]]/TblDetalle[[#This Row],[UnidadesProm_Mes]])*TblDetalle[[#This Row],[Unidades]]</f>
        <v>18613.611923076925</v>
      </c>
      <c r="H397" s="8">
        <v>104</v>
      </c>
      <c r="I397" s="9">
        <v>23323.08</v>
      </c>
      <c r="J397">
        <f>+TblDetalle[[#This Row],[Monto A Rebajhar]]/TblDetalle[[#This Row],[MontoBrutoProm_Mes]]</f>
        <v>0.79807692307692313</v>
      </c>
    </row>
    <row r="398" spans="1:10" x14ac:dyDescent="0.3">
      <c r="A398" s="7">
        <v>72</v>
      </c>
      <c r="B398" s="7" t="s">
        <v>347</v>
      </c>
      <c r="C398" s="7">
        <v>511005</v>
      </c>
      <c r="D398" s="7" t="s">
        <v>249</v>
      </c>
      <c r="E398" s="7" t="s">
        <v>217</v>
      </c>
      <c r="F398" s="7">
        <f t="shared" si="5"/>
        <v>6</v>
      </c>
      <c r="G398" s="16">
        <f>+(TblDetalle[[#This Row],[MontoBrutoProm_Mes]]/TblDetalle[[#This Row],[UnidadesProm_Mes]])*TblDetalle[[#This Row],[Unidades]]</f>
        <v>401.70000000000005</v>
      </c>
      <c r="H398" s="8">
        <v>8</v>
      </c>
      <c r="I398" s="9">
        <v>535.6</v>
      </c>
      <c r="J398">
        <f>+TblDetalle[[#This Row],[Monto A Rebajhar]]/TblDetalle[[#This Row],[MontoBrutoProm_Mes]]</f>
        <v>0.75</v>
      </c>
    </row>
    <row r="399" spans="1:10" x14ac:dyDescent="0.3">
      <c r="A399" s="7">
        <v>72</v>
      </c>
      <c r="B399" s="7" t="s">
        <v>347</v>
      </c>
      <c r="C399" s="7">
        <v>611049</v>
      </c>
      <c r="D399" s="7" t="s">
        <v>251</v>
      </c>
      <c r="E399" s="7" t="s">
        <v>217</v>
      </c>
      <c r="F399" s="7">
        <f t="shared" si="5"/>
        <v>12</v>
      </c>
      <c r="G399" s="16">
        <f>+(TblDetalle[[#This Row],[MontoBrutoProm_Mes]]/TblDetalle[[#This Row],[UnidadesProm_Mes]])*TblDetalle[[#This Row],[Unidades]]</f>
        <v>359.52</v>
      </c>
      <c r="H399" s="8">
        <v>16</v>
      </c>
      <c r="I399" s="9">
        <v>479.36</v>
      </c>
      <c r="J399">
        <f>+TblDetalle[[#This Row],[Monto A Rebajhar]]/TblDetalle[[#This Row],[MontoBrutoProm_Mes]]</f>
        <v>0.74999999999999989</v>
      </c>
    </row>
    <row r="400" spans="1:10" x14ac:dyDescent="0.3">
      <c r="A400" s="7">
        <v>72</v>
      </c>
      <c r="B400" s="7" t="s">
        <v>347</v>
      </c>
      <c r="C400" s="7">
        <v>611053</v>
      </c>
      <c r="D400" s="7" t="s">
        <v>253</v>
      </c>
      <c r="E400" s="7" t="s">
        <v>217</v>
      </c>
      <c r="F400" s="7">
        <f t="shared" si="5"/>
        <v>12</v>
      </c>
      <c r="G400" s="16">
        <f>+(TblDetalle[[#This Row],[MontoBrutoProm_Mes]]/TblDetalle[[#This Row],[UnidadesProm_Mes]])*TblDetalle[[#This Row],[Unidades]]</f>
        <v>264.36</v>
      </c>
      <c r="H400" s="8">
        <v>16</v>
      </c>
      <c r="I400" s="9">
        <v>352.48</v>
      </c>
      <c r="J400">
        <f>+TblDetalle[[#This Row],[Monto A Rebajhar]]/TblDetalle[[#This Row],[MontoBrutoProm_Mes]]</f>
        <v>0.75</v>
      </c>
    </row>
    <row r="401" spans="1:10" x14ac:dyDescent="0.3">
      <c r="A401" s="7">
        <v>72</v>
      </c>
      <c r="B401" s="7" t="s">
        <v>347</v>
      </c>
      <c r="C401" s="7">
        <v>611055</v>
      </c>
      <c r="D401" s="7" t="s">
        <v>254</v>
      </c>
      <c r="E401" s="7" t="s">
        <v>217</v>
      </c>
      <c r="F401" s="7">
        <f t="shared" si="5"/>
        <v>2</v>
      </c>
      <c r="G401" s="16">
        <f>+(TblDetalle[[#This Row],[MontoBrutoProm_Mes]]/TblDetalle[[#This Row],[UnidadesProm_Mes]])*TblDetalle[[#This Row],[Unidades]]</f>
        <v>156.44194756554307</v>
      </c>
      <c r="H401" s="8">
        <v>2.67</v>
      </c>
      <c r="I401" s="9">
        <v>208.85</v>
      </c>
      <c r="J401">
        <f>+TblDetalle[[#This Row],[Monto A Rebajhar]]/TblDetalle[[#This Row],[MontoBrutoProm_Mes]]</f>
        <v>0.74906367041198507</v>
      </c>
    </row>
    <row r="402" spans="1:10" x14ac:dyDescent="0.3">
      <c r="A402" s="7">
        <v>72</v>
      </c>
      <c r="B402" s="7" t="s">
        <v>347</v>
      </c>
      <c r="C402" s="7">
        <v>611092</v>
      </c>
      <c r="D402" s="7" t="s">
        <v>348</v>
      </c>
      <c r="E402" s="7" t="s">
        <v>294</v>
      </c>
      <c r="F402" s="7">
        <f t="shared" si="5"/>
        <v>0</v>
      </c>
      <c r="G402" s="16">
        <f>+(TblDetalle[[#This Row],[MontoBrutoProm_Mes]]/TblDetalle[[#This Row],[UnidadesProm_Mes]])*TblDetalle[[#This Row],[Unidades]]</f>
        <v>0</v>
      </c>
      <c r="H402" s="8">
        <v>0.67</v>
      </c>
      <c r="I402" s="9">
        <v>135.59</v>
      </c>
      <c r="J402">
        <f>+TblDetalle[[#This Row],[Monto A Rebajhar]]/TblDetalle[[#This Row],[MontoBrutoProm_Mes]]</f>
        <v>0</v>
      </c>
    </row>
    <row r="403" spans="1:10" x14ac:dyDescent="0.3">
      <c r="A403" s="7">
        <v>72</v>
      </c>
      <c r="B403" s="7" t="s">
        <v>347</v>
      </c>
      <c r="C403" s="7">
        <v>611221</v>
      </c>
      <c r="D403" s="7" t="s">
        <v>293</v>
      </c>
      <c r="E403" s="7" t="s">
        <v>294</v>
      </c>
      <c r="F403" s="7">
        <f t="shared" si="5"/>
        <v>2</v>
      </c>
      <c r="G403" s="16">
        <f>+(TblDetalle[[#This Row],[MontoBrutoProm_Mes]]/TblDetalle[[#This Row],[UnidadesProm_Mes]])*TblDetalle[[#This Row],[Unidades]]</f>
        <v>406.26966292134836</v>
      </c>
      <c r="H403" s="8">
        <v>2.67</v>
      </c>
      <c r="I403" s="9">
        <v>542.37</v>
      </c>
      <c r="J403">
        <f>+TblDetalle[[#This Row],[Monto A Rebajhar]]/TblDetalle[[#This Row],[MontoBrutoProm_Mes]]</f>
        <v>0.74906367041198507</v>
      </c>
    </row>
    <row r="404" spans="1:10" x14ac:dyDescent="0.3">
      <c r="A404" s="7">
        <v>72</v>
      </c>
      <c r="B404" s="7" t="s">
        <v>347</v>
      </c>
      <c r="C404" s="7">
        <v>611507</v>
      </c>
      <c r="D404" s="7" t="s">
        <v>255</v>
      </c>
      <c r="E404" s="7" t="s">
        <v>215</v>
      </c>
      <c r="F404" s="7">
        <f t="shared" si="5"/>
        <v>8</v>
      </c>
      <c r="G404" s="16">
        <f>+(TblDetalle[[#This Row],[MontoBrutoProm_Mes]]/TblDetalle[[#This Row],[UnidadesProm_Mes]])*TblDetalle[[#This Row],[Unidades]]</f>
        <v>8.247422680412371E-2</v>
      </c>
      <c r="H404" s="8">
        <v>10.67</v>
      </c>
      <c r="I404" s="9">
        <v>0.11</v>
      </c>
      <c r="J404">
        <f>+TblDetalle[[#This Row],[Monto A Rebajhar]]/TblDetalle[[#This Row],[MontoBrutoProm_Mes]]</f>
        <v>0.7497656982193065</v>
      </c>
    </row>
    <row r="405" spans="1:10" x14ac:dyDescent="0.3">
      <c r="A405" s="7">
        <v>72</v>
      </c>
      <c r="B405" s="7" t="s">
        <v>347</v>
      </c>
      <c r="C405" s="7">
        <v>621004</v>
      </c>
      <c r="D405" s="7" t="s">
        <v>256</v>
      </c>
      <c r="E405" s="7" t="s">
        <v>239</v>
      </c>
      <c r="F405" s="7">
        <f t="shared" si="5"/>
        <v>4</v>
      </c>
      <c r="G405" s="16">
        <f>+(TblDetalle[[#This Row],[MontoBrutoProm_Mes]]/TblDetalle[[#This Row],[UnidadesProm_Mes]])*TblDetalle[[#This Row],[Unidades]]</f>
        <v>1088</v>
      </c>
      <c r="H405" s="8">
        <v>6</v>
      </c>
      <c r="I405" s="9">
        <v>1632</v>
      </c>
      <c r="J405">
        <f>+TblDetalle[[#This Row],[Monto A Rebajhar]]/TblDetalle[[#This Row],[MontoBrutoProm_Mes]]</f>
        <v>0.66666666666666663</v>
      </c>
    </row>
    <row r="406" spans="1:10" x14ac:dyDescent="0.3">
      <c r="A406" s="7">
        <v>72</v>
      </c>
      <c r="B406" s="7" t="s">
        <v>347</v>
      </c>
      <c r="C406" s="7">
        <v>621006</v>
      </c>
      <c r="D406" s="7" t="s">
        <v>288</v>
      </c>
      <c r="E406" s="7" t="s">
        <v>239</v>
      </c>
      <c r="F406" s="7">
        <f t="shared" si="5"/>
        <v>3</v>
      </c>
      <c r="G406" s="16">
        <f>+(TblDetalle[[#This Row],[MontoBrutoProm_Mes]]/TblDetalle[[#This Row],[UnidadesProm_Mes]])*TblDetalle[[#This Row],[Unidades]]</f>
        <v>559.5</v>
      </c>
      <c r="H406" s="8">
        <v>4</v>
      </c>
      <c r="I406" s="9">
        <v>746</v>
      </c>
      <c r="J406">
        <f>+TblDetalle[[#This Row],[Monto A Rebajhar]]/TblDetalle[[#This Row],[MontoBrutoProm_Mes]]</f>
        <v>0.75</v>
      </c>
    </row>
    <row r="407" spans="1:10" x14ac:dyDescent="0.3">
      <c r="A407" s="7">
        <v>72</v>
      </c>
      <c r="B407" s="7" t="s">
        <v>347</v>
      </c>
      <c r="C407" s="7">
        <v>621008</v>
      </c>
      <c r="D407" s="7" t="s">
        <v>289</v>
      </c>
      <c r="E407" s="7" t="s">
        <v>239</v>
      </c>
      <c r="F407" s="7">
        <f t="shared" si="5"/>
        <v>1</v>
      </c>
      <c r="G407" s="16">
        <f>+(TblDetalle[[#This Row],[MontoBrutoProm_Mes]]/TblDetalle[[#This Row],[UnidadesProm_Mes]])*TblDetalle[[#This Row],[Unidades]]</f>
        <v>186.5</v>
      </c>
      <c r="H407" s="8">
        <v>2</v>
      </c>
      <c r="I407" s="9">
        <v>373</v>
      </c>
      <c r="J407">
        <f>+TblDetalle[[#This Row],[Monto A Rebajhar]]/TblDetalle[[#This Row],[MontoBrutoProm_Mes]]</f>
        <v>0.5</v>
      </c>
    </row>
    <row r="408" spans="1:10" x14ac:dyDescent="0.3">
      <c r="A408" s="7">
        <v>72</v>
      </c>
      <c r="B408" s="7" t="s">
        <v>347</v>
      </c>
      <c r="C408" s="7">
        <v>621043</v>
      </c>
      <c r="D408" s="7" t="s">
        <v>257</v>
      </c>
      <c r="E408" s="7" t="s">
        <v>239</v>
      </c>
      <c r="F408" s="7">
        <f t="shared" si="5"/>
        <v>2</v>
      </c>
      <c r="G408" s="16">
        <f>+(TblDetalle[[#This Row],[MontoBrutoProm_Mes]]/TblDetalle[[#This Row],[UnidadesProm_Mes]])*TblDetalle[[#This Row],[Unidades]]</f>
        <v>6.006006006006006E-3</v>
      </c>
      <c r="H408" s="8">
        <v>3.33</v>
      </c>
      <c r="I408" s="9">
        <v>0.01</v>
      </c>
      <c r="J408">
        <f>+TblDetalle[[#This Row],[Monto A Rebajhar]]/TblDetalle[[#This Row],[MontoBrutoProm_Mes]]</f>
        <v>0.60060060060060061</v>
      </c>
    </row>
    <row r="409" spans="1:10" x14ac:dyDescent="0.3">
      <c r="A409" s="7">
        <v>72</v>
      </c>
      <c r="B409" s="7" t="s">
        <v>347</v>
      </c>
      <c r="C409" s="7">
        <v>621045</v>
      </c>
      <c r="D409" s="7" t="s">
        <v>238</v>
      </c>
      <c r="E409" s="7" t="s">
        <v>239</v>
      </c>
      <c r="F409" s="7">
        <f t="shared" si="5"/>
        <v>24</v>
      </c>
      <c r="G409" s="16">
        <f>+(TblDetalle[[#This Row],[MontoBrutoProm_Mes]]/TblDetalle[[#This Row],[UnidadesProm_Mes]])*TblDetalle[[#This Row],[Unidades]]</f>
        <v>3974.6080000000002</v>
      </c>
      <c r="H409" s="8">
        <v>30</v>
      </c>
      <c r="I409" s="9">
        <v>4968.26</v>
      </c>
      <c r="J409">
        <f>+TblDetalle[[#This Row],[Monto A Rebajhar]]/TblDetalle[[#This Row],[MontoBrutoProm_Mes]]</f>
        <v>0.8</v>
      </c>
    </row>
    <row r="410" spans="1:10" x14ac:dyDescent="0.3">
      <c r="A410" s="7">
        <v>72</v>
      </c>
      <c r="B410" s="7" t="s">
        <v>347</v>
      </c>
      <c r="C410" s="7">
        <v>800088</v>
      </c>
      <c r="D410" s="7" t="s">
        <v>240</v>
      </c>
      <c r="E410" s="7" t="s">
        <v>215</v>
      </c>
      <c r="F410" s="7">
        <f t="shared" si="5"/>
        <v>9</v>
      </c>
      <c r="G410" s="16">
        <f>+(TblDetalle[[#This Row],[MontoBrutoProm_Mes]]/TblDetalle[[#This Row],[UnidadesProm_Mes]])*TblDetalle[[#This Row],[Unidades]]</f>
        <v>3296.6325000000002</v>
      </c>
      <c r="H410" s="8">
        <v>12</v>
      </c>
      <c r="I410" s="9">
        <v>4395.51</v>
      </c>
      <c r="J410">
        <f>+TblDetalle[[#This Row],[Monto A Rebajhar]]/TblDetalle[[#This Row],[MontoBrutoProm_Mes]]</f>
        <v>0.75</v>
      </c>
    </row>
    <row r="411" spans="1:10" x14ac:dyDescent="0.3">
      <c r="A411" s="7">
        <v>72</v>
      </c>
      <c r="B411" s="7" t="s">
        <v>347</v>
      </c>
      <c r="C411" s="7">
        <v>800089</v>
      </c>
      <c r="D411" s="7" t="s">
        <v>241</v>
      </c>
      <c r="E411" s="7" t="s">
        <v>215</v>
      </c>
      <c r="F411" s="7">
        <f t="shared" si="5"/>
        <v>17</v>
      </c>
      <c r="G411" s="16">
        <f>+(TblDetalle[[#This Row],[MontoBrutoProm_Mes]]/TblDetalle[[#This Row],[UnidadesProm_Mes]])*TblDetalle[[#This Row],[Unidades]]</f>
        <v>6213.9423347398033</v>
      </c>
      <c r="H411" s="8">
        <v>21.33</v>
      </c>
      <c r="I411" s="9">
        <v>7796.67</v>
      </c>
      <c r="J411">
        <f>+TblDetalle[[#This Row],[Monto A Rebajhar]]/TblDetalle[[#This Row],[MontoBrutoProm_Mes]]</f>
        <v>0.79699953117674638</v>
      </c>
    </row>
    <row r="412" spans="1:10" x14ac:dyDescent="0.3">
      <c r="A412" s="7">
        <v>72</v>
      </c>
      <c r="B412" s="7" t="s">
        <v>347</v>
      </c>
      <c r="C412" s="7">
        <v>800792</v>
      </c>
      <c r="D412" s="7" t="s">
        <v>242</v>
      </c>
      <c r="E412" s="7" t="s">
        <v>243</v>
      </c>
      <c r="F412" s="7">
        <f t="shared" si="5"/>
        <v>3</v>
      </c>
      <c r="G412" s="16">
        <f>+(TblDetalle[[#This Row],[MontoBrutoProm_Mes]]/TblDetalle[[#This Row],[UnidadesProm_Mes]])*TblDetalle[[#This Row],[Unidades]]</f>
        <v>477.94919168591224</v>
      </c>
      <c r="H412" s="8">
        <v>4.33</v>
      </c>
      <c r="I412" s="9">
        <v>689.84</v>
      </c>
      <c r="J412">
        <f>+TblDetalle[[#This Row],[Monto A Rebajhar]]/TblDetalle[[#This Row],[MontoBrutoProm_Mes]]</f>
        <v>0.69284064665127021</v>
      </c>
    </row>
    <row r="413" spans="1:10" x14ac:dyDescent="0.3">
      <c r="A413" s="7">
        <v>72</v>
      </c>
      <c r="B413" s="7" t="s">
        <v>347</v>
      </c>
      <c r="C413" s="7">
        <v>800793</v>
      </c>
      <c r="D413" s="7" t="s">
        <v>260</v>
      </c>
      <c r="E413" s="7" t="s">
        <v>243</v>
      </c>
      <c r="F413" s="7">
        <f t="shared" si="5"/>
        <v>2</v>
      </c>
      <c r="G413" s="16">
        <f>+(TblDetalle[[#This Row],[MontoBrutoProm_Mes]]/TblDetalle[[#This Row],[UnidadesProm_Mes]])*TblDetalle[[#This Row],[Unidades]]</f>
        <v>318.5266666666667</v>
      </c>
      <c r="H413" s="8">
        <v>3</v>
      </c>
      <c r="I413" s="9">
        <v>477.79</v>
      </c>
      <c r="J413">
        <f>+TblDetalle[[#This Row],[Monto A Rebajhar]]/TblDetalle[[#This Row],[MontoBrutoProm_Mes]]</f>
        <v>0.66666666666666674</v>
      </c>
    </row>
    <row r="414" spans="1:10" x14ac:dyDescent="0.3">
      <c r="A414" s="7">
        <v>72</v>
      </c>
      <c r="B414" s="7" t="s">
        <v>347</v>
      </c>
      <c r="C414" s="7">
        <v>800796</v>
      </c>
      <c r="D414" s="7" t="s">
        <v>276</v>
      </c>
      <c r="E414" s="7" t="s">
        <v>243</v>
      </c>
      <c r="F414" s="7">
        <f t="shared" si="5"/>
        <v>0</v>
      </c>
      <c r="G414" s="16">
        <f>+(TblDetalle[[#This Row],[MontoBrutoProm_Mes]]/TblDetalle[[#This Row],[UnidadesProm_Mes]])*TblDetalle[[#This Row],[Unidades]]</f>
        <v>0</v>
      </c>
      <c r="H414" s="8">
        <v>0.33</v>
      </c>
      <c r="I414" s="9">
        <v>51.04</v>
      </c>
      <c r="J414">
        <f>+TblDetalle[[#This Row],[Monto A Rebajhar]]/TblDetalle[[#This Row],[MontoBrutoProm_Mes]]</f>
        <v>0</v>
      </c>
    </row>
    <row r="415" spans="1:10" x14ac:dyDescent="0.3">
      <c r="A415" s="7">
        <v>72</v>
      </c>
      <c r="B415" s="7" t="s">
        <v>347</v>
      </c>
      <c r="C415" s="7">
        <v>800951</v>
      </c>
      <c r="D415" s="7" t="s">
        <v>349</v>
      </c>
      <c r="E415" s="7" t="s">
        <v>350</v>
      </c>
      <c r="F415" s="7">
        <f t="shared" si="5"/>
        <v>3</v>
      </c>
      <c r="G415" s="16">
        <f>+(TblDetalle[[#This Row],[MontoBrutoProm_Mes]]/TblDetalle[[#This Row],[UnidadesProm_Mes]])*TblDetalle[[#This Row],[Unidades]]</f>
        <v>212.07</v>
      </c>
      <c r="H415" s="8">
        <v>4</v>
      </c>
      <c r="I415" s="9">
        <v>282.76</v>
      </c>
      <c r="J415">
        <f>+TblDetalle[[#This Row],[Monto A Rebajhar]]/TblDetalle[[#This Row],[MontoBrutoProm_Mes]]</f>
        <v>0.75</v>
      </c>
    </row>
    <row r="416" spans="1:10" x14ac:dyDescent="0.3">
      <c r="A416" s="7">
        <v>72</v>
      </c>
      <c r="B416" s="7" t="s">
        <v>347</v>
      </c>
      <c r="C416" s="7">
        <v>800952</v>
      </c>
      <c r="D416" s="7" t="s">
        <v>351</v>
      </c>
      <c r="E416" s="7" t="s">
        <v>350</v>
      </c>
      <c r="F416" s="7">
        <f t="shared" si="5"/>
        <v>0</v>
      </c>
      <c r="G416" s="16">
        <f>+(TblDetalle[[#This Row],[MontoBrutoProm_Mes]]/TblDetalle[[#This Row],[UnidadesProm_Mes]])*TblDetalle[[#This Row],[Unidades]]</f>
        <v>0</v>
      </c>
      <c r="H416" s="8">
        <v>0.33</v>
      </c>
      <c r="I416" s="9">
        <v>0</v>
      </c>
      <c r="J416" t="e">
        <f>+TblDetalle[[#This Row],[Monto A Rebajhar]]/TblDetalle[[#This Row],[MontoBrutoProm_Mes]]</f>
        <v>#DIV/0!</v>
      </c>
    </row>
    <row r="417" spans="1:10" x14ac:dyDescent="0.3">
      <c r="A417" s="7">
        <v>72</v>
      </c>
      <c r="B417" s="7" t="s">
        <v>347</v>
      </c>
      <c r="C417" s="7">
        <v>924104</v>
      </c>
      <c r="D417" s="7" t="s">
        <v>277</v>
      </c>
      <c r="E417" s="7" t="s">
        <v>215</v>
      </c>
      <c r="F417" s="7">
        <f t="shared" si="5"/>
        <v>8</v>
      </c>
      <c r="G417" s="16">
        <f>+(TblDetalle[[#This Row],[MontoBrutoProm_Mes]]/TblDetalle[[#This Row],[UnidadesProm_Mes]])*TblDetalle[[#This Row],[Unidades]]</f>
        <v>0.08</v>
      </c>
      <c r="H417" s="8">
        <v>10</v>
      </c>
      <c r="I417" s="9">
        <v>0.1</v>
      </c>
      <c r="J417">
        <f>+TblDetalle[[#This Row],[Monto A Rebajhar]]/TblDetalle[[#This Row],[MontoBrutoProm_Mes]]</f>
        <v>0.79999999999999993</v>
      </c>
    </row>
    <row r="418" spans="1:10" x14ac:dyDescent="0.3">
      <c r="A418" s="7">
        <v>72</v>
      </c>
      <c r="B418" s="7" t="s">
        <v>347</v>
      </c>
      <c r="C418" s="7">
        <v>924109</v>
      </c>
      <c r="D418" s="7" t="s">
        <v>352</v>
      </c>
      <c r="E418" s="7" t="s">
        <v>215</v>
      </c>
      <c r="F418" s="7">
        <f t="shared" si="5"/>
        <v>0</v>
      </c>
      <c r="G418" s="16">
        <f>+(TblDetalle[[#This Row],[MontoBrutoProm_Mes]]/TblDetalle[[#This Row],[UnidadesProm_Mes]])*TblDetalle[[#This Row],[Unidades]]</f>
        <v>0</v>
      </c>
      <c r="H418" s="8">
        <v>0.33</v>
      </c>
      <c r="I418" s="9">
        <v>124.29</v>
      </c>
      <c r="J418">
        <f>+TblDetalle[[#This Row],[Monto A Rebajhar]]/TblDetalle[[#This Row],[MontoBrutoProm_Mes]]</f>
        <v>0</v>
      </c>
    </row>
    <row r="419" spans="1:10" x14ac:dyDescent="0.3">
      <c r="A419" s="7">
        <v>72</v>
      </c>
      <c r="B419" s="7" t="s">
        <v>347</v>
      </c>
      <c r="C419" s="7">
        <v>925064</v>
      </c>
      <c r="D419" s="7" t="s">
        <v>263</v>
      </c>
      <c r="E419" s="7" t="s">
        <v>220</v>
      </c>
      <c r="F419" s="7">
        <f t="shared" si="5"/>
        <v>6</v>
      </c>
      <c r="G419" s="16">
        <f>+(TblDetalle[[#This Row],[MontoBrutoProm_Mes]]/TblDetalle[[#This Row],[UnidadesProm_Mes]])*TblDetalle[[#This Row],[Unidades]]</f>
        <v>206.24009603841537</v>
      </c>
      <c r="H419" s="8">
        <v>8.33</v>
      </c>
      <c r="I419" s="9">
        <v>286.33</v>
      </c>
      <c r="J419">
        <f>+TblDetalle[[#This Row],[Monto A Rebajhar]]/TblDetalle[[#This Row],[MontoBrutoProm_Mes]]</f>
        <v>0.72028811524609848</v>
      </c>
    </row>
    <row r="420" spans="1:10" x14ac:dyDescent="0.3">
      <c r="A420" s="7">
        <v>72</v>
      </c>
      <c r="B420" s="7" t="s">
        <v>347</v>
      </c>
      <c r="C420" s="7">
        <v>925078</v>
      </c>
      <c r="D420" s="7" t="s">
        <v>221</v>
      </c>
      <c r="E420" s="7" t="s">
        <v>220</v>
      </c>
      <c r="F420" s="7">
        <f t="shared" si="5"/>
        <v>3</v>
      </c>
      <c r="G420" s="16">
        <f>+(TblDetalle[[#This Row],[MontoBrutoProm_Mes]]/TblDetalle[[#This Row],[UnidadesProm_Mes]])*TblDetalle[[#This Row],[Unidades]]</f>
        <v>221.01</v>
      </c>
      <c r="H420" s="8">
        <v>4</v>
      </c>
      <c r="I420" s="9">
        <v>294.68</v>
      </c>
      <c r="J420">
        <f>+TblDetalle[[#This Row],[Monto A Rebajhar]]/TblDetalle[[#This Row],[MontoBrutoProm_Mes]]</f>
        <v>0.75</v>
      </c>
    </row>
    <row r="421" spans="1:10" x14ac:dyDescent="0.3">
      <c r="A421" s="7">
        <v>72</v>
      </c>
      <c r="B421" s="7" t="s">
        <v>347</v>
      </c>
      <c r="C421" s="7">
        <v>925079</v>
      </c>
      <c r="D421" s="7" t="s">
        <v>279</v>
      </c>
      <c r="E421" s="7" t="s">
        <v>220</v>
      </c>
      <c r="F421" s="7">
        <f t="shared" si="5"/>
        <v>9</v>
      </c>
      <c r="G421" s="16">
        <f>+(TblDetalle[[#This Row],[MontoBrutoProm_Mes]]/TblDetalle[[#This Row],[UnidadesProm_Mes]])*TblDetalle[[#This Row],[Unidades]]</f>
        <v>663.03</v>
      </c>
      <c r="H421" s="8">
        <v>12</v>
      </c>
      <c r="I421" s="9">
        <v>884.04</v>
      </c>
      <c r="J421">
        <f>+TblDetalle[[#This Row],[Monto A Rebajhar]]/TblDetalle[[#This Row],[MontoBrutoProm_Mes]]</f>
        <v>0.75</v>
      </c>
    </row>
    <row r="422" spans="1:10" x14ac:dyDescent="0.3">
      <c r="A422" s="7">
        <v>72</v>
      </c>
      <c r="B422" s="7" t="s">
        <v>347</v>
      </c>
      <c r="C422" s="7">
        <v>925105</v>
      </c>
      <c r="D422" s="7" t="s">
        <v>290</v>
      </c>
      <c r="E422" s="7" t="s">
        <v>220</v>
      </c>
      <c r="F422" s="7">
        <f t="shared" si="5"/>
        <v>0</v>
      </c>
      <c r="G422" s="16">
        <f>+(TblDetalle[[#This Row],[MontoBrutoProm_Mes]]/TblDetalle[[#This Row],[UnidadesProm_Mes]])*TblDetalle[[#This Row],[Unidades]]</f>
        <v>0</v>
      </c>
      <c r="H422" s="8">
        <v>0.67</v>
      </c>
      <c r="I422" s="9">
        <v>0.01</v>
      </c>
      <c r="J422">
        <f>+TblDetalle[[#This Row],[Monto A Rebajhar]]/TblDetalle[[#This Row],[MontoBrutoProm_Mes]]</f>
        <v>0</v>
      </c>
    </row>
    <row r="423" spans="1:10" x14ac:dyDescent="0.3">
      <c r="A423" s="7">
        <v>72</v>
      </c>
      <c r="B423" s="7" t="s">
        <v>347</v>
      </c>
      <c r="C423" s="7">
        <v>930012</v>
      </c>
      <c r="D423" s="7" t="s">
        <v>264</v>
      </c>
      <c r="E423" s="7" t="s">
        <v>243</v>
      </c>
      <c r="F423" s="7">
        <f t="shared" si="5"/>
        <v>2</v>
      </c>
      <c r="G423" s="16">
        <f>+(TblDetalle[[#This Row],[MontoBrutoProm_Mes]]/TblDetalle[[#This Row],[UnidadesProm_Mes]])*TblDetalle[[#This Row],[Unidades]]</f>
        <v>186.24719101123594</v>
      </c>
      <c r="H423" s="8">
        <v>2.67</v>
      </c>
      <c r="I423" s="9">
        <v>248.64</v>
      </c>
      <c r="J423">
        <f>+TblDetalle[[#This Row],[Monto A Rebajhar]]/TblDetalle[[#This Row],[MontoBrutoProm_Mes]]</f>
        <v>0.74906367041198496</v>
      </c>
    </row>
    <row r="424" spans="1:10" x14ac:dyDescent="0.3">
      <c r="A424" s="7">
        <v>72</v>
      </c>
      <c r="B424" s="7" t="s">
        <v>347</v>
      </c>
      <c r="C424" s="7">
        <v>930020</v>
      </c>
      <c r="D424" s="7" t="s">
        <v>299</v>
      </c>
      <c r="E424" s="7" t="s">
        <v>243</v>
      </c>
      <c r="F424" s="7">
        <f t="shared" si="5"/>
        <v>0</v>
      </c>
      <c r="G424" s="16">
        <f>+(TblDetalle[[#This Row],[MontoBrutoProm_Mes]]/TblDetalle[[#This Row],[UnidadesProm_Mes]])*TblDetalle[[#This Row],[Unidades]]</f>
        <v>0</v>
      </c>
      <c r="H424" s="8">
        <v>0.33</v>
      </c>
      <c r="I424" s="9">
        <v>31.08</v>
      </c>
      <c r="J424">
        <f>+TblDetalle[[#This Row],[Monto A Rebajhar]]/TblDetalle[[#This Row],[MontoBrutoProm_Mes]]</f>
        <v>0</v>
      </c>
    </row>
    <row r="425" spans="1:10" x14ac:dyDescent="0.3">
      <c r="A425" s="7">
        <v>72</v>
      </c>
      <c r="B425" s="7" t="s">
        <v>347</v>
      </c>
      <c r="C425" s="7">
        <v>930021</v>
      </c>
      <c r="D425" s="7" t="s">
        <v>300</v>
      </c>
      <c r="E425" s="7" t="s">
        <v>243</v>
      </c>
      <c r="F425" s="7">
        <f t="shared" si="5"/>
        <v>1</v>
      </c>
      <c r="G425" s="16">
        <f>+(TblDetalle[[#This Row],[MontoBrutoProm_Mes]]/TblDetalle[[#This Row],[UnidadesProm_Mes]])*TblDetalle[[#This Row],[Unidades]]</f>
        <v>93.24</v>
      </c>
      <c r="H425" s="8">
        <v>2</v>
      </c>
      <c r="I425" s="9">
        <v>186.48</v>
      </c>
      <c r="J425">
        <f>+TblDetalle[[#This Row],[Monto A Rebajhar]]/TblDetalle[[#This Row],[MontoBrutoProm_Mes]]</f>
        <v>0.5</v>
      </c>
    </row>
    <row r="426" spans="1:10" x14ac:dyDescent="0.3">
      <c r="A426" s="7">
        <v>72</v>
      </c>
      <c r="B426" s="7" t="s">
        <v>347</v>
      </c>
      <c r="C426" s="7">
        <v>930022</v>
      </c>
      <c r="D426" s="7" t="s">
        <v>265</v>
      </c>
      <c r="E426" s="7" t="s">
        <v>243</v>
      </c>
      <c r="F426" s="7">
        <f t="shared" si="5"/>
        <v>2</v>
      </c>
      <c r="G426" s="16">
        <f>+(TblDetalle[[#This Row],[MontoBrutoProm_Mes]]/TblDetalle[[#This Row],[UnidadesProm_Mes]])*TblDetalle[[#This Row],[Unidades]]</f>
        <v>186.24719101123594</v>
      </c>
      <c r="H426" s="8">
        <v>2.67</v>
      </c>
      <c r="I426" s="9">
        <v>248.64</v>
      </c>
      <c r="J426">
        <f>+TblDetalle[[#This Row],[Monto A Rebajhar]]/TblDetalle[[#This Row],[MontoBrutoProm_Mes]]</f>
        <v>0.74906367041198496</v>
      </c>
    </row>
    <row r="427" spans="1:10" x14ac:dyDescent="0.3">
      <c r="A427" s="7">
        <v>72</v>
      </c>
      <c r="B427" s="7" t="s">
        <v>347</v>
      </c>
      <c r="C427" s="7">
        <v>930025</v>
      </c>
      <c r="D427" s="7" t="s">
        <v>244</v>
      </c>
      <c r="E427" s="7" t="s">
        <v>243</v>
      </c>
      <c r="F427" s="7">
        <f t="shared" si="5"/>
        <v>5</v>
      </c>
      <c r="G427" s="16">
        <f>+(TblDetalle[[#This Row],[MontoBrutoProm_Mes]]/TblDetalle[[#This Row],[UnidadesProm_Mes]])*TblDetalle[[#This Row],[Unidades]]</f>
        <v>292.64617691154422</v>
      </c>
      <c r="H427" s="8">
        <v>6.67</v>
      </c>
      <c r="I427" s="9">
        <v>390.39</v>
      </c>
      <c r="J427">
        <f>+TblDetalle[[#This Row],[Monto A Rebajhar]]/TblDetalle[[#This Row],[MontoBrutoProm_Mes]]</f>
        <v>0.7496251874062968</v>
      </c>
    </row>
    <row r="428" spans="1:10" x14ac:dyDescent="0.3">
      <c r="A428" s="7">
        <v>72</v>
      </c>
      <c r="B428" s="7" t="s">
        <v>347</v>
      </c>
      <c r="C428" s="7">
        <v>930026</v>
      </c>
      <c r="D428" s="7" t="s">
        <v>301</v>
      </c>
      <c r="E428" s="7" t="s">
        <v>243</v>
      </c>
      <c r="F428" s="7">
        <f t="shared" si="5"/>
        <v>1</v>
      </c>
      <c r="G428" s="16">
        <f>+(TblDetalle[[#This Row],[MontoBrutoProm_Mes]]/TblDetalle[[#This Row],[UnidadesProm_Mes]])*TblDetalle[[#This Row],[Unidades]]</f>
        <v>58.49700598802395</v>
      </c>
      <c r="H428" s="8">
        <v>1.67</v>
      </c>
      <c r="I428" s="9">
        <v>97.69</v>
      </c>
      <c r="J428">
        <f>+TblDetalle[[#This Row],[Monto A Rebajhar]]/TblDetalle[[#This Row],[MontoBrutoProm_Mes]]</f>
        <v>0.59880239520958078</v>
      </c>
    </row>
    <row r="429" spans="1:10" x14ac:dyDescent="0.3">
      <c r="A429" s="7">
        <v>72</v>
      </c>
      <c r="B429" s="7" t="s">
        <v>347</v>
      </c>
      <c r="C429" s="7">
        <v>930028</v>
      </c>
      <c r="D429" s="7" t="s">
        <v>302</v>
      </c>
      <c r="E429" s="7" t="s">
        <v>243</v>
      </c>
      <c r="F429" s="7">
        <f t="shared" si="5"/>
        <v>0</v>
      </c>
      <c r="G429" s="16">
        <f>+(TblDetalle[[#This Row],[MontoBrutoProm_Mes]]/TblDetalle[[#This Row],[UnidadesProm_Mes]])*TblDetalle[[#This Row],[Unidades]]</f>
        <v>0</v>
      </c>
      <c r="H429" s="8">
        <v>0.33</v>
      </c>
      <c r="I429" s="9">
        <v>31.07</v>
      </c>
      <c r="J429">
        <f>+TblDetalle[[#This Row],[Monto A Rebajhar]]/TblDetalle[[#This Row],[MontoBrutoProm_Mes]]</f>
        <v>0</v>
      </c>
    </row>
    <row r="430" spans="1:10" x14ac:dyDescent="0.3">
      <c r="A430" s="7">
        <v>72</v>
      </c>
      <c r="B430" s="7" t="s">
        <v>347</v>
      </c>
      <c r="C430" s="7">
        <v>930033</v>
      </c>
      <c r="D430" s="7" t="s">
        <v>353</v>
      </c>
      <c r="E430" s="7" t="s">
        <v>243</v>
      </c>
      <c r="F430" s="7">
        <f t="shared" si="5"/>
        <v>0</v>
      </c>
      <c r="G430" s="16">
        <f>+(TblDetalle[[#This Row],[MontoBrutoProm_Mes]]/TblDetalle[[#This Row],[UnidadesProm_Mes]])*TblDetalle[[#This Row],[Unidades]]</f>
        <v>0</v>
      </c>
      <c r="H430" s="8">
        <v>0.33</v>
      </c>
      <c r="I430" s="9">
        <v>28.25</v>
      </c>
      <c r="J430">
        <f>+TblDetalle[[#This Row],[Monto A Rebajhar]]/TblDetalle[[#This Row],[MontoBrutoProm_Mes]]</f>
        <v>0</v>
      </c>
    </row>
    <row r="431" spans="1:10" x14ac:dyDescent="0.3">
      <c r="A431" s="7">
        <v>72</v>
      </c>
      <c r="B431" s="7" t="s">
        <v>347</v>
      </c>
      <c r="C431" s="7">
        <v>930034</v>
      </c>
      <c r="D431" s="7" t="s">
        <v>266</v>
      </c>
      <c r="E431" s="7" t="s">
        <v>243</v>
      </c>
      <c r="F431" s="7">
        <f t="shared" si="5"/>
        <v>0</v>
      </c>
      <c r="G431" s="16">
        <f>+(TblDetalle[[#This Row],[MontoBrutoProm_Mes]]/TblDetalle[[#This Row],[UnidadesProm_Mes]])*TblDetalle[[#This Row],[Unidades]]</f>
        <v>0</v>
      </c>
      <c r="H431" s="8">
        <v>0.33</v>
      </c>
      <c r="I431" s="9">
        <v>29.67</v>
      </c>
      <c r="J431">
        <f>+TblDetalle[[#This Row],[Monto A Rebajhar]]/TblDetalle[[#This Row],[MontoBrutoProm_Mes]]</f>
        <v>0</v>
      </c>
    </row>
    <row r="432" spans="1:10" x14ac:dyDescent="0.3">
      <c r="A432" s="7">
        <v>72</v>
      </c>
      <c r="B432" s="7" t="s">
        <v>347</v>
      </c>
      <c r="C432" s="7">
        <v>930104</v>
      </c>
      <c r="D432" s="7" t="s">
        <v>328</v>
      </c>
      <c r="E432" s="7" t="s">
        <v>243</v>
      </c>
      <c r="F432" s="7">
        <f t="shared" si="5"/>
        <v>0</v>
      </c>
      <c r="G432" s="16">
        <f>+(TblDetalle[[#This Row],[MontoBrutoProm_Mes]]/TblDetalle[[#This Row],[UnidadesProm_Mes]])*TblDetalle[[#This Row],[Unidades]]</f>
        <v>0</v>
      </c>
      <c r="H432" s="8">
        <v>0.33</v>
      </c>
      <c r="I432" s="9">
        <v>29.67</v>
      </c>
      <c r="J432">
        <f>+TblDetalle[[#This Row],[Monto A Rebajhar]]/TblDetalle[[#This Row],[MontoBrutoProm_Mes]]</f>
        <v>0</v>
      </c>
    </row>
    <row r="433" spans="1:10" x14ac:dyDescent="0.3">
      <c r="A433" s="7">
        <v>72</v>
      </c>
      <c r="B433" s="7" t="s">
        <v>347</v>
      </c>
      <c r="C433" s="7">
        <v>930112</v>
      </c>
      <c r="D433" s="7" t="s">
        <v>310</v>
      </c>
      <c r="E433" s="7" t="s">
        <v>243</v>
      </c>
      <c r="F433" s="7">
        <f t="shared" si="5"/>
        <v>0</v>
      </c>
      <c r="G433" s="16">
        <f>+(TblDetalle[[#This Row],[MontoBrutoProm_Mes]]/TblDetalle[[#This Row],[UnidadesProm_Mes]])*TblDetalle[[#This Row],[Unidades]]</f>
        <v>0</v>
      </c>
      <c r="H433" s="8">
        <v>1</v>
      </c>
      <c r="I433" s="9">
        <v>154.07</v>
      </c>
      <c r="J433">
        <f>+TblDetalle[[#This Row],[Monto A Rebajhar]]/TblDetalle[[#This Row],[MontoBrutoProm_Mes]]</f>
        <v>0</v>
      </c>
    </row>
    <row r="434" spans="1:10" x14ac:dyDescent="0.3">
      <c r="A434" s="7">
        <v>72</v>
      </c>
      <c r="B434" s="7" t="s">
        <v>347</v>
      </c>
      <c r="C434" s="7">
        <v>930113</v>
      </c>
      <c r="D434" s="7" t="s">
        <v>303</v>
      </c>
      <c r="E434" s="7" t="s">
        <v>243</v>
      </c>
      <c r="F434" s="7">
        <f t="shared" si="5"/>
        <v>0</v>
      </c>
      <c r="G434" s="16">
        <f>+(TblDetalle[[#This Row],[MontoBrutoProm_Mes]]/TblDetalle[[#This Row],[UnidadesProm_Mes]])*TblDetalle[[#This Row],[Unidades]]</f>
        <v>0</v>
      </c>
      <c r="H434" s="8">
        <v>0.33</v>
      </c>
      <c r="I434" s="9">
        <v>51.36</v>
      </c>
      <c r="J434">
        <f>+TblDetalle[[#This Row],[Monto A Rebajhar]]/TblDetalle[[#This Row],[MontoBrutoProm_Mes]]</f>
        <v>0</v>
      </c>
    </row>
    <row r="435" spans="1:10" x14ac:dyDescent="0.3">
      <c r="A435" s="7">
        <v>72</v>
      </c>
      <c r="B435" s="7" t="s">
        <v>347</v>
      </c>
      <c r="C435" s="7">
        <v>930121</v>
      </c>
      <c r="D435" s="7" t="s">
        <v>304</v>
      </c>
      <c r="E435" s="7" t="s">
        <v>243</v>
      </c>
      <c r="F435" s="7">
        <f t="shared" si="5"/>
        <v>2</v>
      </c>
      <c r="G435" s="16">
        <f>+(TblDetalle[[#This Row],[MontoBrutoProm_Mes]]/TblDetalle[[#This Row],[UnidadesProm_Mes]])*TblDetalle[[#This Row],[Unidades]]</f>
        <v>117.59550561797754</v>
      </c>
      <c r="H435" s="8">
        <v>2.67</v>
      </c>
      <c r="I435" s="9">
        <v>156.99</v>
      </c>
      <c r="J435">
        <f>+TblDetalle[[#This Row],[Monto A Rebajhar]]/TblDetalle[[#This Row],[MontoBrutoProm_Mes]]</f>
        <v>0.74906367041198507</v>
      </c>
    </row>
    <row r="436" spans="1:10" x14ac:dyDescent="0.3">
      <c r="A436" s="7">
        <v>72</v>
      </c>
      <c r="B436" s="7" t="s">
        <v>347</v>
      </c>
      <c r="C436" s="7">
        <v>930137</v>
      </c>
      <c r="D436" s="7" t="s">
        <v>311</v>
      </c>
      <c r="E436" s="7" t="s">
        <v>243</v>
      </c>
      <c r="F436" s="7">
        <f t="shared" si="5"/>
        <v>2</v>
      </c>
      <c r="G436" s="16">
        <f>+(TblDetalle[[#This Row],[MontoBrutoProm_Mes]]/TblDetalle[[#This Row],[UnidadesProm_Mes]])*TblDetalle[[#This Row],[Unidades]]</f>
        <v>55.632958801498127</v>
      </c>
      <c r="H436" s="8">
        <v>2.67</v>
      </c>
      <c r="I436" s="9">
        <v>74.27</v>
      </c>
      <c r="J436">
        <f>+TblDetalle[[#This Row],[Monto A Rebajhar]]/TblDetalle[[#This Row],[MontoBrutoProm_Mes]]</f>
        <v>0.74906367041198507</v>
      </c>
    </row>
    <row r="437" spans="1:10" x14ac:dyDescent="0.3">
      <c r="A437" s="7">
        <v>72</v>
      </c>
      <c r="B437" s="7" t="s">
        <v>347</v>
      </c>
      <c r="C437" s="7">
        <v>930138</v>
      </c>
      <c r="D437" s="7" t="s">
        <v>312</v>
      </c>
      <c r="E437" s="7" t="s">
        <v>243</v>
      </c>
      <c r="F437" s="7">
        <f t="shared" si="5"/>
        <v>1</v>
      </c>
      <c r="G437" s="16">
        <f>+(TblDetalle[[#This Row],[MontoBrutoProm_Mes]]/TblDetalle[[#This Row],[UnidadesProm_Mes]])*TblDetalle[[#This Row],[Unidades]]</f>
        <v>26.984962406015036</v>
      </c>
      <c r="H437" s="8">
        <v>1.33</v>
      </c>
      <c r="I437" s="9">
        <v>35.89</v>
      </c>
      <c r="J437">
        <f>+TblDetalle[[#This Row],[Monto A Rebajhar]]/TblDetalle[[#This Row],[MontoBrutoProm_Mes]]</f>
        <v>0.75187969924812026</v>
      </c>
    </row>
    <row r="438" spans="1:10" x14ac:dyDescent="0.3">
      <c r="A438" s="7">
        <v>72</v>
      </c>
      <c r="B438" s="7" t="s">
        <v>347</v>
      </c>
      <c r="C438" s="7">
        <v>930139</v>
      </c>
      <c r="D438" s="7" t="s">
        <v>313</v>
      </c>
      <c r="E438" s="7" t="s">
        <v>243</v>
      </c>
      <c r="F438" s="7">
        <f t="shared" ref="F438:F501" si="6">+ROUNDDOWN(H438*0.8,0)</f>
        <v>1</v>
      </c>
      <c r="G438" s="16">
        <f>+(TblDetalle[[#This Row],[MontoBrutoProm_Mes]]/TblDetalle[[#This Row],[UnidadesProm_Mes]])*TblDetalle[[#This Row],[Unidades]]</f>
        <v>27.157894736842103</v>
      </c>
      <c r="H438" s="8">
        <v>1.33</v>
      </c>
      <c r="I438" s="9">
        <v>36.119999999999997</v>
      </c>
      <c r="J438">
        <f>+TblDetalle[[#This Row],[Monto A Rebajhar]]/TblDetalle[[#This Row],[MontoBrutoProm_Mes]]</f>
        <v>0.75187969924812026</v>
      </c>
    </row>
    <row r="439" spans="1:10" x14ac:dyDescent="0.3">
      <c r="A439" s="7">
        <v>72</v>
      </c>
      <c r="B439" s="7" t="s">
        <v>347</v>
      </c>
      <c r="C439" s="7">
        <v>930140</v>
      </c>
      <c r="D439" s="7" t="s">
        <v>314</v>
      </c>
      <c r="E439" s="7" t="s">
        <v>243</v>
      </c>
      <c r="F439" s="7">
        <f t="shared" si="6"/>
        <v>2</v>
      </c>
      <c r="G439" s="16">
        <f>+(TblDetalle[[#This Row],[MontoBrutoProm_Mes]]/TblDetalle[[#This Row],[UnidadesProm_Mes]])*TblDetalle[[#This Row],[Unidades]]</f>
        <v>55.632958801498127</v>
      </c>
      <c r="H439" s="8">
        <v>2.67</v>
      </c>
      <c r="I439" s="9">
        <v>74.27</v>
      </c>
      <c r="J439">
        <f>+TblDetalle[[#This Row],[Monto A Rebajhar]]/TblDetalle[[#This Row],[MontoBrutoProm_Mes]]</f>
        <v>0.74906367041198507</v>
      </c>
    </row>
    <row r="440" spans="1:10" x14ac:dyDescent="0.3">
      <c r="A440" s="7">
        <v>72</v>
      </c>
      <c r="B440" s="7" t="s">
        <v>347</v>
      </c>
      <c r="C440" s="7">
        <v>930144</v>
      </c>
      <c r="D440" s="7" t="s">
        <v>315</v>
      </c>
      <c r="E440" s="7" t="s">
        <v>243</v>
      </c>
      <c r="F440" s="7">
        <f t="shared" si="6"/>
        <v>1</v>
      </c>
      <c r="G440" s="16">
        <f>+(TblDetalle[[#This Row],[MontoBrutoProm_Mes]]/TblDetalle[[#This Row],[UnidadesProm_Mes]])*TblDetalle[[#This Row],[Unidades]]</f>
        <v>27.157894736842103</v>
      </c>
      <c r="H440" s="8">
        <v>1.33</v>
      </c>
      <c r="I440" s="9">
        <v>36.119999999999997</v>
      </c>
      <c r="J440">
        <f>+TblDetalle[[#This Row],[Monto A Rebajhar]]/TblDetalle[[#This Row],[MontoBrutoProm_Mes]]</f>
        <v>0.75187969924812026</v>
      </c>
    </row>
    <row r="441" spans="1:10" x14ac:dyDescent="0.3">
      <c r="A441" s="7">
        <v>72</v>
      </c>
      <c r="B441" s="7" t="s">
        <v>347</v>
      </c>
      <c r="C441" s="7">
        <v>930145</v>
      </c>
      <c r="D441" s="7" t="s">
        <v>316</v>
      </c>
      <c r="E441" s="7" t="s">
        <v>243</v>
      </c>
      <c r="F441" s="7">
        <f t="shared" si="6"/>
        <v>2</v>
      </c>
      <c r="G441" s="16">
        <f>+(TblDetalle[[#This Row],[MontoBrutoProm_Mes]]/TblDetalle[[#This Row],[UnidadesProm_Mes]])*TblDetalle[[#This Row],[Unidades]]</f>
        <v>55.46067415730338</v>
      </c>
      <c r="H441" s="8">
        <v>2.67</v>
      </c>
      <c r="I441" s="9">
        <v>74.040000000000006</v>
      </c>
      <c r="J441">
        <f>+TblDetalle[[#This Row],[Monto A Rebajhar]]/TblDetalle[[#This Row],[MontoBrutoProm_Mes]]</f>
        <v>0.74906367041198507</v>
      </c>
    </row>
    <row r="442" spans="1:10" x14ac:dyDescent="0.3">
      <c r="A442" s="7">
        <v>72</v>
      </c>
      <c r="B442" s="7" t="s">
        <v>347</v>
      </c>
      <c r="C442" s="7">
        <v>930153</v>
      </c>
      <c r="D442" s="7" t="s">
        <v>282</v>
      </c>
      <c r="E442" s="7" t="s">
        <v>243</v>
      </c>
      <c r="F442" s="7">
        <f t="shared" si="6"/>
        <v>1</v>
      </c>
      <c r="G442" s="16">
        <f>+(TblDetalle[[#This Row],[MontoBrutoProm_Mes]]/TblDetalle[[#This Row],[UnidadesProm_Mes]])*TblDetalle[[#This Row],[Unidades]]</f>
        <v>155.96407185628743</v>
      </c>
      <c r="H442" s="8">
        <v>1.67</v>
      </c>
      <c r="I442" s="9">
        <v>260.45999999999998</v>
      </c>
      <c r="J442">
        <f>+TblDetalle[[#This Row],[Monto A Rebajhar]]/TblDetalle[[#This Row],[MontoBrutoProm_Mes]]</f>
        <v>0.5988023952095809</v>
      </c>
    </row>
    <row r="443" spans="1:10" x14ac:dyDescent="0.3">
      <c r="A443" s="7">
        <v>72</v>
      </c>
      <c r="B443" s="7" t="s">
        <v>347</v>
      </c>
      <c r="C443" s="7">
        <v>930154</v>
      </c>
      <c r="D443" s="7" t="s">
        <v>245</v>
      </c>
      <c r="E443" s="7" t="s">
        <v>243</v>
      </c>
      <c r="F443" s="7">
        <f t="shared" si="6"/>
        <v>1</v>
      </c>
      <c r="G443" s="16">
        <f>+(TblDetalle[[#This Row],[MontoBrutoProm_Mes]]/TblDetalle[[#This Row],[UnidadesProm_Mes]])*TblDetalle[[#This Row],[Unidades]]</f>
        <v>88.473053892215574</v>
      </c>
      <c r="H443" s="8">
        <v>1.67</v>
      </c>
      <c r="I443" s="9">
        <v>147.75</v>
      </c>
      <c r="J443">
        <f>+TblDetalle[[#This Row],[Monto A Rebajhar]]/TblDetalle[[#This Row],[MontoBrutoProm_Mes]]</f>
        <v>0.5988023952095809</v>
      </c>
    </row>
    <row r="444" spans="1:10" x14ac:dyDescent="0.3">
      <c r="A444" s="7">
        <v>72</v>
      </c>
      <c r="B444" s="7" t="s">
        <v>347</v>
      </c>
      <c r="C444" s="7">
        <v>930177</v>
      </c>
      <c r="D444" s="7" t="s">
        <v>317</v>
      </c>
      <c r="E444" s="7" t="s">
        <v>243</v>
      </c>
      <c r="F444" s="7">
        <f t="shared" si="6"/>
        <v>1</v>
      </c>
      <c r="G444" s="16">
        <f>+(TblDetalle[[#This Row],[MontoBrutoProm_Mes]]/TblDetalle[[#This Row],[UnidadesProm_Mes]])*TblDetalle[[#This Row],[Unidades]]</f>
        <v>28.323353293413174</v>
      </c>
      <c r="H444" s="8">
        <v>1.67</v>
      </c>
      <c r="I444" s="9">
        <v>47.3</v>
      </c>
      <c r="J444">
        <f>+TblDetalle[[#This Row],[Monto A Rebajhar]]/TblDetalle[[#This Row],[MontoBrutoProm_Mes]]</f>
        <v>0.5988023952095809</v>
      </c>
    </row>
    <row r="445" spans="1:10" x14ac:dyDescent="0.3">
      <c r="A445" s="7">
        <v>72</v>
      </c>
      <c r="B445" s="7" t="s">
        <v>347</v>
      </c>
      <c r="C445" s="7">
        <v>930178</v>
      </c>
      <c r="D445" s="7" t="s">
        <v>267</v>
      </c>
      <c r="E445" s="7" t="s">
        <v>243</v>
      </c>
      <c r="F445" s="7">
        <f t="shared" si="6"/>
        <v>2</v>
      </c>
      <c r="G445" s="16">
        <f>+(TblDetalle[[#This Row],[MontoBrutoProm_Mes]]/TblDetalle[[#This Row],[UnidadesProm_Mes]])*TblDetalle[[#This Row],[Unidades]]</f>
        <v>55.153558052434455</v>
      </c>
      <c r="H445" s="8">
        <v>2.67</v>
      </c>
      <c r="I445" s="9">
        <v>73.63</v>
      </c>
      <c r="J445">
        <f>+TblDetalle[[#This Row],[Monto A Rebajhar]]/TblDetalle[[#This Row],[MontoBrutoProm_Mes]]</f>
        <v>0.74906367041198507</v>
      </c>
    </row>
    <row r="446" spans="1:10" x14ac:dyDescent="0.3">
      <c r="A446" s="7">
        <v>72</v>
      </c>
      <c r="B446" s="7" t="s">
        <v>347</v>
      </c>
      <c r="C446" s="7">
        <v>930188</v>
      </c>
      <c r="D446" s="7" t="s">
        <v>354</v>
      </c>
      <c r="E446" s="7" t="s">
        <v>243</v>
      </c>
      <c r="F446" s="7">
        <f t="shared" si="6"/>
        <v>0</v>
      </c>
      <c r="G446" s="16">
        <f>+(TblDetalle[[#This Row],[MontoBrutoProm_Mes]]/TblDetalle[[#This Row],[UnidadesProm_Mes]])*TblDetalle[[#This Row],[Unidades]]</f>
        <v>0</v>
      </c>
      <c r="H446" s="8">
        <v>0.33</v>
      </c>
      <c r="I446" s="9">
        <v>18.79</v>
      </c>
      <c r="J446">
        <f>+TblDetalle[[#This Row],[Monto A Rebajhar]]/TblDetalle[[#This Row],[MontoBrutoProm_Mes]]</f>
        <v>0</v>
      </c>
    </row>
    <row r="447" spans="1:10" x14ac:dyDescent="0.3">
      <c r="A447" s="7">
        <v>72</v>
      </c>
      <c r="B447" s="7" t="s">
        <v>347</v>
      </c>
      <c r="C447" s="7">
        <v>982003</v>
      </c>
      <c r="D447" s="7" t="s">
        <v>269</v>
      </c>
      <c r="E447" s="7" t="s">
        <v>270</v>
      </c>
      <c r="F447" s="7">
        <f t="shared" si="6"/>
        <v>6</v>
      </c>
      <c r="G447" s="16">
        <f>+(TblDetalle[[#This Row],[MontoBrutoProm_Mes]]/TblDetalle[[#This Row],[UnidadesProm_Mes]])*TblDetalle[[#This Row],[Unidades]]</f>
        <v>1560.6266506602642</v>
      </c>
      <c r="H447" s="8">
        <v>8.33</v>
      </c>
      <c r="I447" s="9">
        <v>2166.67</v>
      </c>
      <c r="J447">
        <f>+TblDetalle[[#This Row],[Monto A Rebajhar]]/TblDetalle[[#This Row],[MontoBrutoProm_Mes]]</f>
        <v>0.72028811524609848</v>
      </c>
    </row>
    <row r="448" spans="1:10" x14ac:dyDescent="0.3">
      <c r="A448" s="7">
        <v>72</v>
      </c>
      <c r="B448" s="7" t="s">
        <v>347</v>
      </c>
      <c r="C448" s="7">
        <v>982005</v>
      </c>
      <c r="D448" s="7" t="s">
        <v>285</v>
      </c>
      <c r="E448" s="7" t="s">
        <v>270</v>
      </c>
      <c r="F448" s="7">
        <f t="shared" si="6"/>
        <v>2</v>
      </c>
      <c r="G448" s="16">
        <f>+(TblDetalle[[#This Row],[MontoBrutoProm_Mes]]/TblDetalle[[#This Row],[UnidadesProm_Mes]])*TblDetalle[[#This Row],[Unidades]]</f>
        <v>307.5</v>
      </c>
      <c r="H448" s="8">
        <v>3</v>
      </c>
      <c r="I448" s="9">
        <v>461.25</v>
      </c>
      <c r="J448">
        <f>+TblDetalle[[#This Row],[Monto A Rebajhar]]/TblDetalle[[#This Row],[MontoBrutoProm_Mes]]</f>
        <v>0.66666666666666663</v>
      </c>
    </row>
    <row r="449" spans="1:10" x14ac:dyDescent="0.3">
      <c r="A449" s="7">
        <v>83</v>
      </c>
      <c r="B449" s="7" t="s">
        <v>355</v>
      </c>
      <c r="C449" s="7">
        <v>101005</v>
      </c>
      <c r="D449" s="7" t="s">
        <v>232</v>
      </c>
      <c r="E449" s="7" t="s">
        <v>215</v>
      </c>
      <c r="F449" s="7">
        <f t="shared" si="6"/>
        <v>2</v>
      </c>
      <c r="G449" s="16">
        <f>+(TblDetalle[[#This Row],[MontoBrutoProm_Mes]]/TblDetalle[[#This Row],[UnidadesProm_Mes]])*TblDetalle[[#This Row],[Unidades]]</f>
        <v>155.23723723723725</v>
      </c>
      <c r="H449" s="8">
        <v>3.33</v>
      </c>
      <c r="I449" s="9">
        <v>258.47000000000003</v>
      </c>
      <c r="J449">
        <f>+TblDetalle[[#This Row],[Monto A Rebajhar]]/TblDetalle[[#This Row],[MontoBrutoProm_Mes]]</f>
        <v>0.60060060060060061</v>
      </c>
    </row>
    <row r="450" spans="1:10" x14ac:dyDescent="0.3">
      <c r="A450" s="7">
        <v>83</v>
      </c>
      <c r="B450" s="7" t="s">
        <v>355</v>
      </c>
      <c r="C450" s="7">
        <v>101027</v>
      </c>
      <c r="D450" s="7" t="s">
        <v>234</v>
      </c>
      <c r="E450" s="7" t="s">
        <v>215</v>
      </c>
      <c r="F450" s="7">
        <f t="shared" si="6"/>
        <v>2</v>
      </c>
      <c r="G450" s="16">
        <f>+(TblDetalle[[#This Row],[MontoBrutoProm_Mes]]/TblDetalle[[#This Row],[UnidadesProm_Mes]])*TblDetalle[[#This Row],[Unidades]]</f>
        <v>155.23723723723725</v>
      </c>
      <c r="H450" s="8">
        <v>3.33</v>
      </c>
      <c r="I450" s="9">
        <v>258.47000000000003</v>
      </c>
      <c r="J450">
        <f>+TblDetalle[[#This Row],[Monto A Rebajhar]]/TblDetalle[[#This Row],[MontoBrutoProm_Mes]]</f>
        <v>0.60060060060060061</v>
      </c>
    </row>
    <row r="451" spans="1:10" x14ac:dyDescent="0.3">
      <c r="A451" s="7">
        <v>83</v>
      </c>
      <c r="B451" s="7" t="s">
        <v>355</v>
      </c>
      <c r="C451" s="7">
        <v>101028</v>
      </c>
      <c r="D451" s="7" t="s">
        <v>214</v>
      </c>
      <c r="E451" s="7" t="s">
        <v>215</v>
      </c>
      <c r="F451" s="7">
        <f t="shared" si="6"/>
        <v>2</v>
      </c>
      <c r="G451" s="16">
        <f>+(TblDetalle[[#This Row],[MontoBrutoProm_Mes]]/TblDetalle[[#This Row],[UnidadesProm_Mes]])*TblDetalle[[#This Row],[Unidades]]</f>
        <v>198.49849849849849</v>
      </c>
      <c r="H451" s="8">
        <v>3.33</v>
      </c>
      <c r="I451" s="9">
        <v>330.5</v>
      </c>
      <c r="J451">
        <f>+TblDetalle[[#This Row],[Monto A Rebajhar]]/TblDetalle[[#This Row],[MontoBrutoProm_Mes]]</f>
        <v>0.60060060060060061</v>
      </c>
    </row>
    <row r="452" spans="1:10" x14ac:dyDescent="0.3">
      <c r="A452" s="7">
        <v>84</v>
      </c>
      <c r="B452" s="7" t="s">
        <v>356</v>
      </c>
      <c r="C452" s="7">
        <v>101005</v>
      </c>
      <c r="D452" s="7" t="s">
        <v>232</v>
      </c>
      <c r="E452" s="7" t="s">
        <v>215</v>
      </c>
      <c r="F452" s="7">
        <f t="shared" si="6"/>
        <v>70</v>
      </c>
      <c r="G452" s="16">
        <f>+(TblDetalle[[#This Row],[MontoBrutoProm_Mes]]/TblDetalle[[#This Row],[UnidadesProm_Mes]])*TblDetalle[[#This Row],[Unidades]]</f>
        <v>5329.2431818181813</v>
      </c>
      <c r="H452" s="8">
        <v>88</v>
      </c>
      <c r="I452" s="9">
        <v>6699.62</v>
      </c>
      <c r="J452">
        <f>+TblDetalle[[#This Row],[Monto A Rebajhar]]/TblDetalle[[#This Row],[MontoBrutoProm_Mes]]</f>
        <v>0.79545454545454541</v>
      </c>
    </row>
    <row r="453" spans="1:10" x14ac:dyDescent="0.3">
      <c r="A453" s="7">
        <v>84</v>
      </c>
      <c r="B453" s="7" t="s">
        <v>356</v>
      </c>
      <c r="C453" s="7">
        <v>101006</v>
      </c>
      <c r="D453" s="7" t="s">
        <v>357</v>
      </c>
      <c r="E453" s="7" t="s">
        <v>215</v>
      </c>
      <c r="F453" s="7">
        <f t="shared" si="6"/>
        <v>4</v>
      </c>
      <c r="G453" s="16">
        <f>+(TblDetalle[[#This Row],[MontoBrutoProm_Mes]]/TblDetalle[[#This Row],[UnidadesProm_Mes]])*TblDetalle[[#This Row],[Unidades]]</f>
        <v>745.7600000000001</v>
      </c>
      <c r="H453" s="8">
        <v>6</v>
      </c>
      <c r="I453" s="9">
        <v>1118.6400000000001</v>
      </c>
      <c r="J453">
        <f>+TblDetalle[[#This Row],[Monto A Rebajhar]]/TblDetalle[[#This Row],[MontoBrutoProm_Mes]]</f>
        <v>0.66666666666666674</v>
      </c>
    </row>
    <row r="454" spans="1:10" x14ac:dyDescent="0.3">
      <c r="A454" s="7">
        <v>84</v>
      </c>
      <c r="B454" s="7" t="s">
        <v>356</v>
      </c>
      <c r="C454" s="7">
        <v>101018</v>
      </c>
      <c r="D454" s="7" t="s">
        <v>321</v>
      </c>
      <c r="E454" s="7" t="s">
        <v>215</v>
      </c>
      <c r="F454" s="7">
        <f t="shared" si="6"/>
        <v>25</v>
      </c>
      <c r="G454" s="16">
        <f>+(TblDetalle[[#This Row],[MontoBrutoProm_Mes]]/TblDetalle[[#This Row],[UnidadesProm_Mes]])*TblDetalle[[#This Row],[Unidades]]</f>
        <v>438.99999999999994</v>
      </c>
      <c r="H454" s="8">
        <v>32</v>
      </c>
      <c r="I454" s="9">
        <v>561.91999999999996</v>
      </c>
      <c r="J454">
        <f>+TblDetalle[[#This Row],[Monto A Rebajhar]]/TblDetalle[[#This Row],[MontoBrutoProm_Mes]]</f>
        <v>0.78125</v>
      </c>
    </row>
    <row r="455" spans="1:10" x14ac:dyDescent="0.3">
      <c r="A455" s="7">
        <v>84</v>
      </c>
      <c r="B455" s="7" t="s">
        <v>356</v>
      </c>
      <c r="C455" s="7">
        <v>101026</v>
      </c>
      <c r="D455" s="7" t="s">
        <v>233</v>
      </c>
      <c r="E455" s="7" t="s">
        <v>215</v>
      </c>
      <c r="F455" s="7">
        <f t="shared" si="6"/>
        <v>77</v>
      </c>
      <c r="G455" s="16">
        <f>+(TblDetalle[[#This Row],[MontoBrutoProm_Mes]]/TblDetalle[[#This Row],[UnidadesProm_Mes]])*TblDetalle[[#This Row],[Unidades]]</f>
        <v>2670.5962836084295</v>
      </c>
      <c r="H455" s="8">
        <v>96.33</v>
      </c>
      <c r="I455" s="9">
        <v>3341.02</v>
      </c>
      <c r="J455">
        <f>+TblDetalle[[#This Row],[Monto A Rebajhar]]/TblDetalle[[#This Row],[MontoBrutoProm_Mes]]</f>
        <v>0.79933561714938239</v>
      </c>
    </row>
    <row r="456" spans="1:10" x14ac:dyDescent="0.3">
      <c r="A456" s="7">
        <v>84</v>
      </c>
      <c r="B456" s="7" t="s">
        <v>356</v>
      </c>
      <c r="C456" s="7">
        <v>101027</v>
      </c>
      <c r="D456" s="7" t="s">
        <v>234</v>
      </c>
      <c r="E456" s="7" t="s">
        <v>215</v>
      </c>
      <c r="F456" s="7">
        <f t="shared" si="6"/>
        <v>57</v>
      </c>
      <c r="G456" s="16">
        <f>+(TblDetalle[[#This Row],[MontoBrutoProm_Mes]]/TblDetalle[[#This Row],[UnidadesProm_Mes]])*TblDetalle[[#This Row],[Unidades]]</f>
        <v>4367.4666666666662</v>
      </c>
      <c r="H456" s="8">
        <v>72</v>
      </c>
      <c r="I456" s="9">
        <v>5516.8</v>
      </c>
      <c r="J456">
        <f>+TblDetalle[[#This Row],[Monto A Rebajhar]]/TblDetalle[[#This Row],[MontoBrutoProm_Mes]]</f>
        <v>0.79166666666666652</v>
      </c>
    </row>
    <row r="457" spans="1:10" x14ac:dyDescent="0.3">
      <c r="A457" s="7">
        <v>84</v>
      </c>
      <c r="B457" s="7" t="s">
        <v>356</v>
      </c>
      <c r="C457" s="7">
        <v>101028</v>
      </c>
      <c r="D457" s="7" t="s">
        <v>214</v>
      </c>
      <c r="E457" s="7" t="s">
        <v>215</v>
      </c>
      <c r="F457" s="7">
        <f t="shared" si="6"/>
        <v>81</v>
      </c>
      <c r="G457" s="16">
        <f>+(TblDetalle[[#This Row],[MontoBrutoProm_Mes]]/TblDetalle[[#This Row],[UnidadesProm_Mes]])*TblDetalle[[#This Row],[Unidades]]</f>
        <v>8013.2823529411762</v>
      </c>
      <c r="H457" s="8">
        <v>102</v>
      </c>
      <c r="I457" s="9">
        <v>10090.799999999999</v>
      </c>
      <c r="J457">
        <f>+TblDetalle[[#This Row],[Monto A Rebajhar]]/TblDetalle[[#This Row],[MontoBrutoProm_Mes]]</f>
        <v>0.79411764705882359</v>
      </c>
    </row>
    <row r="458" spans="1:10" x14ac:dyDescent="0.3">
      <c r="A458" s="7">
        <v>84</v>
      </c>
      <c r="B458" s="7" t="s">
        <v>356</v>
      </c>
      <c r="C458" s="7">
        <v>101034</v>
      </c>
      <c r="D458" s="7" t="s">
        <v>272</v>
      </c>
      <c r="E458" s="7" t="s">
        <v>215</v>
      </c>
      <c r="F458" s="7">
        <f t="shared" si="6"/>
        <v>4</v>
      </c>
      <c r="G458" s="16">
        <f>+(TblDetalle[[#This Row],[MontoBrutoProm_Mes]]/TblDetalle[[#This Row],[UnidadesProm_Mes]])*TblDetalle[[#This Row],[Unidades]]</f>
        <v>943.5</v>
      </c>
      <c r="H458" s="8">
        <v>6</v>
      </c>
      <c r="I458" s="9">
        <v>1415.25</v>
      </c>
      <c r="J458">
        <f>+TblDetalle[[#This Row],[Monto A Rebajhar]]/TblDetalle[[#This Row],[MontoBrutoProm_Mes]]</f>
        <v>0.66666666666666663</v>
      </c>
    </row>
    <row r="459" spans="1:10" x14ac:dyDescent="0.3">
      <c r="A459" s="7">
        <v>84</v>
      </c>
      <c r="B459" s="7" t="s">
        <v>356</v>
      </c>
      <c r="C459" s="7">
        <v>101038</v>
      </c>
      <c r="D459" s="7" t="s">
        <v>235</v>
      </c>
      <c r="E459" s="7" t="s">
        <v>215</v>
      </c>
      <c r="F459" s="7">
        <f t="shared" si="6"/>
        <v>68</v>
      </c>
      <c r="G459" s="16">
        <f>+(TblDetalle[[#This Row],[MontoBrutoProm_Mes]]/TblDetalle[[#This Row],[UnidadesProm_Mes]])*TblDetalle[[#This Row],[Unidades]]</f>
        <v>24904.135999999999</v>
      </c>
      <c r="H459" s="8">
        <v>85</v>
      </c>
      <c r="I459" s="9">
        <v>31130.17</v>
      </c>
      <c r="J459">
        <f>+TblDetalle[[#This Row],[Monto A Rebajhar]]/TblDetalle[[#This Row],[MontoBrutoProm_Mes]]</f>
        <v>0.8</v>
      </c>
    </row>
    <row r="460" spans="1:10" x14ac:dyDescent="0.3">
      <c r="A460" s="7">
        <v>84</v>
      </c>
      <c r="B460" s="7" t="s">
        <v>356</v>
      </c>
      <c r="C460" s="7">
        <v>101072</v>
      </c>
      <c r="D460" s="7" t="s">
        <v>273</v>
      </c>
      <c r="E460" s="7" t="s">
        <v>215</v>
      </c>
      <c r="F460" s="7">
        <f t="shared" si="6"/>
        <v>6</v>
      </c>
      <c r="G460" s="16">
        <f>+(TblDetalle[[#This Row],[MontoBrutoProm_Mes]]/TblDetalle[[#This Row],[UnidadesProm_Mes]])*TblDetalle[[#This Row],[Unidades]]</f>
        <v>261.29999999999995</v>
      </c>
      <c r="H460" s="8">
        <v>8</v>
      </c>
      <c r="I460" s="9">
        <v>348.4</v>
      </c>
      <c r="J460">
        <f>+TblDetalle[[#This Row],[Monto A Rebajhar]]/TblDetalle[[#This Row],[MontoBrutoProm_Mes]]</f>
        <v>0.74999999999999989</v>
      </c>
    </row>
    <row r="461" spans="1:10" x14ac:dyDescent="0.3">
      <c r="A461" s="7">
        <v>84</v>
      </c>
      <c r="B461" s="7" t="s">
        <v>356</v>
      </c>
      <c r="C461" s="7">
        <v>101100</v>
      </c>
      <c r="D461" s="7" t="s">
        <v>274</v>
      </c>
      <c r="E461" s="7" t="s">
        <v>215</v>
      </c>
      <c r="F461" s="7">
        <f t="shared" si="6"/>
        <v>0</v>
      </c>
      <c r="G461" s="16">
        <f>+(TblDetalle[[#This Row],[MontoBrutoProm_Mes]]/TblDetalle[[#This Row],[UnidadesProm_Mes]])*TblDetalle[[#This Row],[Unidades]]</f>
        <v>0</v>
      </c>
      <c r="H461" s="8">
        <v>0.67</v>
      </c>
      <c r="I461" s="9">
        <v>0.01</v>
      </c>
      <c r="J461">
        <f>+TblDetalle[[#This Row],[Monto A Rebajhar]]/TblDetalle[[#This Row],[MontoBrutoProm_Mes]]</f>
        <v>0</v>
      </c>
    </row>
    <row r="462" spans="1:10" x14ac:dyDescent="0.3">
      <c r="A462" s="7">
        <v>84</v>
      </c>
      <c r="B462" s="7" t="s">
        <v>356</v>
      </c>
      <c r="C462" s="7">
        <v>101111</v>
      </c>
      <c r="D462" s="7" t="s">
        <v>339</v>
      </c>
      <c r="E462" s="7" t="s">
        <v>215</v>
      </c>
      <c r="F462" s="7">
        <f t="shared" si="6"/>
        <v>11</v>
      </c>
      <c r="G462" s="16">
        <f>+(TblDetalle[[#This Row],[MontoBrutoProm_Mes]]/TblDetalle[[#This Row],[UnidadesProm_Mes]])*TblDetalle[[#This Row],[Unidades]]</f>
        <v>1091.0900000000001</v>
      </c>
      <c r="H462" s="8">
        <v>14</v>
      </c>
      <c r="I462" s="9">
        <v>1388.66</v>
      </c>
      <c r="J462">
        <f>+TblDetalle[[#This Row],[Monto A Rebajhar]]/TblDetalle[[#This Row],[MontoBrutoProm_Mes]]</f>
        <v>0.78571428571428581</v>
      </c>
    </row>
    <row r="463" spans="1:10" x14ac:dyDescent="0.3">
      <c r="A463" s="7">
        <v>84</v>
      </c>
      <c r="B463" s="7" t="s">
        <v>356</v>
      </c>
      <c r="C463" s="7">
        <v>101130</v>
      </c>
      <c r="D463" s="7" t="s">
        <v>247</v>
      </c>
      <c r="E463" s="7" t="s">
        <v>215</v>
      </c>
      <c r="F463" s="7">
        <f t="shared" si="6"/>
        <v>110</v>
      </c>
      <c r="G463" s="16">
        <f>+(TblDetalle[[#This Row],[MontoBrutoProm_Mes]]/TblDetalle[[#This Row],[UnidadesProm_Mes]])*TblDetalle[[#This Row],[Unidades]]</f>
        <v>1.1026177255354439</v>
      </c>
      <c r="H463" s="8">
        <v>138.66999999999999</v>
      </c>
      <c r="I463" s="9">
        <v>1.39</v>
      </c>
      <c r="J463">
        <f>+TblDetalle[[#This Row],[Monto A Rebajhar]]/TblDetalle[[#This Row],[MontoBrutoProm_Mes]]</f>
        <v>0.7932501622557151</v>
      </c>
    </row>
    <row r="464" spans="1:10" x14ac:dyDescent="0.3">
      <c r="A464" s="7">
        <v>84</v>
      </c>
      <c r="B464" s="7" t="s">
        <v>356</v>
      </c>
      <c r="C464" s="7">
        <v>101132</v>
      </c>
      <c r="D464" s="7" t="s">
        <v>340</v>
      </c>
      <c r="E464" s="7" t="s">
        <v>215</v>
      </c>
      <c r="F464" s="7">
        <f t="shared" si="6"/>
        <v>11</v>
      </c>
      <c r="G464" s="16">
        <f>+(TblDetalle[[#This Row],[MontoBrutoProm_Mes]]/TblDetalle[[#This Row],[UnidadesProm_Mes]])*TblDetalle[[#This Row],[Unidades]]</f>
        <v>1091.0900000000001</v>
      </c>
      <c r="H464" s="8">
        <v>14</v>
      </c>
      <c r="I464" s="9">
        <v>1388.66</v>
      </c>
      <c r="J464">
        <f>+TblDetalle[[#This Row],[Monto A Rebajhar]]/TblDetalle[[#This Row],[MontoBrutoProm_Mes]]</f>
        <v>0.78571428571428581</v>
      </c>
    </row>
    <row r="465" spans="1:10" x14ac:dyDescent="0.3">
      <c r="A465" s="7">
        <v>84</v>
      </c>
      <c r="B465" s="7" t="s">
        <v>356</v>
      </c>
      <c r="C465" s="7">
        <v>101145</v>
      </c>
      <c r="D465" s="7" t="s">
        <v>275</v>
      </c>
      <c r="E465" s="7" t="s">
        <v>215</v>
      </c>
      <c r="F465" s="7">
        <f t="shared" si="6"/>
        <v>10</v>
      </c>
      <c r="G465" s="16">
        <f>+(TblDetalle[[#This Row],[MontoBrutoProm_Mes]]/TblDetalle[[#This Row],[UnidadesProm_Mes]])*TblDetalle[[#This Row],[Unidades]]</f>
        <v>435.80645161290317</v>
      </c>
      <c r="H465" s="8">
        <v>13.33</v>
      </c>
      <c r="I465" s="9">
        <v>580.92999999999995</v>
      </c>
      <c r="J465">
        <f>+TblDetalle[[#This Row],[Monto A Rebajhar]]/TblDetalle[[#This Row],[MontoBrutoProm_Mes]]</f>
        <v>0.75018754688672162</v>
      </c>
    </row>
    <row r="466" spans="1:10" x14ac:dyDescent="0.3">
      <c r="A466" s="7">
        <v>84</v>
      </c>
      <c r="B466" s="7" t="s">
        <v>356</v>
      </c>
      <c r="C466" s="7">
        <v>103001</v>
      </c>
      <c r="D466" s="7" t="s">
        <v>248</v>
      </c>
      <c r="E466" s="7" t="s">
        <v>215</v>
      </c>
      <c r="F466" s="7">
        <f t="shared" si="6"/>
        <v>176</v>
      </c>
      <c r="G466" s="16">
        <f>+(TblDetalle[[#This Row],[MontoBrutoProm_Mes]]/TblDetalle[[#This Row],[UnidadesProm_Mes]])*TblDetalle[[#This Row],[Unidades]]</f>
        <v>3822.7279638009049</v>
      </c>
      <c r="H466" s="8">
        <v>221</v>
      </c>
      <c r="I466" s="9">
        <v>4800.13</v>
      </c>
      <c r="J466">
        <f>+TblDetalle[[#This Row],[Monto A Rebajhar]]/TblDetalle[[#This Row],[MontoBrutoProm_Mes]]</f>
        <v>0.7963800904977375</v>
      </c>
    </row>
    <row r="467" spans="1:10" x14ac:dyDescent="0.3">
      <c r="A467" s="7">
        <v>84</v>
      </c>
      <c r="B467" s="7" t="s">
        <v>356</v>
      </c>
      <c r="C467" s="7">
        <v>201001</v>
      </c>
      <c r="D467" s="7" t="s">
        <v>216</v>
      </c>
      <c r="E467" s="7" t="s">
        <v>217</v>
      </c>
      <c r="F467" s="7">
        <f t="shared" si="6"/>
        <v>181</v>
      </c>
      <c r="G467" s="16">
        <f>+(TblDetalle[[#This Row],[MontoBrutoProm_Mes]]/TblDetalle[[#This Row],[UnidadesProm_Mes]])*TblDetalle[[#This Row],[Unidades]]</f>
        <v>40769.953415739226</v>
      </c>
      <c r="H467" s="8">
        <v>227.33</v>
      </c>
      <c r="I467" s="9">
        <v>51205.71</v>
      </c>
      <c r="J467">
        <f>+TblDetalle[[#This Row],[Monto A Rebajhar]]/TblDetalle[[#This Row],[MontoBrutoProm_Mes]]</f>
        <v>0.79619935776184392</v>
      </c>
    </row>
    <row r="468" spans="1:10" x14ac:dyDescent="0.3">
      <c r="A468" s="7">
        <v>84</v>
      </c>
      <c r="B468" s="7" t="s">
        <v>356</v>
      </c>
      <c r="C468" s="7">
        <v>220002</v>
      </c>
      <c r="D468" s="7" t="s">
        <v>358</v>
      </c>
      <c r="E468" s="7" t="s">
        <v>220</v>
      </c>
      <c r="F468" s="7">
        <f t="shared" si="6"/>
        <v>1</v>
      </c>
      <c r="G468" s="16">
        <f>+(TblDetalle[[#This Row],[MontoBrutoProm_Mes]]/TblDetalle[[#This Row],[UnidadesProm_Mes]])*TblDetalle[[#This Row],[Unidades]]</f>
        <v>258.91017964071858</v>
      </c>
      <c r="H468" s="8">
        <v>1.67</v>
      </c>
      <c r="I468" s="9">
        <v>432.38</v>
      </c>
      <c r="J468">
        <f>+TblDetalle[[#This Row],[Monto A Rebajhar]]/TblDetalle[[#This Row],[MontoBrutoProm_Mes]]</f>
        <v>0.5988023952095809</v>
      </c>
    </row>
    <row r="469" spans="1:10" x14ac:dyDescent="0.3">
      <c r="A469" s="7">
        <v>84</v>
      </c>
      <c r="B469" s="7" t="s">
        <v>356</v>
      </c>
      <c r="C469" s="7">
        <v>220003</v>
      </c>
      <c r="D469" s="7" t="s">
        <v>359</v>
      </c>
      <c r="E469" s="7" t="s">
        <v>220</v>
      </c>
      <c r="F469" s="7">
        <f t="shared" si="6"/>
        <v>1</v>
      </c>
      <c r="G469" s="16">
        <f>+(TblDetalle[[#This Row],[MontoBrutoProm_Mes]]/TblDetalle[[#This Row],[UnidadesProm_Mes]])*TblDetalle[[#This Row],[Unidades]]</f>
        <v>261.11</v>
      </c>
      <c r="H469" s="8">
        <v>2</v>
      </c>
      <c r="I469" s="9">
        <v>522.22</v>
      </c>
      <c r="J469">
        <f>+TblDetalle[[#This Row],[Monto A Rebajhar]]/TblDetalle[[#This Row],[MontoBrutoProm_Mes]]</f>
        <v>0.5</v>
      </c>
    </row>
    <row r="470" spans="1:10" x14ac:dyDescent="0.3">
      <c r="A470" s="7">
        <v>84</v>
      </c>
      <c r="B470" s="7" t="s">
        <v>356</v>
      </c>
      <c r="C470" s="7">
        <v>220004</v>
      </c>
      <c r="D470" s="7" t="s">
        <v>219</v>
      </c>
      <c r="E470" s="7" t="s">
        <v>220</v>
      </c>
      <c r="F470" s="7">
        <f t="shared" si="6"/>
        <v>0</v>
      </c>
      <c r="G470" s="16">
        <f>+(TblDetalle[[#This Row],[MontoBrutoProm_Mes]]/TblDetalle[[#This Row],[UnidadesProm_Mes]])*TblDetalle[[#This Row],[Unidades]]</f>
        <v>0</v>
      </c>
      <c r="H470" s="8">
        <v>0.33</v>
      </c>
      <c r="I470" s="9">
        <v>89.84</v>
      </c>
      <c r="J470">
        <f>+TblDetalle[[#This Row],[Monto A Rebajhar]]/TblDetalle[[#This Row],[MontoBrutoProm_Mes]]</f>
        <v>0</v>
      </c>
    </row>
    <row r="471" spans="1:10" x14ac:dyDescent="0.3">
      <c r="A471" s="7">
        <v>84</v>
      </c>
      <c r="B471" s="7" t="s">
        <v>356</v>
      </c>
      <c r="C471" s="7">
        <v>501000</v>
      </c>
      <c r="D471" s="7" t="s">
        <v>237</v>
      </c>
      <c r="E471" s="7" t="s">
        <v>217</v>
      </c>
      <c r="F471" s="7">
        <f t="shared" si="6"/>
        <v>1</v>
      </c>
      <c r="G471" s="16">
        <f>+(TblDetalle[[#This Row],[MontoBrutoProm_Mes]]/TblDetalle[[#This Row],[UnidadesProm_Mes]])*TblDetalle[[#This Row],[Unidades]]</f>
        <v>123.18796992481202</v>
      </c>
      <c r="H471" s="8">
        <v>1.33</v>
      </c>
      <c r="I471" s="9">
        <v>163.84</v>
      </c>
      <c r="J471">
        <f>+TblDetalle[[#This Row],[Monto A Rebajhar]]/TblDetalle[[#This Row],[MontoBrutoProm_Mes]]</f>
        <v>0.75187969924812026</v>
      </c>
    </row>
    <row r="472" spans="1:10" x14ac:dyDescent="0.3">
      <c r="A472" s="7">
        <v>84</v>
      </c>
      <c r="B472" s="7" t="s">
        <v>356</v>
      </c>
      <c r="C472" s="7">
        <v>511005</v>
      </c>
      <c r="D472" s="7" t="s">
        <v>249</v>
      </c>
      <c r="E472" s="7" t="s">
        <v>217</v>
      </c>
      <c r="F472" s="7">
        <f t="shared" si="6"/>
        <v>1</v>
      </c>
      <c r="G472" s="16">
        <f>+(TblDetalle[[#This Row],[MontoBrutoProm_Mes]]/TblDetalle[[#This Row],[UnidadesProm_Mes]])*TblDetalle[[#This Row],[Unidades]]</f>
        <v>66.95</v>
      </c>
      <c r="H472" s="8">
        <v>2</v>
      </c>
      <c r="I472" s="9">
        <v>133.9</v>
      </c>
      <c r="J472">
        <f>+TblDetalle[[#This Row],[Monto A Rebajhar]]/TblDetalle[[#This Row],[MontoBrutoProm_Mes]]</f>
        <v>0.5</v>
      </c>
    </row>
    <row r="473" spans="1:10" x14ac:dyDescent="0.3">
      <c r="A473" s="7">
        <v>84</v>
      </c>
      <c r="B473" s="7" t="s">
        <v>356</v>
      </c>
      <c r="C473" s="7">
        <v>611052</v>
      </c>
      <c r="D473" s="7" t="s">
        <v>252</v>
      </c>
      <c r="E473" s="7" t="s">
        <v>217</v>
      </c>
      <c r="F473" s="7">
        <f t="shared" si="6"/>
        <v>4</v>
      </c>
      <c r="G473" s="16">
        <f>+(TblDetalle[[#This Row],[MontoBrutoProm_Mes]]/TblDetalle[[#This Row],[UnidadesProm_Mes]])*TblDetalle[[#This Row],[Unidades]]</f>
        <v>88.12</v>
      </c>
      <c r="H473" s="8">
        <v>6</v>
      </c>
      <c r="I473" s="9">
        <v>132.18</v>
      </c>
      <c r="J473">
        <f>+TblDetalle[[#This Row],[Monto A Rebajhar]]/TblDetalle[[#This Row],[MontoBrutoProm_Mes]]</f>
        <v>0.66666666666666663</v>
      </c>
    </row>
    <row r="474" spans="1:10" x14ac:dyDescent="0.3">
      <c r="A474" s="7">
        <v>84</v>
      </c>
      <c r="B474" s="7" t="s">
        <v>356</v>
      </c>
      <c r="C474" s="7">
        <v>611053</v>
      </c>
      <c r="D474" s="7" t="s">
        <v>253</v>
      </c>
      <c r="E474" s="7" t="s">
        <v>217</v>
      </c>
      <c r="F474" s="7">
        <f t="shared" si="6"/>
        <v>38</v>
      </c>
      <c r="G474" s="16">
        <f>+(TblDetalle[[#This Row],[MontoBrutoProm_Mes]]/TblDetalle[[#This Row],[UnidadesProm_Mes]])*TblDetalle[[#This Row],[Unidades]]</f>
        <v>837.1400000000001</v>
      </c>
      <c r="H474" s="8">
        <v>48</v>
      </c>
      <c r="I474" s="9">
        <v>1057.44</v>
      </c>
      <c r="J474">
        <f>+TblDetalle[[#This Row],[Monto A Rebajhar]]/TblDetalle[[#This Row],[MontoBrutoProm_Mes]]</f>
        <v>0.79166666666666674</v>
      </c>
    </row>
    <row r="475" spans="1:10" x14ac:dyDescent="0.3">
      <c r="A475" s="7">
        <v>84</v>
      </c>
      <c r="B475" s="7" t="s">
        <v>356</v>
      </c>
      <c r="C475" s="7">
        <v>611055</v>
      </c>
      <c r="D475" s="7" t="s">
        <v>254</v>
      </c>
      <c r="E475" s="7" t="s">
        <v>217</v>
      </c>
      <c r="F475" s="7">
        <f t="shared" si="6"/>
        <v>13</v>
      </c>
      <c r="G475" s="16">
        <f>+(TblDetalle[[#This Row],[MontoBrutoProm_Mes]]/TblDetalle[[#This Row],[UnidadesProm_Mes]])*TblDetalle[[#This Row],[Unidades]]</f>
        <v>1101.8343912290825</v>
      </c>
      <c r="H475" s="8">
        <v>17.329999999999998</v>
      </c>
      <c r="I475" s="9">
        <v>1468.83</v>
      </c>
      <c r="J475">
        <f>+TblDetalle[[#This Row],[Monto A Rebajhar]]/TblDetalle[[#This Row],[MontoBrutoProm_Mes]]</f>
        <v>0.75014425851125222</v>
      </c>
    </row>
    <row r="476" spans="1:10" x14ac:dyDescent="0.3">
      <c r="A476" s="7">
        <v>84</v>
      </c>
      <c r="B476" s="7" t="s">
        <v>356</v>
      </c>
      <c r="C476" s="7">
        <v>611092</v>
      </c>
      <c r="D476" s="7" t="s">
        <v>348</v>
      </c>
      <c r="E476" s="7" t="s">
        <v>294</v>
      </c>
      <c r="F476" s="7">
        <f t="shared" si="6"/>
        <v>0</v>
      </c>
      <c r="G476" s="16">
        <f>+(TblDetalle[[#This Row],[MontoBrutoProm_Mes]]/TblDetalle[[#This Row],[UnidadesProm_Mes]])*TblDetalle[[#This Row],[Unidades]]</f>
        <v>0</v>
      </c>
      <c r="H476" s="8">
        <v>1</v>
      </c>
      <c r="I476" s="9">
        <v>200.57</v>
      </c>
      <c r="J476">
        <f>+TblDetalle[[#This Row],[Monto A Rebajhar]]/TblDetalle[[#This Row],[MontoBrutoProm_Mes]]</f>
        <v>0</v>
      </c>
    </row>
    <row r="477" spans="1:10" x14ac:dyDescent="0.3">
      <c r="A477" s="7">
        <v>84</v>
      </c>
      <c r="B477" s="7" t="s">
        <v>356</v>
      </c>
      <c r="C477" s="7">
        <v>611221</v>
      </c>
      <c r="D477" s="7" t="s">
        <v>293</v>
      </c>
      <c r="E477" s="7" t="s">
        <v>294</v>
      </c>
      <c r="F477" s="7">
        <f t="shared" si="6"/>
        <v>7</v>
      </c>
      <c r="G477" s="16">
        <f>+(TblDetalle[[#This Row],[MontoBrutoProm_Mes]]/TblDetalle[[#This Row],[UnidadesProm_Mes]])*TblDetalle[[#This Row],[Unidades]]</f>
        <v>1386.1125401929262</v>
      </c>
      <c r="H477" s="8">
        <v>9.33</v>
      </c>
      <c r="I477" s="9">
        <v>1847.49</v>
      </c>
      <c r="J477">
        <f>+TblDetalle[[#This Row],[Monto A Rebajhar]]/TblDetalle[[#This Row],[MontoBrutoProm_Mes]]</f>
        <v>0.75026795284030023</v>
      </c>
    </row>
    <row r="478" spans="1:10" x14ac:dyDescent="0.3">
      <c r="A478" s="7">
        <v>84</v>
      </c>
      <c r="B478" s="7" t="s">
        <v>356</v>
      </c>
      <c r="C478" s="7">
        <v>611507</v>
      </c>
      <c r="D478" s="7" t="s">
        <v>255</v>
      </c>
      <c r="E478" s="7" t="s">
        <v>215</v>
      </c>
      <c r="F478" s="7">
        <f t="shared" si="6"/>
        <v>2</v>
      </c>
      <c r="G478" s="16">
        <f>+(TblDetalle[[#This Row],[MontoBrutoProm_Mes]]/TblDetalle[[#This Row],[UnidadesProm_Mes]])*TblDetalle[[#This Row],[Unidades]]</f>
        <v>2.247191011235955E-2</v>
      </c>
      <c r="H478" s="8">
        <v>2.67</v>
      </c>
      <c r="I478" s="9">
        <v>0.03</v>
      </c>
      <c r="J478">
        <f>+TblDetalle[[#This Row],[Monto A Rebajhar]]/TblDetalle[[#This Row],[MontoBrutoProm_Mes]]</f>
        <v>0.74906367041198507</v>
      </c>
    </row>
    <row r="479" spans="1:10" x14ac:dyDescent="0.3">
      <c r="A479" s="7">
        <v>84</v>
      </c>
      <c r="B479" s="7" t="s">
        <v>356</v>
      </c>
      <c r="C479" s="7">
        <v>621006</v>
      </c>
      <c r="D479" s="7" t="s">
        <v>288</v>
      </c>
      <c r="E479" s="7" t="s">
        <v>239</v>
      </c>
      <c r="F479" s="7">
        <f t="shared" si="6"/>
        <v>3</v>
      </c>
      <c r="G479" s="16">
        <f>+(TblDetalle[[#This Row],[MontoBrutoProm_Mes]]/TblDetalle[[#This Row],[UnidadesProm_Mes]])*TblDetalle[[#This Row],[Unidades]]</f>
        <v>559.5</v>
      </c>
      <c r="H479" s="8">
        <v>4</v>
      </c>
      <c r="I479" s="9">
        <v>746</v>
      </c>
      <c r="J479">
        <f>+TblDetalle[[#This Row],[Monto A Rebajhar]]/TblDetalle[[#This Row],[MontoBrutoProm_Mes]]</f>
        <v>0.75</v>
      </c>
    </row>
    <row r="480" spans="1:10" x14ac:dyDescent="0.3">
      <c r="A480" s="7">
        <v>84</v>
      </c>
      <c r="B480" s="7" t="s">
        <v>356</v>
      </c>
      <c r="C480" s="7">
        <v>621008</v>
      </c>
      <c r="D480" s="7" t="s">
        <v>289</v>
      </c>
      <c r="E480" s="7" t="s">
        <v>239</v>
      </c>
      <c r="F480" s="7">
        <f t="shared" si="6"/>
        <v>9</v>
      </c>
      <c r="G480" s="16">
        <f>+(TblDetalle[[#This Row],[MontoBrutoProm_Mes]]/TblDetalle[[#This Row],[UnidadesProm_Mes]])*TblDetalle[[#This Row],[Unidades]]</f>
        <v>1678.5</v>
      </c>
      <c r="H480" s="8">
        <v>12</v>
      </c>
      <c r="I480" s="9">
        <v>2238</v>
      </c>
      <c r="J480">
        <f>+TblDetalle[[#This Row],[Monto A Rebajhar]]/TblDetalle[[#This Row],[MontoBrutoProm_Mes]]</f>
        <v>0.75</v>
      </c>
    </row>
    <row r="481" spans="1:10" x14ac:dyDescent="0.3">
      <c r="A481" s="7">
        <v>84</v>
      </c>
      <c r="B481" s="7" t="s">
        <v>356</v>
      </c>
      <c r="C481" s="7">
        <v>621043</v>
      </c>
      <c r="D481" s="7" t="s">
        <v>257</v>
      </c>
      <c r="E481" s="7" t="s">
        <v>239</v>
      </c>
      <c r="F481" s="7">
        <f t="shared" si="6"/>
        <v>3</v>
      </c>
      <c r="G481" s="16">
        <f>+(TblDetalle[[#This Row],[MontoBrutoProm_Mes]]/TblDetalle[[#This Row],[UnidadesProm_Mes]])*TblDetalle[[#This Row],[Unidades]]</f>
        <v>0</v>
      </c>
      <c r="H481" s="8">
        <v>4</v>
      </c>
      <c r="I481" s="9">
        <v>0</v>
      </c>
      <c r="J481" t="e">
        <f>+TblDetalle[[#This Row],[Monto A Rebajhar]]/TblDetalle[[#This Row],[MontoBrutoProm_Mes]]</f>
        <v>#DIV/0!</v>
      </c>
    </row>
    <row r="482" spans="1:10" x14ac:dyDescent="0.3">
      <c r="A482" s="7">
        <v>84</v>
      </c>
      <c r="B482" s="7" t="s">
        <v>356</v>
      </c>
      <c r="C482" s="7">
        <v>621045</v>
      </c>
      <c r="D482" s="7" t="s">
        <v>238</v>
      </c>
      <c r="E482" s="7" t="s">
        <v>239</v>
      </c>
      <c r="F482" s="7">
        <f t="shared" si="6"/>
        <v>17</v>
      </c>
      <c r="G482" s="16">
        <f>+(TblDetalle[[#This Row],[MontoBrutoProm_Mes]]/TblDetalle[[#This Row],[UnidadesProm_Mes]])*TblDetalle[[#This Row],[Unidades]]</f>
        <v>2813.7318181818187</v>
      </c>
      <c r="H482" s="8">
        <v>22</v>
      </c>
      <c r="I482" s="9">
        <v>3641.3</v>
      </c>
      <c r="J482">
        <f>+TblDetalle[[#This Row],[Monto A Rebajhar]]/TblDetalle[[#This Row],[MontoBrutoProm_Mes]]</f>
        <v>0.77272727272727282</v>
      </c>
    </row>
    <row r="483" spans="1:10" x14ac:dyDescent="0.3">
      <c r="A483" s="7">
        <v>84</v>
      </c>
      <c r="B483" s="7" t="s">
        <v>356</v>
      </c>
      <c r="C483" s="7">
        <v>800088</v>
      </c>
      <c r="D483" s="7" t="s">
        <v>240</v>
      </c>
      <c r="E483" s="7" t="s">
        <v>215</v>
      </c>
      <c r="F483" s="7">
        <f t="shared" si="6"/>
        <v>41</v>
      </c>
      <c r="G483" s="16">
        <f>+(TblDetalle[[#This Row],[MontoBrutoProm_Mes]]/TblDetalle[[#This Row],[UnidadesProm_Mes]])*TblDetalle[[#This Row],[Unidades]]</f>
        <v>14966.72982388233</v>
      </c>
      <c r="H483" s="8">
        <v>51.67</v>
      </c>
      <c r="I483" s="9">
        <v>18861.73</v>
      </c>
      <c r="J483">
        <f>+TblDetalle[[#This Row],[Monto A Rebajhar]]/TblDetalle[[#This Row],[MontoBrutoProm_Mes]]</f>
        <v>0.79349719372943683</v>
      </c>
    </row>
    <row r="484" spans="1:10" x14ac:dyDescent="0.3">
      <c r="A484" s="7">
        <v>84</v>
      </c>
      <c r="B484" s="7" t="s">
        <v>356</v>
      </c>
      <c r="C484" s="7">
        <v>800089</v>
      </c>
      <c r="D484" s="7" t="s">
        <v>241</v>
      </c>
      <c r="E484" s="7" t="s">
        <v>215</v>
      </c>
      <c r="F484" s="7">
        <f t="shared" si="6"/>
        <v>47</v>
      </c>
      <c r="G484" s="16">
        <f>+(TblDetalle[[#This Row],[MontoBrutoProm_Mes]]/TblDetalle[[#This Row],[UnidadesProm_Mes]])*TblDetalle[[#This Row],[Unidades]]</f>
        <v>17145.265423728812</v>
      </c>
      <c r="H484" s="8">
        <v>59</v>
      </c>
      <c r="I484" s="9">
        <v>21522.78</v>
      </c>
      <c r="J484">
        <f>+TblDetalle[[#This Row],[Monto A Rebajhar]]/TblDetalle[[#This Row],[MontoBrutoProm_Mes]]</f>
        <v>0.79661016949152541</v>
      </c>
    </row>
    <row r="485" spans="1:10" x14ac:dyDescent="0.3">
      <c r="A485" s="7">
        <v>84</v>
      </c>
      <c r="B485" s="7" t="s">
        <v>356</v>
      </c>
      <c r="C485" s="7">
        <v>800783</v>
      </c>
      <c r="D485" s="7" t="s">
        <v>258</v>
      </c>
      <c r="E485" s="7" t="s">
        <v>243</v>
      </c>
      <c r="F485" s="7">
        <f t="shared" si="6"/>
        <v>0</v>
      </c>
      <c r="G485" s="16">
        <f>+(TblDetalle[[#This Row],[MontoBrutoProm_Mes]]/TblDetalle[[#This Row],[UnidadesProm_Mes]])*TblDetalle[[#This Row],[Unidades]]</f>
        <v>0</v>
      </c>
      <c r="H485" s="8">
        <v>0.33</v>
      </c>
      <c r="I485" s="9">
        <v>0.02</v>
      </c>
      <c r="J485">
        <f>+TblDetalle[[#This Row],[Monto A Rebajhar]]/TblDetalle[[#This Row],[MontoBrutoProm_Mes]]</f>
        <v>0</v>
      </c>
    </row>
    <row r="486" spans="1:10" x14ac:dyDescent="0.3">
      <c r="A486" s="7">
        <v>84</v>
      </c>
      <c r="B486" s="7" t="s">
        <v>356</v>
      </c>
      <c r="C486" s="7">
        <v>800791</v>
      </c>
      <c r="D486" s="7" t="s">
        <v>259</v>
      </c>
      <c r="E486" s="7" t="s">
        <v>243</v>
      </c>
      <c r="F486" s="7">
        <f t="shared" si="6"/>
        <v>4</v>
      </c>
      <c r="G486" s="16">
        <f>+(TblDetalle[[#This Row],[MontoBrutoProm_Mes]]/TblDetalle[[#This Row],[UnidadesProm_Mes]])*TblDetalle[[#This Row],[Unidades]]</f>
        <v>618.76800000000003</v>
      </c>
      <c r="H486" s="8">
        <v>5</v>
      </c>
      <c r="I486" s="9">
        <v>773.46</v>
      </c>
      <c r="J486">
        <f>+TblDetalle[[#This Row],[Monto A Rebajhar]]/TblDetalle[[#This Row],[MontoBrutoProm_Mes]]</f>
        <v>0.8</v>
      </c>
    </row>
    <row r="487" spans="1:10" x14ac:dyDescent="0.3">
      <c r="A487" s="7">
        <v>84</v>
      </c>
      <c r="B487" s="7" t="s">
        <v>356</v>
      </c>
      <c r="C487" s="7">
        <v>800792</v>
      </c>
      <c r="D487" s="7" t="s">
        <v>242</v>
      </c>
      <c r="E487" s="7" t="s">
        <v>243</v>
      </c>
      <c r="F487" s="7">
        <f t="shared" si="6"/>
        <v>1</v>
      </c>
      <c r="G487" s="16">
        <f>+(TblDetalle[[#This Row],[MontoBrutoProm_Mes]]/TblDetalle[[#This Row],[UnidadesProm_Mes]])*TblDetalle[[#This Row],[Unidades]]</f>
        <v>159.11976047904193</v>
      </c>
      <c r="H487" s="8">
        <v>1.67</v>
      </c>
      <c r="I487" s="9">
        <v>265.73</v>
      </c>
      <c r="J487">
        <f>+TblDetalle[[#This Row],[Monto A Rebajhar]]/TblDetalle[[#This Row],[MontoBrutoProm_Mes]]</f>
        <v>0.5988023952095809</v>
      </c>
    </row>
    <row r="488" spans="1:10" x14ac:dyDescent="0.3">
      <c r="A488" s="7">
        <v>84</v>
      </c>
      <c r="B488" s="7" t="s">
        <v>356</v>
      </c>
      <c r="C488" s="7">
        <v>800793</v>
      </c>
      <c r="D488" s="7" t="s">
        <v>260</v>
      </c>
      <c r="E488" s="7" t="s">
        <v>243</v>
      </c>
      <c r="F488" s="7">
        <f t="shared" si="6"/>
        <v>3</v>
      </c>
      <c r="G488" s="16">
        <f>+(TblDetalle[[#This Row],[MontoBrutoProm_Mes]]/TblDetalle[[#This Row],[UnidadesProm_Mes]])*TblDetalle[[#This Row],[Unidades]]</f>
        <v>473.17499999999995</v>
      </c>
      <c r="H488" s="8">
        <v>4</v>
      </c>
      <c r="I488" s="9">
        <v>630.9</v>
      </c>
      <c r="J488">
        <f>+TblDetalle[[#This Row],[Monto A Rebajhar]]/TblDetalle[[#This Row],[MontoBrutoProm_Mes]]</f>
        <v>0.75</v>
      </c>
    </row>
    <row r="489" spans="1:10" x14ac:dyDescent="0.3">
      <c r="A489" s="7">
        <v>84</v>
      </c>
      <c r="B489" s="7" t="s">
        <v>356</v>
      </c>
      <c r="C489" s="7">
        <v>910103</v>
      </c>
      <c r="D489" s="7" t="s">
        <v>295</v>
      </c>
      <c r="E489" s="7" t="s">
        <v>296</v>
      </c>
      <c r="F489" s="7">
        <f t="shared" si="6"/>
        <v>6</v>
      </c>
      <c r="G489" s="16">
        <f>+(TblDetalle[[#This Row],[MontoBrutoProm_Mes]]/TblDetalle[[#This Row],[UnidadesProm_Mes]])*TblDetalle[[#This Row],[Unidades]]</f>
        <v>169.38</v>
      </c>
      <c r="H489" s="8">
        <v>8</v>
      </c>
      <c r="I489" s="9">
        <v>225.84</v>
      </c>
      <c r="J489">
        <f>+TblDetalle[[#This Row],[Monto A Rebajhar]]/TblDetalle[[#This Row],[MontoBrutoProm_Mes]]</f>
        <v>0.75</v>
      </c>
    </row>
    <row r="490" spans="1:10" x14ac:dyDescent="0.3">
      <c r="A490" s="7">
        <v>84</v>
      </c>
      <c r="B490" s="7" t="s">
        <v>356</v>
      </c>
      <c r="C490" s="7">
        <v>910104</v>
      </c>
      <c r="D490" s="7" t="s">
        <v>309</v>
      </c>
      <c r="E490" s="7" t="s">
        <v>296</v>
      </c>
      <c r="F490" s="7">
        <f t="shared" si="6"/>
        <v>6</v>
      </c>
      <c r="G490" s="16">
        <f>+(TblDetalle[[#This Row],[MontoBrutoProm_Mes]]/TblDetalle[[#This Row],[UnidadesProm_Mes]])*TblDetalle[[#This Row],[Unidades]]</f>
        <v>169.38</v>
      </c>
      <c r="H490" s="8">
        <v>8</v>
      </c>
      <c r="I490" s="9">
        <v>225.84</v>
      </c>
      <c r="J490">
        <f>+TblDetalle[[#This Row],[Monto A Rebajhar]]/TblDetalle[[#This Row],[MontoBrutoProm_Mes]]</f>
        <v>0.75</v>
      </c>
    </row>
    <row r="491" spans="1:10" x14ac:dyDescent="0.3">
      <c r="A491" s="7">
        <v>84</v>
      </c>
      <c r="B491" s="7" t="s">
        <v>356</v>
      </c>
      <c r="C491" s="7">
        <v>910123</v>
      </c>
      <c r="D491" s="7" t="s">
        <v>360</v>
      </c>
      <c r="E491" s="7" t="s">
        <v>296</v>
      </c>
      <c r="F491" s="7">
        <f t="shared" si="6"/>
        <v>6</v>
      </c>
      <c r="G491" s="16">
        <f>+(TblDetalle[[#This Row],[MontoBrutoProm_Mes]]/TblDetalle[[#This Row],[UnidadesProm_Mes]])*TblDetalle[[#This Row],[Unidades]]</f>
        <v>169.38</v>
      </c>
      <c r="H491" s="8">
        <v>8</v>
      </c>
      <c r="I491" s="9">
        <v>225.84</v>
      </c>
      <c r="J491">
        <f>+TblDetalle[[#This Row],[Monto A Rebajhar]]/TblDetalle[[#This Row],[MontoBrutoProm_Mes]]</f>
        <v>0.75</v>
      </c>
    </row>
    <row r="492" spans="1:10" x14ac:dyDescent="0.3">
      <c r="A492" s="7">
        <v>84</v>
      </c>
      <c r="B492" s="7" t="s">
        <v>356</v>
      </c>
      <c r="C492" s="7">
        <v>924109</v>
      </c>
      <c r="D492" s="7" t="s">
        <v>352</v>
      </c>
      <c r="E492" s="7" t="s">
        <v>215</v>
      </c>
      <c r="F492" s="7">
        <f t="shared" si="6"/>
        <v>0</v>
      </c>
      <c r="G492" s="16">
        <f>+(TblDetalle[[#This Row],[MontoBrutoProm_Mes]]/TblDetalle[[#This Row],[UnidadesProm_Mes]])*TblDetalle[[#This Row],[Unidades]]</f>
        <v>0</v>
      </c>
      <c r="H492" s="8">
        <v>0.67</v>
      </c>
      <c r="I492" s="9">
        <v>248.59</v>
      </c>
      <c r="J492">
        <f>+TblDetalle[[#This Row],[Monto A Rebajhar]]/TblDetalle[[#This Row],[MontoBrutoProm_Mes]]</f>
        <v>0</v>
      </c>
    </row>
    <row r="493" spans="1:10" x14ac:dyDescent="0.3">
      <c r="A493" s="7">
        <v>84</v>
      </c>
      <c r="B493" s="7" t="s">
        <v>356</v>
      </c>
      <c r="C493" s="7">
        <v>925050</v>
      </c>
      <c r="D493" s="7" t="s">
        <v>261</v>
      </c>
      <c r="E493" s="7" t="s">
        <v>220</v>
      </c>
      <c r="F493" s="7">
        <f t="shared" si="6"/>
        <v>15</v>
      </c>
      <c r="G493" s="16">
        <f>+(TblDetalle[[#This Row],[MontoBrutoProm_Mes]]/TblDetalle[[#This Row],[UnidadesProm_Mes]])*TblDetalle[[#This Row],[Unidades]]</f>
        <v>1101.75</v>
      </c>
      <c r="H493" s="8">
        <v>19</v>
      </c>
      <c r="I493" s="9">
        <v>1395.55</v>
      </c>
      <c r="J493">
        <f>+TblDetalle[[#This Row],[Monto A Rebajhar]]/TblDetalle[[#This Row],[MontoBrutoProm_Mes]]</f>
        <v>0.78947368421052633</v>
      </c>
    </row>
    <row r="494" spans="1:10" x14ac:dyDescent="0.3">
      <c r="A494" s="7">
        <v>84</v>
      </c>
      <c r="B494" s="7" t="s">
        <v>356</v>
      </c>
      <c r="C494" s="7">
        <v>925059</v>
      </c>
      <c r="D494" s="7" t="s">
        <v>262</v>
      </c>
      <c r="E494" s="7" t="s">
        <v>220</v>
      </c>
      <c r="F494" s="7">
        <f t="shared" si="6"/>
        <v>1</v>
      </c>
      <c r="G494" s="16">
        <f>+(TblDetalle[[#This Row],[MontoBrutoProm_Mes]]/TblDetalle[[#This Row],[UnidadesProm_Mes]])*TblDetalle[[#This Row],[Unidades]]</f>
        <v>7.5187969924812026E-3</v>
      </c>
      <c r="H494" s="8">
        <v>1.33</v>
      </c>
      <c r="I494" s="9">
        <v>0.01</v>
      </c>
      <c r="J494">
        <f>+TblDetalle[[#This Row],[Monto A Rebajhar]]/TblDetalle[[#This Row],[MontoBrutoProm_Mes]]</f>
        <v>0.75187969924812026</v>
      </c>
    </row>
    <row r="495" spans="1:10" x14ac:dyDescent="0.3">
      <c r="A495" s="7">
        <v>84</v>
      </c>
      <c r="B495" s="7" t="s">
        <v>356</v>
      </c>
      <c r="C495" s="7">
        <v>925064</v>
      </c>
      <c r="D495" s="7" t="s">
        <v>263</v>
      </c>
      <c r="E495" s="7" t="s">
        <v>220</v>
      </c>
      <c r="F495" s="7">
        <f t="shared" si="6"/>
        <v>16</v>
      </c>
      <c r="G495" s="16">
        <f>+(TblDetalle[[#This Row],[MontoBrutoProm_Mes]]/TblDetalle[[#This Row],[UnidadesProm_Mes]])*TblDetalle[[#This Row],[Unidades]]</f>
        <v>530.71238095238095</v>
      </c>
      <c r="H495" s="8">
        <v>21</v>
      </c>
      <c r="I495" s="9">
        <v>696.56</v>
      </c>
      <c r="J495">
        <f>+TblDetalle[[#This Row],[Monto A Rebajhar]]/TblDetalle[[#This Row],[MontoBrutoProm_Mes]]</f>
        <v>0.76190476190476197</v>
      </c>
    </row>
    <row r="496" spans="1:10" x14ac:dyDescent="0.3">
      <c r="A496" s="7">
        <v>84</v>
      </c>
      <c r="B496" s="7" t="s">
        <v>356</v>
      </c>
      <c r="C496" s="7">
        <v>925076</v>
      </c>
      <c r="D496" s="7" t="s">
        <v>278</v>
      </c>
      <c r="E496" s="7" t="s">
        <v>220</v>
      </c>
      <c r="F496" s="7">
        <f t="shared" si="6"/>
        <v>16</v>
      </c>
      <c r="G496" s="16">
        <f>+(TblDetalle[[#This Row],[MontoBrutoProm_Mes]]/TblDetalle[[#This Row],[UnidadesProm_Mes]])*TblDetalle[[#This Row],[Unidades]]</f>
        <v>668</v>
      </c>
      <c r="H496" s="8">
        <v>20</v>
      </c>
      <c r="I496" s="9">
        <v>835</v>
      </c>
      <c r="J496">
        <f>+TblDetalle[[#This Row],[Monto A Rebajhar]]/TblDetalle[[#This Row],[MontoBrutoProm_Mes]]</f>
        <v>0.8</v>
      </c>
    </row>
    <row r="497" spans="1:10" x14ac:dyDescent="0.3">
      <c r="A497" s="7">
        <v>84</v>
      </c>
      <c r="B497" s="7" t="s">
        <v>356</v>
      </c>
      <c r="C497" s="7">
        <v>925083</v>
      </c>
      <c r="D497" s="7" t="s">
        <v>346</v>
      </c>
      <c r="E497" s="7" t="s">
        <v>220</v>
      </c>
      <c r="F497" s="7">
        <f t="shared" si="6"/>
        <v>6</v>
      </c>
      <c r="G497" s="16">
        <f>+(TblDetalle[[#This Row],[MontoBrutoProm_Mes]]/TblDetalle[[#This Row],[UnidadesProm_Mes]])*TblDetalle[[#This Row],[Unidades]]</f>
        <v>499.98</v>
      </c>
      <c r="H497" s="8">
        <v>8</v>
      </c>
      <c r="I497" s="9">
        <v>666.64</v>
      </c>
      <c r="J497">
        <f>+TblDetalle[[#This Row],[Monto A Rebajhar]]/TblDetalle[[#This Row],[MontoBrutoProm_Mes]]</f>
        <v>0.75</v>
      </c>
    </row>
    <row r="498" spans="1:10" x14ac:dyDescent="0.3">
      <c r="A498" s="7">
        <v>84</v>
      </c>
      <c r="B498" s="7" t="s">
        <v>356</v>
      </c>
      <c r="C498" s="7">
        <v>925094</v>
      </c>
      <c r="D498" s="7" t="s">
        <v>298</v>
      </c>
      <c r="E498" s="7" t="s">
        <v>220</v>
      </c>
      <c r="F498" s="7">
        <f t="shared" si="6"/>
        <v>12</v>
      </c>
      <c r="G498" s="16">
        <f>+(TblDetalle[[#This Row],[MontoBrutoProm_Mes]]/TblDetalle[[#This Row],[UnidadesProm_Mes]])*TblDetalle[[#This Row],[Unidades]]</f>
        <v>552.96</v>
      </c>
      <c r="H498" s="8">
        <v>16</v>
      </c>
      <c r="I498" s="9">
        <v>737.28</v>
      </c>
      <c r="J498">
        <f>+TblDetalle[[#This Row],[Monto A Rebajhar]]/TblDetalle[[#This Row],[MontoBrutoProm_Mes]]</f>
        <v>0.75000000000000011</v>
      </c>
    </row>
    <row r="499" spans="1:10" x14ac:dyDescent="0.3">
      <c r="A499" s="7">
        <v>84</v>
      </c>
      <c r="B499" s="7" t="s">
        <v>356</v>
      </c>
      <c r="C499" s="7">
        <v>925095</v>
      </c>
      <c r="D499" s="7" t="s">
        <v>280</v>
      </c>
      <c r="E499" s="7" t="s">
        <v>220</v>
      </c>
      <c r="F499" s="7">
        <f t="shared" si="6"/>
        <v>38</v>
      </c>
      <c r="G499" s="16">
        <f>+(TblDetalle[[#This Row],[MontoBrutoProm_Mes]]/TblDetalle[[#This Row],[UnidadesProm_Mes]])*TblDetalle[[#This Row],[Unidades]]</f>
        <v>1751.0400000000002</v>
      </c>
      <c r="H499" s="8">
        <v>48</v>
      </c>
      <c r="I499" s="9">
        <v>2211.84</v>
      </c>
      <c r="J499">
        <f>+TblDetalle[[#This Row],[Monto A Rebajhar]]/TblDetalle[[#This Row],[MontoBrutoProm_Mes]]</f>
        <v>0.79166666666666674</v>
      </c>
    </row>
    <row r="500" spans="1:10" x14ac:dyDescent="0.3">
      <c r="A500" s="7">
        <v>84</v>
      </c>
      <c r="B500" s="7" t="s">
        <v>356</v>
      </c>
      <c r="C500" s="7">
        <v>930012</v>
      </c>
      <c r="D500" s="7" t="s">
        <v>264</v>
      </c>
      <c r="E500" s="7" t="s">
        <v>243</v>
      </c>
      <c r="F500" s="7">
        <f t="shared" si="6"/>
        <v>14</v>
      </c>
      <c r="G500" s="16">
        <f>+(TblDetalle[[#This Row],[MontoBrutoProm_Mes]]/TblDetalle[[#This Row],[UnidadesProm_Mes]])*TblDetalle[[#This Row],[Unidades]]</f>
        <v>1275.2599999999998</v>
      </c>
      <c r="H500" s="8">
        <v>18</v>
      </c>
      <c r="I500" s="9">
        <v>1639.62</v>
      </c>
      <c r="J500">
        <f>+TblDetalle[[#This Row],[Monto A Rebajhar]]/TblDetalle[[#This Row],[MontoBrutoProm_Mes]]</f>
        <v>0.77777777777777768</v>
      </c>
    </row>
    <row r="501" spans="1:10" x14ac:dyDescent="0.3">
      <c r="A501" s="7">
        <v>84</v>
      </c>
      <c r="B501" s="7" t="s">
        <v>356</v>
      </c>
      <c r="C501" s="7">
        <v>930020</v>
      </c>
      <c r="D501" s="7" t="s">
        <v>299</v>
      </c>
      <c r="E501" s="7" t="s">
        <v>243</v>
      </c>
      <c r="F501" s="7">
        <f t="shared" si="6"/>
        <v>2</v>
      </c>
      <c r="G501" s="16">
        <f>+(TblDetalle[[#This Row],[MontoBrutoProm_Mes]]/TblDetalle[[#This Row],[UnidadesProm_Mes]])*TblDetalle[[#This Row],[Unidades]]</f>
        <v>182.17999999999998</v>
      </c>
      <c r="H501" s="8">
        <v>3</v>
      </c>
      <c r="I501" s="9">
        <v>273.27</v>
      </c>
      <c r="J501">
        <f>+TblDetalle[[#This Row],[Monto A Rebajhar]]/TblDetalle[[#This Row],[MontoBrutoProm_Mes]]</f>
        <v>0.66666666666666663</v>
      </c>
    </row>
    <row r="502" spans="1:10" x14ac:dyDescent="0.3">
      <c r="A502" s="7">
        <v>84</v>
      </c>
      <c r="B502" s="7" t="s">
        <v>356</v>
      </c>
      <c r="C502" s="7">
        <v>930021</v>
      </c>
      <c r="D502" s="7" t="s">
        <v>300</v>
      </c>
      <c r="E502" s="7" t="s">
        <v>243</v>
      </c>
      <c r="F502" s="7">
        <f t="shared" ref="F502:F565" si="7">+ROUNDDOWN(H502*0.8,0)</f>
        <v>2</v>
      </c>
      <c r="G502" s="16">
        <f>+(TblDetalle[[#This Row],[MontoBrutoProm_Mes]]/TblDetalle[[#This Row],[UnidadesProm_Mes]])*TblDetalle[[#This Row],[Unidades]]</f>
        <v>182.17999999999998</v>
      </c>
      <c r="H502" s="8">
        <v>3</v>
      </c>
      <c r="I502" s="9">
        <v>273.27</v>
      </c>
      <c r="J502">
        <f>+TblDetalle[[#This Row],[Monto A Rebajhar]]/TblDetalle[[#This Row],[MontoBrutoProm_Mes]]</f>
        <v>0.66666666666666663</v>
      </c>
    </row>
    <row r="503" spans="1:10" x14ac:dyDescent="0.3">
      <c r="A503" s="7">
        <v>84</v>
      </c>
      <c r="B503" s="7" t="s">
        <v>356</v>
      </c>
      <c r="C503" s="7">
        <v>930022</v>
      </c>
      <c r="D503" s="7" t="s">
        <v>265</v>
      </c>
      <c r="E503" s="7" t="s">
        <v>243</v>
      </c>
      <c r="F503" s="7">
        <f t="shared" si="7"/>
        <v>11</v>
      </c>
      <c r="G503" s="16">
        <f>+(TblDetalle[[#This Row],[MontoBrutoProm_Mes]]/TblDetalle[[#This Row],[UnidadesProm_Mes]])*TblDetalle[[#This Row],[Unidades]]</f>
        <v>1002.2205163991625</v>
      </c>
      <c r="H503" s="8">
        <v>14.33</v>
      </c>
      <c r="I503" s="9">
        <v>1305.6199999999999</v>
      </c>
      <c r="J503">
        <f>+TblDetalle[[#This Row],[Monto A Rebajhar]]/TblDetalle[[#This Row],[MontoBrutoProm_Mes]]</f>
        <v>0.76762037683182138</v>
      </c>
    </row>
    <row r="504" spans="1:10" x14ac:dyDescent="0.3">
      <c r="A504" s="7">
        <v>84</v>
      </c>
      <c r="B504" s="7" t="s">
        <v>356</v>
      </c>
      <c r="C504" s="7">
        <v>930025</v>
      </c>
      <c r="D504" s="7" t="s">
        <v>244</v>
      </c>
      <c r="E504" s="7" t="s">
        <v>243</v>
      </c>
      <c r="F504" s="7">
        <f t="shared" si="7"/>
        <v>5</v>
      </c>
      <c r="G504" s="16">
        <f>+(TblDetalle[[#This Row],[MontoBrutoProm_Mes]]/TblDetalle[[#This Row],[UnidadesProm_Mes]])*TblDetalle[[#This Row],[Unidades]]</f>
        <v>291.19372442019096</v>
      </c>
      <c r="H504" s="8">
        <v>7.33</v>
      </c>
      <c r="I504" s="9">
        <v>426.89</v>
      </c>
      <c r="J504">
        <f>+TblDetalle[[#This Row],[Monto A Rebajhar]]/TblDetalle[[#This Row],[MontoBrutoProm_Mes]]</f>
        <v>0.68212824010914042</v>
      </c>
    </row>
    <row r="505" spans="1:10" x14ac:dyDescent="0.3">
      <c r="A505" s="7">
        <v>84</v>
      </c>
      <c r="B505" s="7" t="s">
        <v>356</v>
      </c>
      <c r="C505" s="7">
        <v>930033</v>
      </c>
      <c r="D505" s="7" t="s">
        <v>353</v>
      </c>
      <c r="E505" s="7" t="s">
        <v>243</v>
      </c>
      <c r="F505" s="7">
        <f t="shared" si="7"/>
        <v>1</v>
      </c>
      <c r="G505" s="16">
        <f>+(TblDetalle[[#This Row],[MontoBrutoProm_Mes]]/TblDetalle[[#This Row],[UnidadesProm_Mes]])*TblDetalle[[#This Row],[Unidades]]</f>
        <v>80.940119760479035</v>
      </c>
      <c r="H505" s="8">
        <v>1.67</v>
      </c>
      <c r="I505" s="9">
        <v>135.16999999999999</v>
      </c>
      <c r="J505">
        <f>+TblDetalle[[#This Row],[Monto A Rebajhar]]/TblDetalle[[#This Row],[MontoBrutoProm_Mes]]</f>
        <v>0.5988023952095809</v>
      </c>
    </row>
    <row r="506" spans="1:10" x14ac:dyDescent="0.3">
      <c r="A506" s="7">
        <v>84</v>
      </c>
      <c r="B506" s="7" t="s">
        <v>356</v>
      </c>
      <c r="C506" s="7">
        <v>930112</v>
      </c>
      <c r="D506" s="7" t="s">
        <v>310</v>
      </c>
      <c r="E506" s="7" t="s">
        <v>243</v>
      </c>
      <c r="F506" s="7">
        <f t="shared" si="7"/>
        <v>0</v>
      </c>
      <c r="G506" s="16">
        <f>+(TblDetalle[[#This Row],[MontoBrutoProm_Mes]]/TblDetalle[[#This Row],[UnidadesProm_Mes]])*TblDetalle[[#This Row],[Unidades]]</f>
        <v>0</v>
      </c>
      <c r="H506" s="8">
        <v>0.33</v>
      </c>
      <c r="I506" s="9">
        <v>51.36</v>
      </c>
      <c r="J506">
        <f>+TblDetalle[[#This Row],[Monto A Rebajhar]]/TblDetalle[[#This Row],[MontoBrutoProm_Mes]]</f>
        <v>0</v>
      </c>
    </row>
    <row r="507" spans="1:10" x14ac:dyDescent="0.3">
      <c r="A507" s="7">
        <v>84</v>
      </c>
      <c r="B507" s="7" t="s">
        <v>356</v>
      </c>
      <c r="C507" s="7">
        <v>930137</v>
      </c>
      <c r="D507" s="7" t="s">
        <v>311</v>
      </c>
      <c r="E507" s="7" t="s">
        <v>243</v>
      </c>
      <c r="F507" s="7">
        <f t="shared" si="7"/>
        <v>12</v>
      </c>
      <c r="G507" s="16">
        <f>+(TblDetalle[[#This Row],[MontoBrutoProm_Mes]]/TblDetalle[[#This Row],[UnidadesProm_Mes]])*TblDetalle[[#This Row],[Unidades]]</f>
        <v>343.32</v>
      </c>
      <c r="H507" s="8">
        <v>16</v>
      </c>
      <c r="I507" s="9">
        <v>457.76</v>
      </c>
      <c r="J507">
        <f>+TblDetalle[[#This Row],[Monto A Rebajhar]]/TblDetalle[[#This Row],[MontoBrutoProm_Mes]]</f>
        <v>0.75</v>
      </c>
    </row>
    <row r="508" spans="1:10" x14ac:dyDescent="0.3">
      <c r="A508" s="7">
        <v>84</v>
      </c>
      <c r="B508" s="7" t="s">
        <v>356</v>
      </c>
      <c r="C508" s="7">
        <v>930138</v>
      </c>
      <c r="D508" s="7" t="s">
        <v>312</v>
      </c>
      <c r="E508" s="7" t="s">
        <v>243</v>
      </c>
      <c r="F508" s="7">
        <f t="shared" si="7"/>
        <v>3</v>
      </c>
      <c r="G508" s="16">
        <f>+(TblDetalle[[#This Row],[MontoBrutoProm_Mes]]/TblDetalle[[#This Row],[UnidadesProm_Mes]])*TblDetalle[[#This Row],[Unidades]]</f>
        <v>85.83</v>
      </c>
      <c r="H508" s="8">
        <v>4</v>
      </c>
      <c r="I508" s="9">
        <v>114.44</v>
      </c>
      <c r="J508">
        <f>+TblDetalle[[#This Row],[Monto A Rebajhar]]/TblDetalle[[#This Row],[MontoBrutoProm_Mes]]</f>
        <v>0.75</v>
      </c>
    </row>
    <row r="509" spans="1:10" x14ac:dyDescent="0.3">
      <c r="A509" s="7">
        <v>84</v>
      </c>
      <c r="B509" s="7" t="s">
        <v>356</v>
      </c>
      <c r="C509" s="7">
        <v>930140</v>
      </c>
      <c r="D509" s="7" t="s">
        <v>314</v>
      </c>
      <c r="E509" s="7" t="s">
        <v>243</v>
      </c>
      <c r="F509" s="7">
        <f t="shared" si="7"/>
        <v>3</v>
      </c>
      <c r="G509" s="16">
        <f>+(TblDetalle[[#This Row],[MontoBrutoProm_Mes]]/TblDetalle[[#This Row],[UnidadesProm_Mes]])*TblDetalle[[#This Row],[Unidades]]</f>
        <v>85.83</v>
      </c>
      <c r="H509" s="8">
        <v>4</v>
      </c>
      <c r="I509" s="9">
        <v>114.44</v>
      </c>
      <c r="J509">
        <f>+TblDetalle[[#This Row],[Monto A Rebajhar]]/TblDetalle[[#This Row],[MontoBrutoProm_Mes]]</f>
        <v>0.75</v>
      </c>
    </row>
    <row r="510" spans="1:10" x14ac:dyDescent="0.3">
      <c r="A510" s="7">
        <v>84</v>
      </c>
      <c r="B510" s="7" t="s">
        <v>356</v>
      </c>
      <c r="C510" s="7">
        <v>930145</v>
      </c>
      <c r="D510" s="7" t="s">
        <v>316</v>
      </c>
      <c r="E510" s="7" t="s">
        <v>243</v>
      </c>
      <c r="F510" s="7">
        <f t="shared" si="7"/>
        <v>9</v>
      </c>
      <c r="G510" s="16">
        <f>+(TblDetalle[[#This Row],[MontoBrutoProm_Mes]]/TblDetalle[[#This Row],[UnidadesProm_Mes]])*TblDetalle[[#This Row],[Unidades]]</f>
        <v>257.49</v>
      </c>
      <c r="H510" s="8">
        <v>12</v>
      </c>
      <c r="I510" s="9">
        <v>343.32</v>
      </c>
      <c r="J510">
        <f>+TblDetalle[[#This Row],[Monto A Rebajhar]]/TblDetalle[[#This Row],[MontoBrutoProm_Mes]]</f>
        <v>0.75</v>
      </c>
    </row>
    <row r="511" spans="1:10" x14ac:dyDescent="0.3">
      <c r="A511" s="7">
        <v>84</v>
      </c>
      <c r="B511" s="7" t="s">
        <v>356</v>
      </c>
      <c r="C511" s="7">
        <v>930153</v>
      </c>
      <c r="D511" s="7" t="s">
        <v>282</v>
      </c>
      <c r="E511" s="7" t="s">
        <v>243</v>
      </c>
      <c r="F511" s="7">
        <f t="shared" si="7"/>
        <v>0</v>
      </c>
      <c r="G511" s="16">
        <f>+(TblDetalle[[#This Row],[MontoBrutoProm_Mes]]/TblDetalle[[#This Row],[UnidadesProm_Mes]])*TblDetalle[[#This Row],[Unidades]]</f>
        <v>0</v>
      </c>
      <c r="H511" s="8">
        <v>0.67</v>
      </c>
      <c r="I511" s="9">
        <v>104.71</v>
      </c>
      <c r="J511">
        <f>+TblDetalle[[#This Row],[Monto A Rebajhar]]/TblDetalle[[#This Row],[MontoBrutoProm_Mes]]</f>
        <v>0</v>
      </c>
    </row>
    <row r="512" spans="1:10" x14ac:dyDescent="0.3">
      <c r="A512" s="7">
        <v>84</v>
      </c>
      <c r="B512" s="7" t="s">
        <v>356</v>
      </c>
      <c r="C512" s="7">
        <v>930154</v>
      </c>
      <c r="D512" s="7" t="s">
        <v>245</v>
      </c>
      <c r="E512" s="7" t="s">
        <v>243</v>
      </c>
      <c r="F512" s="7">
        <f t="shared" si="7"/>
        <v>0</v>
      </c>
      <c r="G512" s="16">
        <f>+(TblDetalle[[#This Row],[MontoBrutoProm_Mes]]/TblDetalle[[#This Row],[UnidadesProm_Mes]])*TblDetalle[[#This Row],[Unidades]]</f>
        <v>0</v>
      </c>
      <c r="H512" s="8">
        <v>0.33</v>
      </c>
      <c r="I512" s="9">
        <v>29.67</v>
      </c>
      <c r="J512">
        <f>+TblDetalle[[#This Row],[Monto A Rebajhar]]/TblDetalle[[#This Row],[MontoBrutoProm_Mes]]</f>
        <v>0</v>
      </c>
    </row>
    <row r="513" spans="1:10" x14ac:dyDescent="0.3">
      <c r="A513" s="7">
        <v>84</v>
      </c>
      <c r="B513" s="7" t="s">
        <v>356</v>
      </c>
      <c r="C513" s="7">
        <v>930178</v>
      </c>
      <c r="D513" s="7" t="s">
        <v>267</v>
      </c>
      <c r="E513" s="7" t="s">
        <v>243</v>
      </c>
      <c r="F513" s="7">
        <f t="shared" si="7"/>
        <v>2</v>
      </c>
      <c r="G513" s="16">
        <f>+(TblDetalle[[#This Row],[MontoBrutoProm_Mes]]/TblDetalle[[#This Row],[UnidadesProm_Mes]])*TblDetalle[[#This Row],[Unidades]]</f>
        <v>57.166212534059952</v>
      </c>
      <c r="H513" s="8">
        <v>3.67</v>
      </c>
      <c r="I513" s="9">
        <v>104.9</v>
      </c>
      <c r="J513">
        <f>+TblDetalle[[#This Row],[Monto A Rebajhar]]/TblDetalle[[#This Row],[MontoBrutoProm_Mes]]</f>
        <v>0.54495912806539515</v>
      </c>
    </row>
    <row r="514" spans="1:10" x14ac:dyDescent="0.3">
      <c r="A514" s="7">
        <v>84</v>
      </c>
      <c r="B514" s="7" t="s">
        <v>356</v>
      </c>
      <c r="C514" s="7">
        <v>930193</v>
      </c>
      <c r="D514" s="7" t="s">
        <v>268</v>
      </c>
      <c r="E514" s="7" t="s">
        <v>243</v>
      </c>
      <c r="F514" s="7">
        <f t="shared" si="7"/>
        <v>0</v>
      </c>
      <c r="G514" s="16">
        <f>+(TblDetalle[[#This Row],[MontoBrutoProm_Mes]]/TblDetalle[[#This Row],[UnidadesProm_Mes]])*TblDetalle[[#This Row],[Unidades]]</f>
        <v>0</v>
      </c>
      <c r="H514" s="8">
        <v>0.67</v>
      </c>
      <c r="I514" s="9">
        <v>0</v>
      </c>
      <c r="J514" t="e">
        <f>+TblDetalle[[#This Row],[Monto A Rebajhar]]/TblDetalle[[#This Row],[MontoBrutoProm_Mes]]</f>
        <v>#DIV/0!</v>
      </c>
    </row>
    <row r="515" spans="1:10" x14ac:dyDescent="0.3">
      <c r="A515" s="7">
        <v>84</v>
      </c>
      <c r="B515" s="7" t="s">
        <v>356</v>
      </c>
      <c r="C515" s="7">
        <v>960105</v>
      </c>
      <c r="D515" s="7" t="s">
        <v>305</v>
      </c>
      <c r="E515" s="7" t="s">
        <v>306</v>
      </c>
      <c r="F515" s="7">
        <f t="shared" si="7"/>
        <v>3</v>
      </c>
      <c r="G515" s="16">
        <f>+(TblDetalle[[#This Row],[MontoBrutoProm_Mes]]/TblDetalle[[#This Row],[UnidadesProm_Mes]])*TblDetalle[[#This Row],[Unidades]]</f>
        <v>597.29999999999995</v>
      </c>
      <c r="H515" s="8">
        <v>4</v>
      </c>
      <c r="I515" s="9">
        <v>796.4</v>
      </c>
      <c r="J515">
        <f>+TblDetalle[[#This Row],[Monto A Rebajhar]]/TblDetalle[[#This Row],[MontoBrutoProm_Mes]]</f>
        <v>0.75</v>
      </c>
    </row>
    <row r="516" spans="1:10" x14ac:dyDescent="0.3">
      <c r="A516" s="7">
        <v>84</v>
      </c>
      <c r="B516" s="7" t="s">
        <v>356</v>
      </c>
      <c r="C516" s="7">
        <v>982005</v>
      </c>
      <c r="D516" s="7" t="s">
        <v>285</v>
      </c>
      <c r="E516" s="7" t="s">
        <v>270</v>
      </c>
      <c r="F516" s="7">
        <f t="shared" si="7"/>
        <v>178</v>
      </c>
      <c r="G516" s="16">
        <f>+(TblDetalle[[#This Row],[MontoBrutoProm_Mes]]/TblDetalle[[#This Row],[UnidadesProm_Mes]])*TblDetalle[[#This Row],[Unidades]]</f>
        <v>27367.5</v>
      </c>
      <c r="H516" s="8">
        <v>223</v>
      </c>
      <c r="I516" s="9">
        <v>34286.25</v>
      </c>
      <c r="J516">
        <f>+TblDetalle[[#This Row],[Monto A Rebajhar]]/TblDetalle[[#This Row],[MontoBrutoProm_Mes]]</f>
        <v>0.7982062780269058</v>
      </c>
    </row>
    <row r="517" spans="1:10" x14ac:dyDescent="0.3">
      <c r="A517" s="7">
        <v>85</v>
      </c>
      <c r="B517" s="7" t="s">
        <v>361</v>
      </c>
      <c r="C517" s="7">
        <v>101005</v>
      </c>
      <c r="D517" s="7" t="s">
        <v>232</v>
      </c>
      <c r="E517" s="7" t="s">
        <v>215</v>
      </c>
      <c r="F517" s="7">
        <f t="shared" si="7"/>
        <v>11</v>
      </c>
      <c r="G517" s="16">
        <f>+(TblDetalle[[#This Row],[MontoBrutoProm_Mes]]/TblDetalle[[#This Row],[UnidadesProm_Mes]])*TblDetalle[[#This Row],[Unidades]]</f>
        <v>820.49</v>
      </c>
      <c r="H517" s="8">
        <v>14</v>
      </c>
      <c r="I517" s="9">
        <v>1044.26</v>
      </c>
      <c r="J517">
        <f>+TblDetalle[[#This Row],[Monto A Rebajhar]]/TblDetalle[[#This Row],[MontoBrutoProm_Mes]]</f>
        <v>0.7857142857142857</v>
      </c>
    </row>
    <row r="518" spans="1:10" x14ac:dyDescent="0.3">
      <c r="A518" s="7">
        <v>85</v>
      </c>
      <c r="B518" s="7" t="s">
        <v>361</v>
      </c>
      <c r="C518" s="7">
        <v>101026</v>
      </c>
      <c r="D518" s="7" t="s">
        <v>233</v>
      </c>
      <c r="E518" s="7" t="s">
        <v>215</v>
      </c>
      <c r="F518" s="7">
        <f t="shared" si="7"/>
        <v>28</v>
      </c>
      <c r="G518" s="16">
        <f>+(TblDetalle[[#This Row],[MontoBrutoProm_Mes]]/TblDetalle[[#This Row],[UnidadesProm_Mes]])*TblDetalle[[#This Row],[Unidades]]</f>
        <v>925.68000000000006</v>
      </c>
      <c r="H518" s="8">
        <v>36</v>
      </c>
      <c r="I518" s="9">
        <v>1190.1600000000001</v>
      </c>
      <c r="J518">
        <f>+TblDetalle[[#This Row],[Monto A Rebajhar]]/TblDetalle[[#This Row],[MontoBrutoProm_Mes]]</f>
        <v>0.77777777777777779</v>
      </c>
    </row>
    <row r="519" spans="1:10" x14ac:dyDescent="0.3">
      <c r="A519" s="7">
        <v>85</v>
      </c>
      <c r="B519" s="7" t="s">
        <v>361</v>
      </c>
      <c r="C519" s="7">
        <v>101027</v>
      </c>
      <c r="D519" s="7" t="s">
        <v>234</v>
      </c>
      <c r="E519" s="7" t="s">
        <v>215</v>
      </c>
      <c r="F519" s="7">
        <f t="shared" si="7"/>
        <v>9</v>
      </c>
      <c r="G519" s="16">
        <f>+(TblDetalle[[#This Row],[MontoBrutoProm_Mes]]/TblDetalle[[#This Row],[UnidadesProm_Mes]])*TblDetalle[[#This Row],[Unidades]]</f>
        <v>673.08</v>
      </c>
      <c r="H519" s="8">
        <v>12</v>
      </c>
      <c r="I519" s="9">
        <v>897.44</v>
      </c>
      <c r="J519">
        <f>+TblDetalle[[#This Row],[Monto A Rebajhar]]/TblDetalle[[#This Row],[MontoBrutoProm_Mes]]</f>
        <v>0.75</v>
      </c>
    </row>
    <row r="520" spans="1:10" x14ac:dyDescent="0.3">
      <c r="A520" s="7">
        <v>85</v>
      </c>
      <c r="B520" s="7" t="s">
        <v>361</v>
      </c>
      <c r="C520" s="7">
        <v>101028</v>
      </c>
      <c r="D520" s="7" t="s">
        <v>214</v>
      </c>
      <c r="E520" s="7" t="s">
        <v>215</v>
      </c>
      <c r="F520" s="7">
        <f t="shared" si="7"/>
        <v>32</v>
      </c>
      <c r="G520" s="16">
        <f>+(TblDetalle[[#This Row],[MontoBrutoProm_Mes]]/TblDetalle[[#This Row],[UnidadesProm_Mes]])*TblDetalle[[#This Row],[Unidades]]</f>
        <v>3154.8</v>
      </c>
      <c r="H520" s="8">
        <v>40</v>
      </c>
      <c r="I520" s="9">
        <v>3943.5</v>
      </c>
      <c r="J520">
        <f>+TblDetalle[[#This Row],[Monto A Rebajhar]]/TblDetalle[[#This Row],[MontoBrutoProm_Mes]]</f>
        <v>0.8</v>
      </c>
    </row>
    <row r="521" spans="1:10" x14ac:dyDescent="0.3">
      <c r="A521" s="7">
        <v>85</v>
      </c>
      <c r="B521" s="7" t="s">
        <v>361</v>
      </c>
      <c r="C521" s="7">
        <v>101038</v>
      </c>
      <c r="D521" s="7" t="s">
        <v>235</v>
      </c>
      <c r="E521" s="7" t="s">
        <v>215</v>
      </c>
      <c r="F521" s="7">
        <f t="shared" si="7"/>
        <v>12</v>
      </c>
      <c r="G521" s="16">
        <f>+(TblDetalle[[#This Row],[MontoBrutoProm_Mes]]/TblDetalle[[#This Row],[UnidadesProm_Mes]])*TblDetalle[[#This Row],[Unidades]]</f>
        <v>4468.2300000000005</v>
      </c>
      <c r="H521" s="8">
        <v>16</v>
      </c>
      <c r="I521" s="9">
        <v>5957.64</v>
      </c>
      <c r="J521">
        <f>+TblDetalle[[#This Row],[Monto A Rebajhar]]/TblDetalle[[#This Row],[MontoBrutoProm_Mes]]</f>
        <v>0.75</v>
      </c>
    </row>
    <row r="522" spans="1:10" x14ac:dyDescent="0.3">
      <c r="A522" s="7">
        <v>85</v>
      </c>
      <c r="B522" s="7" t="s">
        <v>361</v>
      </c>
      <c r="C522" s="7">
        <v>101130</v>
      </c>
      <c r="D522" s="7" t="s">
        <v>247</v>
      </c>
      <c r="E522" s="7" t="s">
        <v>215</v>
      </c>
      <c r="F522" s="7">
        <f t="shared" si="7"/>
        <v>7</v>
      </c>
      <c r="G522" s="16">
        <f>+(TblDetalle[[#This Row],[MontoBrutoProm_Mes]]/TblDetalle[[#This Row],[UnidadesProm_Mes]])*TblDetalle[[#This Row],[Unidades]]</f>
        <v>6.7524115755627001E-2</v>
      </c>
      <c r="H522" s="8">
        <v>9.33</v>
      </c>
      <c r="I522" s="9">
        <v>0.09</v>
      </c>
      <c r="J522">
        <f>+TblDetalle[[#This Row],[Monto A Rebajhar]]/TblDetalle[[#This Row],[MontoBrutoProm_Mes]]</f>
        <v>0.75026795284030001</v>
      </c>
    </row>
    <row r="523" spans="1:10" x14ac:dyDescent="0.3">
      <c r="A523" s="7">
        <v>85</v>
      </c>
      <c r="B523" s="7" t="s">
        <v>361</v>
      </c>
      <c r="C523" s="7">
        <v>201001</v>
      </c>
      <c r="D523" s="7" t="s">
        <v>216</v>
      </c>
      <c r="E523" s="7" t="s">
        <v>217</v>
      </c>
      <c r="F523" s="7">
        <f t="shared" si="7"/>
        <v>17</v>
      </c>
      <c r="G523" s="16">
        <f>+(TblDetalle[[#This Row],[MontoBrutoProm_Mes]]/TblDetalle[[#This Row],[UnidadesProm_Mes]])*TblDetalle[[#This Row],[Unidades]]</f>
        <v>3920.3945546838945</v>
      </c>
      <c r="H523" s="8">
        <v>21.67</v>
      </c>
      <c r="I523" s="9">
        <v>4997.3500000000004</v>
      </c>
      <c r="J523">
        <f>+TblDetalle[[#This Row],[Monto A Rebajhar]]/TblDetalle[[#This Row],[MontoBrutoProm_Mes]]</f>
        <v>0.78449469312413467</v>
      </c>
    </row>
    <row r="524" spans="1:10" x14ac:dyDescent="0.3">
      <c r="A524" s="7">
        <v>85</v>
      </c>
      <c r="B524" s="7" t="s">
        <v>361</v>
      </c>
      <c r="C524" s="7">
        <v>501000</v>
      </c>
      <c r="D524" s="7" t="s">
        <v>237</v>
      </c>
      <c r="E524" s="7" t="s">
        <v>217</v>
      </c>
      <c r="F524" s="7">
        <f t="shared" si="7"/>
        <v>2</v>
      </c>
      <c r="G524" s="16">
        <f>+(TblDetalle[[#This Row],[MontoBrutoProm_Mes]]/TblDetalle[[#This Row],[UnidadesProm_Mes]])*TblDetalle[[#This Row],[Unidades]]</f>
        <v>228.51685393258427</v>
      </c>
      <c r="H524" s="8">
        <v>2.67</v>
      </c>
      <c r="I524" s="9">
        <v>305.07</v>
      </c>
      <c r="J524">
        <f>+TblDetalle[[#This Row],[Monto A Rebajhar]]/TblDetalle[[#This Row],[MontoBrutoProm_Mes]]</f>
        <v>0.74906367041198507</v>
      </c>
    </row>
    <row r="525" spans="1:10" x14ac:dyDescent="0.3">
      <c r="A525" s="7">
        <v>85</v>
      </c>
      <c r="B525" s="7" t="s">
        <v>361</v>
      </c>
      <c r="C525" s="7">
        <v>800088</v>
      </c>
      <c r="D525" s="7" t="s">
        <v>240</v>
      </c>
      <c r="E525" s="7" t="s">
        <v>215</v>
      </c>
      <c r="F525" s="7">
        <f t="shared" si="7"/>
        <v>4</v>
      </c>
      <c r="G525" s="16">
        <f>+(TblDetalle[[#This Row],[MontoBrutoProm_Mes]]/TblDetalle[[#This Row],[UnidadesProm_Mes]])*TblDetalle[[#This Row],[Unidades]]</f>
        <v>1460.7689594356261</v>
      </c>
      <c r="H525" s="8">
        <v>5.67</v>
      </c>
      <c r="I525" s="9">
        <v>2070.64</v>
      </c>
      <c r="J525">
        <f>+TblDetalle[[#This Row],[Monto A Rebajhar]]/TblDetalle[[#This Row],[MontoBrutoProm_Mes]]</f>
        <v>0.70546737213403887</v>
      </c>
    </row>
    <row r="526" spans="1:10" x14ac:dyDescent="0.3">
      <c r="A526" s="7">
        <v>85</v>
      </c>
      <c r="B526" s="7" t="s">
        <v>361</v>
      </c>
      <c r="C526" s="7">
        <v>800089</v>
      </c>
      <c r="D526" s="7" t="s">
        <v>241</v>
      </c>
      <c r="E526" s="7" t="s">
        <v>215</v>
      </c>
      <c r="F526" s="7">
        <f t="shared" si="7"/>
        <v>4</v>
      </c>
      <c r="G526" s="16">
        <f>+(TblDetalle[[#This Row],[MontoBrutoProm_Mes]]/TblDetalle[[#This Row],[UnidadesProm_Mes]])*TblDetalle[[#This Row],[Unidades]]</f>
        <v>1460.7689594356261</v>
      </c>
      <c r="H526" s="8">
        <v>5.67</v>
      </c>
      <c r="I526" s="9">
        <v>2070.64</v>
      </c>
      <c r="J526">
        <f>+TblDetalle[[#This Row],[Monto A Rebajhar]]/TblDetalle[[#This Row],[MontoBrutoProm_Mes]]</f>
        <v>0.70546737213403887</v>
      </c>
    </row>
    <row r="527" spans="1:10" x14ac:dyDescent="0.3">
      <c r="A527" s="7">
        <v>85</v>
      </c>
      <c r="B527" s="7" t="s">
        <v>361</v>
      </c>
      <c r="C527" s="7">
        <v>800791</v>
      </c>
      <c r="D527" s="7" t="s">
        <v>259</v>
      </c>
      <c r="E527" s="7" t="s">
        <v>243</v>
      </c>
      <c r="F527" s="7">
        <f t="shared" si="7"/>
        <v>0</v>
      </c>
      <c r="G527" s="16">
        <f>+(TblDetalle[[#This Row],[MontoBrutoProm_Mes]]/TblDetalle[[#This Row],[UnidadesProm_Mes]])*TblDetalle[[#This Row],[Unidades]]</f>
        <v>0</v>
      </c>
      <c r="H527" s="8">
        <v>0.33</v>
      </c>
      <c r="I527" s="9">
        <v>53.67</v>
      </c>
      <c r="J527">
        <f>+TblDetalle[[#This Row],[Monto A Rebajhar]]/TblDetalle[[#This Row],[MontoBrutoProm_Mes]]</f>
        <v>0</v>
      </c>
    </row>
    <row r="528" spans="1:10" x14ac:dyDescent="0.3">
      <c r="A528" s="7">
        <v>85</v>
      </c>
      <c r="B528" s="7" t="s">
        <v>361</v>
      </c>
      <c r="C528" s="7">
        <v>925064</v>
      </c>
      <c r="D528" s="7" t="s">
        <v>263</v>
      </c>
      <c r="E528" s="7" t="s">
        <v>220</v>
      </c>
      <c r="F528" s="7">
        <f t="shared" si="7"/>
        <v>13</v>
      </c>
      <c r="G528" s="16">
        <f>+(TblDetalle[[#This Row],[MontoBrutoProm_Mes]]/TblDetalle[[#This Row],[UnidadesProm_Mes]])*TblDetalle[[#This Row],[Unidades]]</f>
        <v>446.59328134373112</v>
      </c>
      <c r="H528" s="8">
        <v>16.670000000000002</v>
      </c>
      <c r="I528" s="9">
        <v>572.66999999999996</v>
      </c>
      <c r="J528">
        <f>+TblDetalle[[#This Row],[Monto A Rebajhar]]/TblDetalle[[#This Row],[MontoBrutoProm_Mes]]</f>
        <v>0.77984403119376111</v>
      </c>
    </row>
    <row r="529" spans="1:10" x14ac:dyDescent="0.3">
      <c r="A529" s="7">
        <v>85</v>
      </c>
      <c r="B529" s="7" t="s">
        <v>361</v>
      </c>
      <c r="C529" s="7">
        <v>925078</v>
      </c>
      <c r="D529" s="7" t="s">
        <v>221</v>
      </c>
      <c r="E529" s="7" t="s">
        <v>220</v>
      </c>
      <c r="F529" s="7">
        <f t="shared" si="7"/>
        <v>1</v>
      </c>
      <c r="G529" s="16">
        <f>+(TblDetalle[[#This Row],[MontoBrutoProm_Mes]]/TblDetalle[[#This Row],[UnidadesProm_Mes]])*TblDetalle[[#This Row],[Unidades]]</f>
        <v>73.67</v>
      </c>
      <c r="H529" s="8">
        <v>2</v>
      </c>
      <c r="I529" s="9">
        <v>147.34</v>
      </c>
      <c r="J529">
        <f>+TblDetalle[[#This Row],[Monto A Rebajhar]]/TblDetalle[[#This Row],[MontoBrutoProm_Mes]]</f>
        <v>0.5</v>
      </c>
    </row>
    <row r="530" spans="1:10" x14ac:dyDescent="0.3">
      <c r="A530" s="7">
        <v>85</v>
      </c>
      <c r="B530" s="7" t="s">
        <v>361</v>
      </c>
      <c r="C530" s="7">
        <v>925094</v>
      </c>
      <c r="D530" s="7" t="s">
        <v>298</v>
      </c>
      <c r="E530" s="7" t="s">
        <v>220</v>
      </c>
      <c r="F530" s="7">
        <f t="shared" si="7"/>
        <v>1</v>
      </c>
      <c r="G530" s="16">
        <f>+(TblDetalle[[#This Row],[MontoBrutoProm_Mes]]/TblDetalle[[#This Row],[UnidadesProm_Mes]])*TblDetalle[[#This Row],[Unidades]]</f>
        <v>48.52</v>
      </c>
      <c r="H530" s="8">
        <v>2</v>
      </c>
      <c r="I530" s="9">
        <v>97.04</v>
      </c>
      <c r="J530">
        <f>+TblDetalle[[#This Row],[Monto A Rebajhar]]/TblDetalle[[#This Row],[MontoBrutoProm_Mes]]</f>
        <v>0.5</v>
      </c>
    </row>
    <row r="531" spans="1:10" x14ac:dyDescent="0.3">
      <c r="A531" s="7">
        <v>85</v>
      </c>
      <c r="B531" s="7" t="s">
        <v>361</v>
      </c>
      <c r="C531" s="7">
        <v>925095</v>
      </c>
      <c r="D531" s="7" t="s">
        <v>280</v>
      </c>
      <c r="E531" s="7" t="s">
        <v>220</v>
      </c>
      <c r="F531" s="7">
        <f t="shared" si="7"/>
        <v>3</v>
      </c>
      <c r="G531" s="16">
        <f>+(TblDetalle[[#This Row],[MontoBrutoProm_Mes]]/TblDetalle[[#This Row],[UnidadesProm_Mes]])*TblDetalle[[#This Row],[Unidades]]</f>
        <v>145.56</v>
      </c>
      <c r="H531" s="8">
        <v>4</v>
      </c>
      <c r="I531" s="9">
        <v>194.08</v>
      </c>
      <c r="J531">
        <f>+TblDetalle[[#This Row],[Monto A Rebajhar]]/TblDetalle[[#This Row],[MontoBrutoProm_Mes]]</f>
        <v>0.75</v>
      </c>
    </row>
    <row r="532" spans="1:10" x14ac:dyDescent="0.3">
      <c r="A532" s="7">
        <v>85</v>
      </c>
      <c r="B532" s="7" t="s">
        <v>361</v>
      </c>
      <c r="C532" s="7">
        <v>930012</v>
      </c>
      <c r="D532" s="7" t="s">
        <v>264</v>
      </c>
      <c r="E532" s="7" t="s">
        <v>243</v>
      </c>
      <c r="F532" s="7">
        <f t="shared" si="7"/>
        <v>1</v>
      </c>
      <c r="G532" s="16">
        <f>+(TblDetalle[[#This Row],[MontoBrutoProm_Mes]]/TblDetalle[[#This Row],[UnidadesProm_Mes]])*TblDetalle[[#This Row],[Unidades]]</f>
        <v>93.24</v>
      </c>
      <c r="H532" s="8">
        <v>2</v>
      </c>
      <c r="I532" s="9">
        <v>186.48</v>
      </c>
      <c r="J532">
        <f>+TblDetalle[[#This Row],[Monto A Rebajhar]]/TblDetalle[[#This Row],[MontoBrutoProm_Mes]]</f>
        <v>0.5</v>
      </c>
    </row>
    <row r="533" spans="1:10" x14ac:dyDescent="0.3">
      <c r="A533" s="7">
        <v>85</v>
      </c>
      <c r="B533" s="7" t="s">
        <v>361</v>
      </c>
      <c r="C533" s="7">
        <v>930020</v>
      </c>
      <c r="D533" s="7" t="s">
        <v>299</v>
      </c>
      <c r="E533" s="7" t="s">
        <v>243</v>
      </c>
      <c r="F533" s="7">
        <f t="shared" si="7"/>
        <v>1</v>
      </c>
      <c r="G533" s="16">
        <f>+(TblDetalle[[#This Row],[MontoBrutoProm_Mes]]/TblDetalle[[#This Row],[UnidadesProm_Mes]])*TblDetalle[[#This Row],[Unidades]]</f>
        <v>93.473684210526301</v>
      </c>
      <c r="H533" s="8">
        <v>1.33</v>
      </c>
      <c r="I533" s="9">
        <v>124.32</v>
      </c>
      <c r="J533">
        <f>+TblDetalle[[#This Row],[Monto A Rebajhar]]/TblDetalle[[#This Row],[MontoBrutoProm_Mes]]</f>
        <v>0.75187969924812026</v>
      </c>
    </row>
    <row r="534" spans="1:10" x14ac:dyDescent="0.3">
      <c r="A534" s="7">
        <v>85</v>
      </c>
      <c r="B534" s="7" t="s">
        <v>361</v>
      </c>
      <c r="C534" s="7">
        <v>930021</v>
      </c>
      <c r="D534" s="7" t="s">
        <v>300</v>
      </c>
      <c r="E534" s="7" t="s">
        <v>243</v>
      </c>
      <c r="F534" s="7">
        <f t="shared" si="7"/>
        <v>1</v>
      </c>
      <c r="G534" s="16">
        <f>+(TblDetalle[[#This Row],[MontoBrutoProm_Mes]]/TblDetalle[[#This Row],[UnidadesProm_Mes]])*TblDetalle[[#This Row],[Unidades]]</f>
        <v>93.473684210526301</v>
      </c>
      <c r="H534" s="8">
        <v>1.33</v>
      </c>
      <c r="I534" s="9">
        <v>124.32</v>
      </c>
      <c r="J534">
        <f>+TblDetalle[[#This Row],[Monto A Rebajhar]]/TblDetalle[[#This Row],[MontoBrutoProm_Mes]]</f>
        <v>0.75187969924812026</v>
      </c>
    </row>
    <row r="535" spans="1:10" x14ac:dyDescent="0.3">
      <c r="A535" s="7">
        <v>85</v>
      </c>
      <c r="B535" s="7" t="s">
        <v>361</v>
      </c>
      <c r="C535" s="7">
        <v>930022</v>
      </c>
      <c r="D535" s="7" t="s">
        <v>265</v>
      </c>
      <c r="E535" s="7" t="s">
        <v>243</v>
      </c>
      <c r="F535" s="7">
        <f t="shared" si="7"/>
        <v>0</v>
      </c>
      <c r="G535" s="16">
        <f>+(TblDetalle[[#This Row],[MontoBrutoProm_Mes]]/TblDetalle[[#This Row],[UnidadesProm_Mes]])*TblDetalle[[#This Row],[Unidades]]</f>
        <v>0</v>
      </c>
      <c r="H535" s="8">
        <v>0.67</v>
      </c>
      <c r="I535" s="9">
        <v>62.16</v>
      </c>
      <c r="J535">
        <f>+TblDetalle[[#This Row],[Monto A Rebajhar]]/TblDetalle[[#This Row],[MontoBrutoProm_Mes]]</f>
        <v>0</v>
      </c>
    </row>
    <row r="536" spans="1:10" x14ac:dyDescent="0.3">
      <c r="A536" s="7">
        <v>85</v>
      </c>
      <c r="B536" s="7" t="s">
        <v>361</v>
      </c>
      <c r="C536" s="7">
        <v>930025</v>
      </c>
      <c r="D536" s="7" t="s">
        <v>244</v>
      </c>
      <c r="E536" s="7" t="s">
        <v>243</v>
      </c>
      <c r="F536" s="7">
        <f t="shared" si="7"/>
        <v>1</v>
      </c>
      <c r="G536" s="16">
        <f>+(TblDetalle[[#This Row],[MontoBrutoProm_Mes]]/TblDetalle[[#This Row],[UnidadesProm_Mes]])*TblDetalle[[#This Row],[Unidades]]</f>
        <v>59.451127819548866</v>
      </c>
      <c r="H536" s="8">
        <v>1.33</v>
      </c>
      <c r="I536" s="9">
        <v>79.069999999999993</v>
      </c>
      <c r="J536">
        <f>+TblDetalle[[#This Row],[Monto A Rebajhar]]/TblDetalle[[#This Row],[MontoBrutoProm_Mes]]</f>
        <v>0.75187969924812026</v>
      </c>
    </row>
    <row r="537" spans="1:10" x14ac:dyDescent="0.3">
      <c r="A537" s="7">
        <v>85</v>
      </c>
      <c r="B537" s="7" t="s">
        <v>361</v>
      </c>
      <c r="C537" s="7">
        <v>930112</v>
      </c>
      <c r="D537" s="7" t="s">
        <v>310</v>
      </c>
      <c r="E537" s="7" t="s">
        <v>243</v>
      </c>
      <c r="F537" s="7">
        <f t="shared" si="7"/>
        <v>0</v>
      </c>
      <c r="G537" s="16">
        <f>+(TblDetalle[[#This Row],[MontoBrutoProm_Mes]]/TblDetalle[[#This Row],[UnidadesProm_Mes]])*TblDetalle[[#This Row],[Unidades]]</f>
        <v>0</v>
      </c>
      <c r="H537" s="8">
        <v>0.67</v>
      </c>
      <c r="I537" s="9">
        <v>107.33</v>
      </c>
      <c r="J537">
        <f>+TblDetalle[[#This Row],[Monto A Rebajhar]]/TblDetalle[[#This Row],[MontoBrutoProm_Mes]]</f>
        <v>0</v>
      </c>
    </row>
    <row r="538" spans="1:10" x14ac:dyDescent="0.3">
      <c r="A538" s="7">
        <v>85</v>
      </c>
      <c r="B538" s="7" t="s">
        <v>361</v>
      </c>
      <c r="C538" s="7">
        <v>930113</v>
      </c>
      <c r="D538" s="7" t="s">
        <v>303</v>
      </c>
      <c r="E538" s="7" t="s">
        <v>243</v>
      </c>
      <c r="F538" s="7">
        <f t="shared" si="7"/>
        <v>0</v>
      </c>
      <c r="G538" s="16">
        <f>+(TblDetalle[[#This Row],[MontoBrutoProm_Mes]]/TblDetalle[[#This Row],[UnidadesProm_Mes]])*TblDetalle[[#This Row],[Unidades]]</f>
        <v>0</v>
      </c>
      <c r="H538" s="8">
        <v>0.33</v>
      </c>
      <c r="I538" s="9">
        <v>53.67</v>
      </c>
      <c r="J538">
        <f>+TblDetalle[[#This Row],[Monto A Rebajhar]]/TblDetalle[[#This Row],[MontoBrutoProm_Mes]]</f>
        <v>0</v>
      </c>
    </row>
    <row r="539" spans="1:10" x14ac:dyDescent="0.3">
      <c r="A539" s="7">
        <v>86</v>
      </c>
      <c r="B539" s="7" t="s">
        <v>362</v>
      </c>
      <c r="C539" s="7">
        <v>101005</v>
      </c>
      <c r="D539" s="7" t="s">
        <v>232</v>
      </c>
      <c r="E539" s="7" t="s">
        <v>215</v>
      </c>
      <c r="F539" s="7">
        <f t="shared" si="7"/>
        <v>6</v>
      </c>
      <c r="G539" s="16">
        <f>+(TblDetalle[[#This Row],[MontoBrutoProm_Mes]]/TblDetalle[[#This Row],[UnidadesProm_Mes]])*TblDetalle[[#This Row],[Unidades]]</f>
        <v>465.24</v>
      </c>
      <c r="H539" s="8">
        <v>8</v>
      </c>
      <c r="I539" s="9">
        <v>620.32000000000005</v>
      </c>
      <c r="J539">
        <f>+TblDetalle[[#This Row],[Monto A Rebajhar]]/TblDetalle[[#This Row],[MontoBrutoProm_Mes]]</f>
        <v>0.75</v>
      </c>
    </row>
    <row r="540" spans="1:10" x14ac:dyDescent="0.3">
      <c r="A540" s="7">
        <v>86</v>
      </c>
      <c r="B540" s="7" t="s">
        <v>362</v>
      </c>
      <c r="C540" s="7">
        <v>101026</v>
      </c>
      <c r="D540" s="7" t="s">
        <v>233</v>
      </c>
      <c r="E540" s="7" t="s">
        <v>215</v>
      </c>
      <c r="F540" s="7">
        <f t="shared" si="7"/>
        <v>3</v>
      </c>
      <c r="G540" s="16">
        <f>+(TblDetalle[[#This Row],[MontoBrutoProm_Mes]]/TblDetalle[[#This Row],[UnidadesProm_Mes]])*TblDetalle[[#This Row],[Unidades]]</f>
        <v>104.76</v>
      </c>
      <c r="H540" s="8">
        <v>4</v>
      </c>
      <c r="I540" s="9">
        <v>139.68</v>
      </c>
      <c r="J540">
        <f>+TblDetalle[[#This Row],[Monto A Rebajhar]]/TblDetalle[[#This Row],[MontoBrutoProm_Mes]]</f>
        <v>0.75</v>
      </c>
    </row>
    <row r="541" spans="1:10" x14ac:dyDescent="0.3">
      <c r="A541" s="7">
        <v>86</v>
      </c>
      <c r="B541" s="7" t="s">
        <v>362</v>
      </c>
      <c r="C541" s="7">
        <v>101027</v>
      </c>
      <c r="D541" s="7" t="s">
        <v>234</v>
      </c>
      <c r="E541" s="7" t="s">
        <v>215</v>
      </c>
      <c r="F541" s="7">
        <f t="shared" si="7"/>
        <v>6</v>
      </c>
      <c r="G541" s="16">
        <f>+(TblDetalle[[#This Row],[MontoBrutoProm_Mes]]/TblDetalle[[#This Row],[UnidadesProm_Mes]])*TblDetalle[[#This Row],[Unidades]]</f>
        <v>465.24</v>
      </c>
      <c r="H541" s="8">
        <v>8</v>
      </c>
      <c r="I541" s="9">
        <v>620.32000000000005</v>
      </c>
      <c r="J541">
        <f>+TblDetalle[[#This Row],[Monto A Rebajhar]]/TblDetalle[[#This Row],[MontoBrutoProm_Mes]]</f>
        <v>0.75</v>
      </c>
    </row>
    <row r="542" spans="1:10" x14ac:dyDescent="0.3">
      <c r="A542" s="7">
        <v>86</v>
      </c>
      <c r="B542" s="7" t="s">
        <v>362</v>
      </c>
      <c r="C542" s="7">
        <v>101028</v>
      </c>
      <c r="D542" s="7" t="s">
        <v>214</v>
      </c>
      <c r="E542" s="7" t="s">
        <v>215</v>
      </c>
      <c r="F542" s="7">
        <f t="shared" si="7"/>
        <v>12</v>
      </c>
      <c r="G542" s="16">
        <f>+(TblDetalle[[#This Row],[MontoBrutoProm_Mes]]/TblDetalle[[#This Row],[UnidadesProm_Mes]])*TblDetalle[[#This Row],[Unidades]]</f>
        <v>1186.4250000000002</v>
      </c>
      <c r="H542" s="8">
        <v>16</v>
      </c>
      <c r="I542" s="9">
        <v>1581.9</v>
      </c>
      <c r="J542">
        <f>+TblDetalle[[#This Row],[Monto A Rebajhar]]/TblDetalle[[#This Row],[MontoBrutoProm_Mes]]</f>
        <v>0.75000000000000011</v>
      </c>
    </row>
    <row r="543" spans="1:10" x14ac:dyDescent="0.3">
      <c r="A543" s="7">
        <v>86</v>
      </c>
      <c r="B543" s="7" t="s">
        <v>362</v>
      </c>
      <c r="C543" s="7">
        <v>101038</v>
      </c>
      <c r="D543" s="7" t="s">
        <v>235</v>
      </c>
      <c r="E543" s="7" t="s">
        <v>215</v>
      </c>
      <c r="F543" s="7">
        <f t="shared" si="7"/>
        <v>32</v>
      </c>
      <c r="G543" s="16">
        <f>+(TblDetalle[[#This Row],[MontoBrutoProm_Mes]]/TblDetalle[[#This Row],[UnidadesProm_Mes]])*TblDetalle[[#This Row],[Unidades]]</f>
        <v>11785.376</v>
      </c>
      <c r="H543" s="8">
        <v>40</v>
      </c>
      <c r="I543" s="9">
        <v>14731.72</v>
      </c>
      <c r="J543">
        <f>+TblDetalle[[#This Row],[Monto A Rebajhar]]/TblDetalle[[#This Row],[MontoBrutoProm_Mes]]</f>
        <v>0.8</v>
      </c>
    </row>
    <row r="544" spans="1:10" x14ac:dyDescent="0.3">
      <c r="A544" s="7">
        <v>86</v>
      </c>
      <c r="B544" s="7" t="s">
        <v>362</v>
      </c>
      <c r="C544" s="7">
        <v>101072</v>
      </c>
      <c r="D544" s="7" t="s">
        <v>273</v>
      </c>
      <c r="E544" s="7" t="s">
        <v>215</v>
      </c>
      <c r="F544" s="7">
        <f t="shared" si="7"/>
        <v>6</v>
      </c>
      <c r="G544" s="16">
        <f>+(TblDetalle[[#This Row],[MontoBrutoProm_Mes]]/TblDetalle[[#This Row],[UnidadesProm_Mes]])*TblDetalle[[#This Row],[Unidades]]</f>
        <v>261.29999999999995</v>
      </c>
      <c r="H544" s="8">
        <v>8</v>
      </c>
      <c r="I544" s="9">
        <v>348.4</v>
      </c>
      <c r="J544">
        <f>+TblDetalle[[#This Row],[Monto A Rebajhar]]/TblDetalle[[#This Row],[MontoBrutoProm_Mes]]</f>
        <v>0.74999999999999989</v>
      </c>
    </row>
    <row r="545" spans="1:10" x14ac:dyDescent="0.3">
      <c r="A545" s="7">
        <v>86</v>
      </c>
      <c r="B545" s="7" t="s">
        <v>362</v>
      </c>
      <c r="C545" s="7">
        <v>101130</v>
      </c>
      <c r="D545" s="7" t="s">
        <v>247</v>
      </c>
      <c r="E545" s="7" t="s">
        <v>215</v>
      </c>
      <c r="F545" s="7">
        <f t="shared" si="7"/>
        <v>3</v>
      </c>
      <c r="G545" s="16">
        <f>+(TblDetalle[[#This Row],[MontoBrutoProm_Mes]]/TblDetalle[[#This Row],[UnidadesProm_Mes]])*TblDetalle[[#This Row],[Unidades]]</f>
        <v>0.03</v>
      </c>
      <c r="H545" s="8">
        <v>4</v>
      </c>
      <c r="I545" s="9">
        <v>0.04</v>
      </c>
      <c r="J545">
        <f>+TblDetalle[[#This Row],[Monto A Rebajhar]]/TblDetalle[[#This Row],[MontoBrutoProm_Mes]]</f>
        <v>0.75</v>
      </c>
    </row>
    <row r="546" spans="1:10" x14ac:dyDescent="0.3">
      <c r="A546" s="7">
        <v>86</v>
      </c>
      <c r="B546" s="7" t="s">
        <v>362</v>
      </c>
      <c r="C546" s="7">
        <v>201001</v>
      </c>
      <c r="D546" s="7" t="s">
        <v>216</v>
      </c>
      <c r="E546" s="7" t="s">
        <v>217</v>
      </c>
      <c r="F546" s="7">
        <f t="shared" si="7"/>
        <v>66</v>
      </c>
      <c r="G546" s="16">
        <f>+(TblDetalle[[#This Row],[MontoBrutoProm_Mes]]/TblDetalle[[#This Row],[UnidadesProm_Mes]])*TblDetalle[[#This Row],[Unidades]]</f>
        <v>14648.008160326413</v>
      </c>
      <c r="H546" s="8">
        <v>83.33</v>
      </c>
      <c r="I546" s="9">
        <v>18494.22</v>
      </c>
      <c r="J546">
        <f>+TblDetalle[[#This Row],[Monto A Rebajhar]]/TblDetalle[[#This Row],[MontoBrutoProm_Mes]]</f>
        <v>0.79203168126725065</v>
      </c>
    </row>
    <row r="547" spans="1:10" x14ac:dyDescent="0.3">
      <c r="A547" s="7">
        <v>86</v>
      </c>
      <c r="B547" s="7" t="s">
        <v>362</v>
      </c>
      <c r="C547" s="7">
        <v>501000</v>
      </c>
      <c r="D547" s="7" t="s">
        <v>237</v>
      </c>
      <c r="E547" s="7" t="s">
        <v>217</v>
      </c>
      <c r="F547" s="7">
        <f t="shared" si="7"/>
        <v>11</v>
      </c>
      <c r="G547" s="16">
        <f>+(TblDetalle[[#This Row],[MontoBrutoProm_Mes]]/TblDetalle[[#This Row],[UnidadesProm_Mes]])*TblDetalle[[#This Row],[Unidades]]</f>
        <v>1283.550783912747</v>
      </c>
      <c r="H547" s="8">
        <v>14.67</v>
      </c>
      <c r="I547" s="9">
        <v>1711.79</v>
      </c>
      <c r="J547">
        <f>+TblDetalle[[#This Row],[Monto A Rebajhar]]/TblDetalle[[#This Row],[MontoBrutoProm_Mes]]</f>
        <v>0.74982958418541235</v>
      </c>
    </row>
    <row r="548" spans="1:10" x14ac:dyDescent="0.3">
      <c r="A548" s="7">
        <v>86</v>
      </c>
      <c r="B548" s="7" t="s">
        <v>362</v>
      </c>
      <c r="C548" s="7">
        <v>611053</v>
      </c>
      <c r="D548" s="7" t="s">
        <v>253</v>
      </c>
      <c r="E548" s="7" t="s">
        <v>217</v>
      </c>
      <c r="F548" s="7">
        <f t="shared" si="7"/>
        <v>38</v>
      </c>
      <c r="G548" s="16">
        <f>+(TblDetalle[[#This Row],[MontoBrutoProm_Mes]]/TblDetalle[[#This Row],[UnidadesProm_Mes]])*TblDetalle[[#This Row],[Unidades]]</f>
        <v>837.1400000000001</v>
      </c>
      <c r="H548" s="8">
        <v>48</v>
      </c>
      <c r="I548" s="9">
        <v>1057.44</v>
      </c>
      <c r="J548">
        <f>+TblDetalle[[#This Row],[Monto A Rebajhar]]/TblDetalle[[#This Row],[MontoBrutoProm_Mes]]</f>
        <v>0.79166666666666674</v>
      </c>
    </row>
    <row r="549" spans="1:10" x14ac:dyDescent="0.3">
      <c r="A549" s="7">
        <v>86</v>
      </c>
      <c r="B549" s="7" t="s">
        <v>362</v>
      </c>
      <c r="C549" s="7">
        <v>621045</v>
      </c>
      <c r="D549" s="7" t="s">
        <v>238</v>
      </c>
      <c r="E549" s="7" t="s">
        <v>239</v>
      </c>
      <c r="F549" s="7">
        <f t="shared" si="7"/>
        <v>3</v>
      </c>
      <c r="G549" s="16">
        <f>+(TblDetalle[[#This Row],[MontoBrutoProm_Mes]]/TblDetalle[[#This Row],[UnidadesProm_Mes]])*TblDetalle[[#This Row],[Unidades]]</f>
        <v>509.37</v>
      </c>
      <c r="H549" s="8">
        <v>4</v>
      </c>
      <c r="I549" s="9">
        <v>679.16</v>
      </c>
      <c r="J549">
        <f>+TblDetalle[[#This Row],[Monto A Rebajhar]]/TblDetalle[[#This Row],[MontoBrutoProm_Mes]]</f>
        <v>0.75</v>
      </c>
    </row>
    <row r="550" spans="1:10" x14ac:dyDescent="0.3">
      <c r="A550" s="7">
        <v>86</v>
      </c>
      <c r="B550" s="7" t="s">
        <v>362</v>
      </c>
      <c r="C550" s="7">
        <v>800088</v>
      </c>
      <c r="D550" s="7" t="s">
        <v>240</v>
      </c>
      <c r="E550" s="7" t="s">
        <v>215</v>
      </c>
      <c r="F550" s="7">
        <f t="shared" si="7"/>
        <v>13</v>
      </c>
      <c r="G550" s="16">
        <f>+(TblDetalle[[#This Row],[MontoBrutoProm_Mes]]/TblDetalle[[#This Row],[UnidadesProm_Mes]])*TblDetalle[[#This Row],[Unidades]]</f>
        <v>4814.4858626658979</v>
      </c>
      <c r="H550" s="8">
        <v>17.329999999999998</v>
      </c>
      <c r="I550" s="9">
        <v>6418.08</v>
      </c>
      <c r="J550">
        <f>+TblDetalle[[#This Row],[Monto A Rebajhar]]/TblDetalle[[#This Row],[MontoBrutoProm_Mes]]</f>
        <v>0.75014425851125222</v>
      </c>
    </row>
    <row r="551" spans="1:10" x14ac:dyDescent="0.3">
      <c r="A551" s="7">
        <v>86</v>
      </c>
      <c r="B551" s="7" t="s">
        <v>362</v>
      </c>
      <c r="C551" s="7">
        <v>800089</v>
      </c>
      <c r="D551" s="7" t="s">
        <v>241</v>
      </c>
      <c r="E551" s="7" t="s">
        <v>215</v>
      </c>
      <c r="F551" s="7">
        <f t="shared" si="7"/>
        <v>22</v>
      </c>
      <c r="G551" s="16">
        <f>+(TblDetalle[[#This Row],[MontoBrutoProm_Mes]]/TblDetalle[[#This Row],[UnidadesProm_Mes]])*TblDetalle[[#This Row],[Unidades]]</f>
        <v>8092.3744127213586</v>
      </c>
      <c r="H551" s="8">
        <v>27.67</v>
      </c>
      <c r="I551" s="9">
        <v>10178</v>
      </c>
      <c r="J551">
        <f>+TblDetalle[[#This Row],[Monto A Rebajhar]]/TblDetalle[[#This Row],[MontoBrutoProm_Mes]]</f>
        <v>0.79508492952656307</v>
      </c>
    </row>
    <row r="552" spans="1:10" x14ac:dyDescent="0.3">
      <c r="A552" s="7">
        <v>86</v>
      </c>
      <c r="B552" s="7" t="s">
        <v>362</v>
      </c>
      <c r="C552" s="7">
        <v>930137</v>
      </c>
      <c r="D552" s="7" t="s">
        <v>311</v>
      </c>
      <c r="E552" s="7" t="s">
        <v>243</v>
      </c>
      <c r="F552" s="7">
        <f t="shared" si="7"/>
        <v>3</v>
      </c>
      <c r="G552" s="16">
        <f>+(TblDetalle[[#This Row],[MontoBrutoProm_Mes]]/TblDetalle[[#This Row],[UnidadesProm_Mes]])*TblDetalle[[#This Row],[Unidades]]</f>
        <v>85.83</v>
      </c>
      <c r="H552" s="8">
        <v>4</v>
      </c>
      <c r="I552" s="9">
        <v>114.44</v>
      </c>
      <c r="J552">
        <f>+TblDetalle[[#This Row],[Monto A Rebajhar]]/TblDetalle[[#This Row],[MontoBrutoProm_Mes]]</f>
        <v>0.75</v>
      </c>
    </row>
    <row r="553" spans="1:10" x14ac:dyDescent="0.3">
      <c r="A553" s="7">
        <v>86</v>
      </c>
      <c r="B553" s="7" t="s">
        <v>362</v>
      </c>
      <c r="C553" s="7">
        <v>930138</v>
      </c>
      <c r="D553" s="7" t="s">
        <v>312</v>
      </c>
      <c r="E553" s="7" t="s">
        <v>243</v>
      </c>
      <c r="F553" s="7">
        <f t="shared" si="7"/>
        <v>1</v>
      </c>
      <c r="G553" s="16">
        <f>+(TblDetalle[[#This Row],[MontoBrutoProm_Mes]]/TblDetalle[[#This Row],[UnidadesProm_Mes]])*TblDetalle[[#This Row],[Unidades]]</f>
        <v>28.61</v>
      </c>
      <c r="H553" s="8">
        <v>2</v>
      </c>
      <c r="I553" s="9">
        <v>57.22</v>
      </c>
      <c r="J553">
        <f>+TblDetalle[[#This Row],[Monto A Rebajhar]]/TblDetalle[[#This Row],[MontoBrutoProm_Mes]]</f>
        <v>0.5</v>
      </c>
    </row>
    <row r="554" spans="1:10" x14ac:dyDescent="0.3">
      <c r="A554" s="7">
        <v>86</v>
      </c>
      <c r="B554" s="7" t="s">
        <v>362</v>
      </c>
      <c r="C554" s="7">
        <v>930140</v>
      </c>
      <c r="D554" s="7" t="s">
        <v>314</v>
      </c>
      <c r="E554" s="7" t="s">
        <v>243</v>
      </c>
      <c r="F554" s="7">
        <f t="shared" si="7"/>
        <v>1</v>
      </c>
      <c r="G554" s="16">
        <f>+(TblDetalle[[#This Row],[MontoBrutoProm_Mes]]/TblDetalle[[#This Row],[UnidadesProm_Mes]])*TblDetalle[[#This Row],[Unidades]]</f>
        <v>28.61</v>
      </c>
      <c r="H554" s="8">
        <v>2</v>
      </c>
      <c r="I554" s="9">
        <v>57.22</v>
      </c>
      <c r="J554">
        <f>+TblDetalle[[#This Row],[Monto A Rebajhar]]/TblDetalle[[#This Row],[MontoBrutoProm_Mes]]</f>
        <v>0.5</v>
      </c>
    </row>
    <row r="555" spans="1:10" x14ac:dyDescent="0.3">
      <c r="A555" s="7">
        <v>86</v>
      </c>
      <c r="B555" s="7" t="s">
        <v>362</v>
      </c>
      <c r="C555" s="7">
        <v>930144</v>
      </c>
      <c r="D555" s="7" t="s">
        <v>315</v>
      </c>
      <c r="E555" s="7" t="s">
        <v>243</v>
      </c>
      <c r="F555" s="7">
        <f t="shared" si="7"/>
        <v>1</v>
      </c>
      <c r="G555" s="16">
        <f>+(TblDetalle[[#This Row],[MontoBrutoProm_Mes]]/TblDetalle[[#This Row],[UnidadesProm_Mes]])*TblDetalle[[#This Row],[Unidades]]</f>
        <v>28.61</v>
      </c>
      <c r="H555" s="8">
        <v>2</v>
      </c>
      <c r="I555" s="9">
        <v>57.22</v>
      </c>
      <c r="J555">
        <f>+TblDetalle[[#This Row],[Monto A Rebajhar]]/TblDetalle[[#This Row],[MontoBrutoProm_Mes]]</f>
        <v>0.5</v>
      </c>
    </row>
    <row r="556" spans="1:10" x14ac:dyDescent="0.3">
      <c r="A556" s="7">
        <v>86</v>
      </c>
      <c r="B556" s="7" t="s">
        <v>362</v>
      </c>
      <c r="C556" s="7">
        <v>930145</v>
      </c>
      <c r="D556" s="7" t="s">
        <v>316</v>
      </c>
      <c r="E556" s="7" t="s">
        <v>243</v>
      </c>
      <c r="F556" s="7">
        <f t="shared" si="7"/>
        <v>1</v>
      </c>
      <c r="G556" s="16">
        <f>+(TblDetalle[[#This Row],[MontoBrutoProm_Mes]]/TblDetalle[[#This Row],[UnidadesProm_Mes]])*TblDetalle[[#This Row],[Unidades]]</f>
        <v>28.61</v>
      </c>
      <c r="H556" s="8">
        <v>2</v>
      </c>
      <c r="I556" s="9">
        <v>57.22</v>
      </c>
      <c r="J556">
        <f>+TblDetalle[[#This Row],[Monto A Rebajhar]]/TblDetalle[[#This Row],[MontoBrutoProm_Mes]]</f>
        <v>0.5</v>
      </c>
    </row>
    <row r="557" spans="1:10" x14ac:dyDescent="0.3">
      <c r="A557" s="7">
        <v>86</v>
      </c>
      <c r="B557" s="7" t="s">
        <v>362</v>
      </c>
      <c r="C557" s="7">
        <v>930178</v>
      </c>
      <c r="D557" s="7" t="s">
        <v>267</v>
      </c>
      <c r="E557" s="7" t="s">
        <v>243</v>
      </c>
      <c r="F557" s="7">
        <f t="shared" si="7"/>
        <v>0</v>
      </c>
      <c r="G557" s="16">
        <f>+(TblDetalle[[#This Row],[MontoBrutoProm_Mes]]/TblDetalle[[#This Row],[UnidadesProm_Mes]])*TblDetalle[[#This Row],[Unidades]]</f>
        <v>0</v>
      </c>
      <c r="H557" s="8">
        <v>1</v>
      </c>
      <c r="I557" s="9">
        <v>28.61</v>
      </c>
      <c r="J557">
        <f>+TblDetalle[[#This Row],[Monto A Rebajhar]]/TblDetalle[[#This Row],[MontoBrutoProm_Mes]]</f>
        <v>0</v>
      </c>
    </row>
    <row r="558" spans="1:10" x14ac:dyDescent="0.3">
      <c r="A558" s="7">
        <v>86</v>
      </c>
      <c r="B558" s="7" t="s">
        <v>362</v>
      </c>
      <c r="C558" s="7">
        <v>960102</v>
      </c>
      <c r="D558" s="7" t="s">
        <v>363</v>
      </c>
      <c r="E558" s="7" t="s">
        <v>306</v>
      </c>
      <c r="F558" s="7">
        <f t="shared" si="7"/>
        <v>13</v>
      </c>
      <c r="G558" s="16">
        <f>+(TblDetalle[[#This Row],[MontoBrutoProm_Mes]]/TblDetalle[[#This Row],[UnidadesProm_Mes]])*TblDetalle[[#This Row],[Unidades]]</f>
        <v>604.5116976604678</v>
      </c>
      <c r="H558" s="8">
        <v>16.670000000000002</v>
      </c>
      <c r="I558" s="9">
        <v>775.17</v>
      </c>
      <c r="J558">
        <f>+TblDetalle[[#This Row],[Monto A Rebajhar]]/TblDetalle[[#This Row],[MontoBrutoProm_Mes]]</f>
        <v>0.77984403119376111</v>
      </c>
    </row>
    <row r="559" spans="1:10" x14ac:dyDescent="0.3">
      <c r="A559" s="7">
        <v>86</v>
      </c>
      <c r="B559" s="7" t="s">
        <v>362</v>
      </c>
      <c r="C559" s="7">
        <v>982005</v>
      </c>
      <c r="D559" s="7" t="s">
        <v>285</v>
      </c>
      <c r="E559" s="7" t="s">
        <v>270</v>
      </c>
      <c r="F559" s="7">
        <f t="shared" si="7"/>
        <v>8</v>
      </c>
      <c r="G559" s="16">
        <f>+(TblDetalle[[#This Row],[MontoBrutoProm_Mes]]/TblDetalle[[#This Row],[UnidadesProm_Mes]])*TblDetalle[[#This Row],[Unidades]]</f>
        <v>1230.3969022265246</v>
      </c>
      <c r="H559" s="8">
        <v>10.33</v>
      </c>
      <c r="I559" s="9">
        <v>1588.75</v>
      </c>
      <c r="J559">
        <f>+TblDetalle[[#This Row],[Monto A Rebajhar]]/TblDetalle[[#This Row],[MontoBrutoProm_Mes]]</f>
        <v>0.77444336882865439</v>
      </c>
    </row>
    <row r="560" spans="1:10" x14ac:dyDescent="0.3">
      <c r="A560" s="7">
        <v>91</v>
      </c>
      <c r="B560" s="7" t="s">
        <v>364</v>
      </c>
      <c r="C560" s="7">
        <v>101005</v>
      </c>
      <c r="D560" s="7" t="s">
        <v>232</v>
      </c>
      <c r="E560" s="7" t="s">
        <v>215</v>
      </c>
      <c r="F560" s="7">
        <f t="shared" si="7"/>
        <v>56</v>
      </c>
      <c r="G560" s="16">
        <f>+(TblDetalle[[#This Row],[MontoBrutoProm_Mes]]/TblDetalle[[#This Row],[UnidadesProm_Mes]])*TblDetalle[[#This Row],[Unidades]]</f>
        <v>4243.12</v>
      </c>
      <c r="H560" s="8">
        <v>70</v>
      </c>
      <c r="I560" s="9">
        <v>5303.9</v>
      </c>
      <c r="J560">
        <f>+TblDetalle[[#This Row],[Monto A Rebajhar]]/TblDetalle[[#This Row],[MontoBrutoProm_Mes]]</f>
        <v>0.8</v>
      </c>
    </row>
    <row r="561" spans="1:10" x14ac:dyDescent="0.3">
      <c r="A561" s="7">
        <v>91</v>
      </c>
      <c r="B561" s="7" t="s">
        <v>364</v>
      </c>
      <c r="C561" s="7">
        <v>101026</v>
      </c>
      <c r="D561" s="7" t="s">
        <v>233</v>
      </c>
      <c r="E561" s="7" t="s">
        <v>215</v>
      </c>
      <c r="F561" s="7">
        <f t="shared" si="7"/>
        <v>72</v>
      </c>
      <c r="G561" s="16">
        <f>+(TblDetalle[[#This Row],[MontoBrutoProm_Mes]]/TblDetalle[[#This Row],[UnidadesProm_Mes]])*TblDetalle[[#This Row],[Unidades]]</f>
        <v>2442.8159999999998</v>
      </c>
      <c r="H561" s="8">
        <v>90</v>
      </c>
      <c r="I561" s="9">
        <v>3053.52</v>
      </c>
      <c r="J561">
        <f>+TblDetalle[[#This Row],[Monto A Rebajhar]]/TblDetalle[[#This Row],[MontoBrutoProm_Mes]]</f>
        <v>0.79999999999999993</v>
      </c>
    </row>
    <row r="562" spans="1:10" x14ac:dyDescent="0.3">
      <c r="A562" s="7">
        <v>91</v>
      </c>
      <c r="B562" s="7" t="s">
        <v>364</v>
      </c>
      <c r="C562" s="7">
        <v>101027</v>
      </c>
      <c r="D562" s="7" t="s">
        <v>234</v>
      </c>
      <c r="E562" s="7" t="s">
        <v>215</v>
      </c>
      <c r="F562" s="7">
        <f t="shared" si="7"/>
        <v>41</v>
      </c>
      <c r="G562" s="16">
        <f>+(TblDetalle[[#This Row],[MontoBrutoProm_Mes]]/TblDetalle[[#This Row],[UnidadesProm_Mes]])*TblDetalle[[#This Row],[Unidades]]</f>
        <v>3100.9876923076922</v>
      </c>
      <c r="H562" s="8">
        <v>52</v>
      </c>
      <c r="I562" s="9">
        <v>3932.96</v>
      </c>
      <c r="J562">
        <f>+TblDetalle[[#This Row],[Monto A Rebajhar]]/TblDetalle[[#This Row],[MontoBrutoProm_Mes]]</f>
        <v>0.78846153846153844</v>
      </c>
    </row>
    <row r="563" spans="1:10" x14ac:dyDescent="0.3">
      <c r="A563" s="7">
        <v>91</v>
      </c>
      <c r="B563" s="7" t="s">
        <v>364</v>
      </c>
      <c r="C563" s="7">
        <v>101028</v>
      </c>
      <c r="D563" s="7" t="s">
        <v>214</v>
      </c>
      <c r="E563" s="7" t="s">
        <v>215</v>
      </c>
      <c r="F563" s="7">
        <f t="shared" si="7"/>
        <v>106</v>
      </c>
      <c r="G563" s="16">
        <f>+(TblDetalle[[#This Row],[MontoBrutoProm_Mes]]/TblDetalle[[#This Row],[UnidadesProm_Mes]])*TblDetalle[[#This Row],[Unidades]]</f>
        <v>10470.448872180452</v>
      </c>
      <c r="H563" s="8">
        <v>133</v>
      </c>
      <c r="I563" s="9">
        <v>13137.45</v>
      </c>
      <c r="J563">
        <f>+TblDetalle[[#This Row],[Monto A Rebajhar]]/TblDetalle[[#This Row],[MontoBrutoProm_Mes]]</f>
        <v>0.79699248120300759</v>
      </c>
    </row>
    <row r="564" spans="1:10" x14ac:dyDescent="0.3">
      <c r="A564" s="7">
        <v>91</v>
      </c>
      <c r="B564" s="7" t="s">
        <v>364</v>
      </c>
      <c r="C564" s="7">
        <v>101034</v>
      </c>
      <c r="D564" s="7" t="s">
        <v>272</v>
      </c>
      <c r="E564" s="7" t="s">
        <v>215</v>
      </c>
      <c r="F564" s="7">
        <f t="shared" si="7"/>
        <v>2</v>
      </c>
      <c r="G564" s="16">
        <f>+(TblDetalle[[#This Row],[MontoBrutoProm_Mes]]/TblDetalle[[#This Row],[UnidadesProm_Mes]])*TblDetalle[[#This Row],[Unidades]]</f>
        <v>466.56456456456459</v>
      </c>
      <c r="H564" s="8">
        <v>3.33</v>
      </c>
      <c r="I564" s="9">
        <v>776.83</v>
      </c>
      <c r="J564">
        <f>+TblDetalle[[#This Row],[Monto A Rebajhar]]/TblDetalle[[#This Row],[MontoBrutoProm_Mes]]</f>
        <v>0.60060060060060061</v>
      </c>
    </row>
    <row r="565" spans="1:10" x14ac:dyDescent="0.3">
      <c r="A565" s="7">
        <v>91</v>
      </c>
      <c r="B565" s="7" t="s">
        <v>364</v>
      </c>
      <c r="C565" s="7">
        <v>101038</v>
      </c>
      <c r="D565" s="7" t="s">
        <v>235</v>
      </c>
      <c r="E565" s="7" t="s">
        <v>215</v>
      </c>
      <c r="F565" s="7">
        <f t="shared" si="7"/>
        <v>9</v>
      </c>
      <c r="G565" s="16">
        <f>+(TblDetalle[[#This Row],[MontoBrutoProm_Mes]]/TblDetalle[[#This Row],[UnidadesProm_Mes]])*TblDetalle[[#This Row],[Unidades]]</f>
        <v>3364.41</v>
      </c>
      <c r="H565" s="8">
        <v>12</v>
      </c>
      <c r="I565" s="9">
        <v>4485.88</v>
      </c>
      <c r="J565">
        <f>+TblDetalle[[#This Row],[Monto A Rebajhar]]/TblDetalle[[#This Row],[MontoBrutoProm_Mes]]</f>
        <v>0.75</v>
      </c>
    </row>
    <row r="566" spans="1:10" x14ac:dyDescent="0.3">
      <c r="A566" s="7">
        <v>91</v>
      </c>
      <c r="B566" s="7" t="s">
        <v>364</v>
      </c>
      <c r="C566" s="7">
        <v>101072</v>
      </c>
      <c r="D566" s="7" t="s">
        <v>273</v>
      </c>
      <c r="E566" s="7" t="s">
        <v>215</v>
      </c>
      <c r="F566" s="7">
        <f t="shared" ref="F566:F629" si="8">+ROUNDDOWN(H566*0.8,0)</f>
        <v>6</v>
      </c>
      <c r="G566" s="16">
        <f>+(TblDetalle[[#This Row],[MontoBrutoProm_Mes]]/TblDetalle[[#This Row],[UnidadesProm_Mes]])*TblDetalle[[#This Row],[Unidades]]</f>
        <v>261.29999999999995</v>
      </c>
      <c r="H566" s="8">
        <v>8</v>
      </c>
      <c r="I566" s="9">
        <v>348.4</v>
      </c>
      <c r="J566">
        <f>+TblDetalle[[#This Row],[Monto A Rebajhar]]/TblDetalle[[#This Row],[MontoBrutoProm_Mes]]</f>
        <v>0.74999999999999989</v>
      </c>
    </row>
    <row r="567" spans="1:10" x14ac:dyDescent="0.3">
      <c r="A567" s="7">
        <v>91</v>
      </c>
      <c r="B567" s="7" t="s">
        <v>364</v>
      </c>
      <c r="C567" s="7">
        <v>101130</v>
      </c>
      <c r="D567" s="7" t="s">
        <v>247</v>
      </c>
      <c r="E567" s="7" t="s">
        <v>215</v>
      </c>
      <c r="F567" s="7">
        <f t="shared" si="8"/>
        <v>7</v>
      </c>
      <c r="G567" s="16">
        <f>+(TblDetalle[[#This Row],[MontoBrutoProm_Mes]]/TblDetalle[[#This Row],[UnidadesProm_Mes]])*TblDetalle[[#This Row],[Unidades]]</f>
        <v>6.7524115755627001E-2</v>
      </c>
      <c r="H567" s="8">
        <v>9.33</v>
      </c>
      <c r="I567" s="9">
        <v>0.09</v>
      </c>
      <c r="J567">
        <f>+TblDetalle[[#This Row],[Monto A Rebajhar]]/TblDetalle[[#This Row],[MontoBrutoProm_Mes]]</f>
        <v>0.75026795284030001</v>
      </c>
    </row>
    <row r="568" spans="1:10" x14ac:dyDescent="0.3">
      <c r="A568" s="7">
        <v>91</v>
      </c>
      <c r="B568" s="7" t="s">
        <v>364</v>
      </c>
      <c r="C568" s="7">
        <v>101145</v>
      </c>
      <c r="D568" s="7" t="s">
        <v>275</v>
      </c>
      <c r="E568" s="7" t="s">
        <v>215</v>
      </c>
      <c r="F568" s="7">
        <f t="shared" si="8"/>
        <v>6</v>
      </c>
      <c r="G568" s="16">
        <f>+(TblDetalle[[#This Row],[MontoBrutoProm_Mes]]/TblDetalle[[#This Row],[UnidadesProm_Mes]])*TblDetalle[[#This Row],[Unidades]]</f>
        <v>261.42</v>
      </c>
      <c r="H568" s="8">
        <v>8</v>
      </c>
      <c r="I568" s="9">
        <v>348.56</v>
      </c>
      <c r="J568">
        <f>+TblDetalle[[#This Row],[Monto A Rebajhar]]/TblDetalle[[#This Row],[MontoBrutoProm_Mes]]</f>
        <v>0.75</v>
      </c>
    </row>
    <row r="569" spans="1:10" x14ac:dyDescent="0.3">
      <c r="A569" s="7">
        <v>91</v>
      </c>
      <c r="B569" s="7" t="s">
        <v>364</v>
      </c>
      <c r="C569" s="7">
        <v>103001</v>
      </c>
      <c r="D569" s="7" t="s">
        <v>248</v>
      </c>
      <c r="E569" s="7" t="s">
        <v>215</v>
      </c>
      <c r="F569" s="7">
        <f t="shared" si="8"/>
        <v>29</v>
      </c>
      <c r="G569" s="16">
        <f>+(TblDetalle[[#This Row],[MontoBrutoProm_Mes]]/TblDetalle[[#This Row],[UnidadesProm_Mes]])*TblDetalle[[#This Row],[Unidades]]</f>
        <v>640.66461291186715</v>
      </c>
      <c r="H569" s="8">
        <v>37.33</v>
      </c>
      <c r="I569" s="9">
        <v>824.69</v>
      </c>
      <c r="J569">
        <f>+TblDetalle[[#This Row],[Monto A Rebajhar]]/TblDetalle[[#This Row],[MontoBrutoProm_Mes]]</f>
        <v>0.77685507634610229</v>
      </c>
    </row>
    <row r="570" spans="1:10" x14ac:dyDescent="0.3">
      <c r="A570" s="7">
        <v>91</v>
      </c>
      <c r="B570" s="7" t="s">
        <v>364</v>
      </c>
      <c r="C570" s="7">
        <v>201001</v>
      </c>
      <c r="D570" s="7" t="s">
        <v>216</v>
      </c>
      <c r="E570" s="7" t="s">
        <v>217</v>
      </c>
      <c r="F570" s="7">
        <f t="shared" si="8"/>
        <v>64</v>
      </c>
      <c r="G570" s="16">
        <f>+(TblDetalle[[#This Row],[MontoBrutoProm_Mes]]/TblDetalle[[#This Row],[UnidadesProm_Mes]])*TblDetalle[[#This Row],[Unidades]]</f>
        <v>14256.22913580247</v>
      </c>
      <c r="H570" s="8">
        <v>81</v>
      </c>
      <c r="I570" s="9">
        <v>18043.04</v>
      </c>
      <c r="J570">
        <f>+TblDetalle[[#This Row],[Monto A Rebajhar]]/TblDetalle[[#This Row],[MontoBrutoProm_Mes]]</f>
        <v>0.79012345679012352</v>
      </c>
    </row>
    <row r="571" spans="1:10" x14ac:dyDescent="0.3">
      <c r="A571" s="7">
        <v>91</v>
      </c>
      <c r="B571" s="7" t="s">
        <v>364</v>
      </c>
      <c r="C571" s="7">
        <v>501000</v>
      </c>
      <c r="D571" s="7" t="s">
        <v>237</v>
      </c>
      <c r="E571" s="7" t="s">
        <v>217</v>
      </c>
      <c r="F571" s="7">
        <f t="shared" si="8"/>
        <v>3</v>
      </c>
      <c r="G571" s="16">
        <f>+(TblDetalle[[#This Row],[MontoBrutoProm_Mes]]/TblDetalle[[#This Row],[UnidadesProm_Mes]])*TblDetalle[[#This Row],[Unidades]]</f>
        <v>351.6825</v>
      </c>
      <c r="H571" s="8">
        <v>4</v>
      </c>
      <c r="I571" s="9">
        <v>468.91</v>
      </c>
      <c r="J571">
        <f>+TblDetalle[[#This Row],[Monto A Rebajhar]]/TblDetalle[[#This Row],[MontoBrutoProm_Mes]]</f>
        <v>0.75</v>
      </c>
    </row>
    <row r="572" spans="1:10" x14ac:dyDescent="0.3">
      <c r="A572" s="7">
        <v>91</v>
      </c>
      <c r="B572" s="7" t="s">
        <v>364</v>
      </c>
      <c r="C572" s="7">
        <v>611049</v>
      </c>
      <c r="D572" s="7" t="s">
        <v>251</v>
      </c>
      <c r="E572" s="7" t="s">
        <v>217</v>
      </c>
      <c r="F572" s="7">
        <f t="shared" si="8"/>
        <v>19</v>
      </c>
      <c r="G572" s="16">
        <f>+(TblDetalle[[#This Row],[MontoBrutoProm_Mes]]/TblDetalle[[#This Row],[UnidadesProm_Mes]])*TblDetalle[[#This Row],[Unidades]]</f>
        <v>569.32059186189895</v>
      </c>
      <c r="H572" s="8">
        <v>24.33</v>
      </c>
      <c r="I572" s="9">
        <v>729.03</v>
      </c>
      <c r="J572">
        <f>+TblDetalle[[#This Row],[Monto A Rebajhar]]/TblDetalle[[#This Row],[MontoBrutoProm_Mes]]</f>
        <v>0.78092889436909174</v>
      </c>
    </row>
    <row r="573" spans="1:10" x14ac:dyDescent="0.3">
      <c r="A573" s="7">
        <v>91</v>
      </c>
      <c r="B573" s="7" t="s">
        <v>364</v>
      </c>
      <c r="C573" s="7">
        <v>611053</v>
      </c>
      <c r="D573" s="7" t="s">
        <v>253</v>
      </c>
      <c r="E573" s="7" t="s">
        <v>217</v>
      </c>
      <c r="F573" s="7">
        <f t="shared" si="8"/>
        <v>25</v>
      </c>
      <c r="G573" s="16">
        <f>+(TblDetalle[[#This Row],[MontoBrutoProm_Mes]]/TblDetalle[[#This Row],[UnidadesProm_Mes]])*TblDetalle[[#This Row],[Unidades]]</f>
        <v>525.375</v>
      </c>
      <c r="H573" s="8">
        <v>32</v>
      </c>
      <c r="I573" s="9">
        <v>672.48</v>
      </c>
      <c r="J573">
        <f>+TblDetalle[[#This Row],[Monto A Rebajhar]]/TblDetalle[[#This Row],[MontoBrutoProm_Mes]]</f>
        <v>0.78125</v>
      </c>
    </row>
    <row r="574" spans="1:10" x14ac:dyDescent="0.3">
      <c r="A574" s="7">
        <v>91</v>
      </c>
      <c r="B574" s="7" t="s">
        <v>364</v>
      </c>
      <c r="C574" s="7">
        <v>611055</v>
      </c>
      <c r="D574" s="7" t="s">
        <v>254</v>
      </c>
      <c r="E574" s="7" t="s">
        <v>217</v>
      </c>
      <c r="F574" s="7">
        <f t="shared" si="8"/>
        <v>8</v>
      </c>
      <c r="G574" s="16">
        <f>+(TblDetalle[[#This Row],[MontoBrutoProm_Mes]]/TblDetalle[[#This Row],[UnidadesProm_Mes]])*TblDetalle[[#This Row],[Unidades]]</f>
        <v>664.86972820993435</v>
      </c>
      <c r="H574" s="8">
        <v>10.67</v>
      </c>
      <c r="I574" s="9">
        <v>886.77</v>
      </c>
      <c r="J574">
        <f>+TblDetalle[[#This Row],[Monto A Rebajhar]]/TblDetalle[[#This Row],[MontoBrutoProm_Mes]]</f>
        <v>0.74976569821930639</v>
      </c>
    </row>
    <row r="575" spans="1:10" x14ac:dyDescent="0.3">
      <c r="A575" s="7">
        <v>91</v>
      </c>
      <c r="B575" s="7" t="s">
        <v>364</v>
      </c>
      <c r="C575" s="7">
        <v>621004</v>
      </c>
      <c r="D575" s="7" t="s">
        <v>256</v>
      </c>
      <c r="E575" s="7" t="s">
        <v>239</v>
      </c>
      <c r="F575" s="7">
        <f t="shared" si="8"/>
        <v>1</v>
      </c>
      <c r="G575" s="16">
        <f>+(TblDetalle[[#This Row],[MontoBrutoProm_Mes]]/TblDetalle[[#This Row],[UnidadesProm_Mes]])*TblDetalle[[#This Row],[Unidades]]</f>
        <v>265.58999999999997</v>
      </c>
      <c r="H575" s="8">
        <v>2</v>
      </c>
      <c r="I575" s="9">
        <v>531.17999999999995</v>
      </c>
      <c r="J575">
        <f>+TblDetalle[[#This Row],[Monto A Rebajhar]]/TblDetalle[[#This Row],[MontoBrutoProm_Mes]]</f>
        <v>0.5</v>
      </c>
    </row>
    <row r="576" spans="1:10" x14ac:dyDescent="0.3">
      <c r="A576" s="7">
        <v>91</v>
      </c>
      <c r="B576" s="7" t="s">
        <v>364</v>
      </c>
      <c r="C576" s="7">
        <v>621043</v>
      </c>
      <c r="D576" s="7" t="s">
        <v>257</v>
      </c>
      <c r="E576" s="7" t="s">
        <v>239</v>
      </c>
      <c r="F576" s="7">
        <f t="shared" si="8"/>
        <v>1</v>
      </c>
      <c r="G576" s="16">
        <f>+(TblDetalle[[#This Row],[MontoBrutoProm_Mes]]/TblDetalle[[#This Row],[UnidadesProm_Mes]])*TblDetalle[[#This Row],[Unidades]]</f>
        <v>0</v>
      </c>
      <c r="H576" s="8">
        <v>1.33</v>
      </c>
      <c r="I576" s="9">
        <v>0</v>
      </c>
      <c r="J576" t="e">
        <f>+TblDetalle[[#This Row],[Monto A Rebajhar]]/TblDetalle[[#This Row],[MontoBrutoProm_Mes]]</f>
        <v>#DIV/0!</v>
      </c>
    </row>
    <row r="577" spans="1:10" x14ac:dyDescent="0.3">
      <c r="A577" s="7">
        <v>91</v>
      </c>
      <c r="B577" s="7" t="s">
        <v>364</v>
      </c>
      <c r="C577" s="7">
        <v>621045</v>
      </c>
      <c r="D577" s="7" t="s">
        <v>238</v>
      </c>
      <c r="E577" s="7" t="s">
        <v>239</v>
      </c>
      <c r="F577" s="7">
        <f t="shared" si="8"/>
        <v>12</v>
      </c>
      <c r="G577" s="16">
        <f>+(TblDetalle[[#This Row],[MontoBrutoProm_Mes]]/TblDetalle[[#This Row],[UnidadesProm_Mes]])*TblDetalle[[#This Row],[Unidades]]</f>
        <v>1990.44</v>
      </c>
      <c r="H577" s="8">
        <v>16</v>
      </c>
      <c r="I577" s="9">
        <v>2653.92</v>
      </c>
      <c r="J577">
        <f>+TblDetalle[[#This Row],[Monto A Rebajhar]]/TblDetalle[[#This Row],[MontoBrutoProm_Mes]]</f>
        <v>0.75</v>
      </c>
    </row>
    <row r="578" spans="1:10" x14ac:dyDescent="0.3">
      <c r="A578" s="7">
        <v>91</v>
      </c>
      <c r="B578" s="7" t="s">
        <v>364</v>
      </c>
      <c r="C578" s="7">
        <v>621055</v>
      </c>
      <c r="D578" s="7" t="s">
        <v>365</v>
      </c>
      <c r="E578" s="7" t="s">
        <v>239</v>
      </c>
      <c r="F578" s="7">
        <f t="shared" si="8"/>
        <v>0</v>
      </c>
      <c r="G578" s="16">
        <f>+(TblDetalle[[#This Row],[MontoBrutoProm_Mes]]/TblDetalle[[#This Row],[UnidadesProm_Mes]])*TblDetalle[[#This Row],[Unidades]]</f>
        <v>0</v>
      </c>
      <c r="H578" s="8">
        <v>0.67</v>
      </c>
      <c r="I578" s="9">
        <v>95</v>
      </c>
      <c r="J578">
        <f>+TblDetalle[[#This Row],[Monto A Rebajhar]]/TblDetalle[[#This Row],[MontoBrutoProm_Mes]]</f>
        <v>0</v>
      </c>
    </row>
    <row r="579" spans="1:10" x14ac:dyDescent="0.3">
      <c r="A579" s="7">
        <v>91</v>
      </c>
      <c r="B579" s="7" t="s">
        <v>364</v>
      </c>
      <c r="C579" s="7">
        <v>621056</v>
      </c>
      <c r="D579" s="7" t="s">
        <v>366</v>
      </c>
      <c r="E579" s="7" t="s">
        <v>239</v>
      </c>
      <c r="F579" s="7">
        <f t="shared" si="8"/>
        <v>0</v>
      </c>
      <c r="G579" s="16">
        <f>+(TblDetalle[[#This Row],[MontoBrutoProm_Mes]]/TblDetalle[[#This Row],[UnidadesProm_Mes]])*TblDetalle[[#This Row],[Unidades]]</f>
        <v>0</v>
      </c>
      <c r="H579" s="8">
        <v>0.67</v>
      </c>
      <c r="I579" s="9">
        <v>95</v>
      </c>
      <c r="J579">
        <f>+TblDetalle[[#This Row],[Monto A Rebajhar]]/TblDetalle[[#This Row],[MontoBrutoProm_Mes]]</f>
        <v>0</v>
      </c>
    </row>
    <row r="580" spans="1:10" x14ac:dyDescent="0.3">
      <c r="A580" s="7">
        <v>91</v>
      </c>
      <c r="B580" s="7" t="s">
        <v>364</v>
      </c>
      <c r="C580" s="7">
        <v>621057</v>
      </c>
      <c r="D580" s="7" t="s">
        <v>367</v>
      </c>
      <c r="E580" s="7" t="s">
        <v>239</v>
      </c>
      <c r="F580" s="7">
        <f t="shared" si="8"/>
        <v>0</v>
      </c>
      <c r="G580" s="16">
        <f>+(TblDetalle[[#This Row],[MontoBrutoProm_Mes]]/TblDetalle[[#This Row],[UnidadesProm_Mes]])*TblDetalle[[#This Row],[Unidades]]</f>
        <v>0</v>
      </c>
      <c r="H580" s="8">
        <v>0.67</v>
      </c>
      <c r="I580" s="9">
        <v>95</v>
      </c>
      <c r="J580">
        <f>+TblDetalle[[#This Row],[Monto A Rebajhar]]/TblDetalle[[#This Row],[MontoBrutoProm_Mes]]</f>
        <v>0</v>
      </c>
    </row>
    <row r="581" spans="1:10" x14ac:dyDescent="0.3">
      <c r="A581" s="7">
        <v>91</v>
      </c>
      <c r="B581" s="7" t="s">
        <v>364</v>
      </c>
      <c r="C581" s="7">
        <v>800088</v>
      </c>
      <c r="D581" s="7" t="s">
        <v>240</v>
      </c>
      <c r="E581" s="7" t="s">
        <v>215</v>
      </c>
      <c r="F581" s="7">
        <f t="shared" si="8"/>
        <v>5</v>
      </c>
      <c r="G581" s="16">
        <f>+(TblDetalle[[#This Row],[MontoBrutoProm_Mes]]/TblDetalle[[#This Row],[UnidadesProm_Mes]])*TblDetalle[[#This Row],[Unidades]]</f>
        <v>1874.4857142857145</v>
      </c>
      <c r="H581" s="8">
        <v>7</v>
      </c>
      <c r="I581" s="9">
        <v>2624.28</v>
      </c>
      <c r="J581">
        <f>+TblDetalle[[#This Row],[Monto A Rebajhar]]/TblDetalle[[#This Row],[MontoBrutoProm_Mes]]</f>
        <v>0.7142857142857143</v>
      </c>
    </row>
    <row r="582" spans="1:10" x14ac:dyDescent="0.3">
      <c r="A582" s="7">
        <v>91</v>
      </c>
      <c r="B582" s="7" t="s">
        <v>364</v>
      </c>
      <c r="C582" s="7">
        <v>800089</v>
      </c>
      <c r="D582" s="7" t="s">
        <v>241</v>
      </c>
      <c r="E582" s="7" t="s">
        <v>215</v>
      </c>
      <c r="F582" s="7">
        <f t="shared" si="8"/>
        <v>1</v>
      </c>
      <c r="G582" s="16">
        <f>+(TblDetalle[[#This Row],[MontoBrutoProm_Mes]]/TblDetalle[[#This Row],[UnidadesProm_Mes]])*TblDetalle[[#This Row],[Unidades]]</f>
        <v>381.89699570815452</v>
      </c>
      <c r="H582" s="8">
        <v>2.33</v>
      </c>
      <c r="I582" s="9">
        <v>889.82</v>
      </c>
      <c r="J582">
        <f>+TblDetalle[[#This Row],[Monto A Rebajhar]]/TblDetalle[[#This Row],[MontoBrutoProm_Mes]]</f>
        <v>0.42918454935622319</v>
      </c>
    </row>
    <row r="583" spans="1:10" x14ac:dyDescent="0.3">
      <c r="A583" s="7">
        <v>91</v>
      </c>
      <c r="B583" s="7" t="s">
        <v>364</v>
      </c>
      <c r="C583" s="7">
        <v>800791</v>
      </c>
      <c r="D583" s="7" t="s">
        <v>259</v>
      </c>
      <c r="E583" s="7" t="s">
        <v>243</v>
      </c>
      <c r="F583" s="7">
        <f t="shared" si="8"/>
        <v>16</v>
      </c>
      <c r="G583" s="16">
        <f>+(TblDetalle[[#This Row],[MontoBrutoProm_Mes]]/TblDetalle[[#This Row],[UnidadesProm_Mes]])*TblDetalle[[#This Row],[Unidades]]</f>
        <v>2470.8560000000002</v>
      </c>
      <c r="H583" s="8">
        <v>20</v>
      </c>
      <c r="I583" s="9">
        <v>3088.57</v>
      </c>
      <c r="J583">
        <f>+TblDetalle[[#This Row],[Monto A Rebajhar]]/TblDetalle[[#This Row],[MontoBrutoProm_Mes]]</f>
        <v>0.8</v>
      </c>
    </row>
    <row r="584" spans="1:10" x14ac:dyDescent="0.3">
      <c r="A584" s="7">
        <v>91</v>
      </c>
      <c r="B584" s="7" t="s">
        <v>364</v>
      </c>
      <c r="C584" s="7">
        <v>800792</v>
      </c>
      <c r="D584" s="7" t="s">
        <v>242</v>
      </c>
      <c r="E584" s="7" t="s">
        <v>243</v>
      </c>
      <c r="F584" s="7">
        <f t="shared" si="8"/>
        <v>0</v>
      </c>
      <c r="G584" s="16">
        <f>+(TblDetalle[[#This Row],[MontoBrutoProm_Mes]]/TblDetalle[[#This Row],[UnidadesProm_Mes]])*TblDetalle[[#This Row],[Unidades]]</f>
        <v>0</v>
      </c>
      <c r="H584" s="8">
        <v>1</v>
      </c>
      <c r="I584" s="9">
        <v>161.02000000000001</v>
      </c>
      <c r="J584">
        <f>+TblDetalle[[#This Row],[Monto A Rebajhar]]/TblDetalle[[#This Row],[MontoBrutoProm_Mes]]</f>
        <v>0</v>
      </c>
    </row>
    <row r="585" spans="1:10" x14ac:dyDescent="0.3">
      <c r="A585" s="7">
        <v>91</v>
      </c>
      <c r="B585" s="7" t="s">
        <v>364</v>
      </c>
      <c r="C585" s="7">
        <v>800793</v>
      </c>
      <c r="D585" s="7" t="s">
        <v>260</v>
      </c>
      <c r="E585" s="7" t="s">
        <v>243</v>
      </c>
      <c r="F585" s="7">
        <f t="shared" si="8"/>
        <v>0</v>
      </c>
      <c r="G585" s="16">
        <f>+(TblDetalle[[#This Row],[MontoBrutoProm_Mes]]/TblDetalle[[#This Row],[UnidadesProm_Mes]])*TblDetalle[[#This Row],[Unidades]]</f>
        <v>0</v>
      </c>
      <c r="H585" s="8">
        <v>1</v>
      </c>
      <c r="I585" s="9">
        <v>161.02000000000001</v>
      </c>
      <c r="J585">
        <f>+TblDetalle[[#This Row],[Monto A Rebajhar]]/TblDetalle[[#This Row],[MontoBrutoProm_Mes]]</f>
        <v>0</v>
      </c>
    </row>
    <row r="586" spans="1:10" x14ac:dyDescent="0.3">
      <c r="A586" s="7">
        <v>91</v>
      </c>
      <c r="B586" s="7" t="s">
        <v>364</v>
      </c>
      <c r="C586" s="7">
        <v>924104</v>
      </c>
      <c r="D586" s="7" t="s">
        <v>277</v>
      </c>
      <c r="E586" s="7" t="s">
        <v>215</v>
      </c>
      <c r="F586" s="7">
        <f t="shared" si="8"/>
        <v>3</v>
      </c>
      <c r="G586" s="16">
        <f>+(TblDetalle[[#This Row],[MontoBrutoProm_Mes]]/TblDetalle[[#This Row],[UnidadesProm_Mes]])*TblDetalle[[#This Row],[Unidades]]</f>
        <v>0.03</v>
      </c>
      <c r="H586" s="8">
        <v>4</v>
      </c>
      <c r="I586" s="9">
        <v>0.04</v>
      </c>
      <c r="J586">
        <f>+TblDetalle[[#This Row],[Monto A Rebajhar]]/TblDetalle[[#This Row],[MontoBrutoProm_Mes]]</f>
        <v>0.75</v>
      </c>
    </row>
    <row r="587" spans="1:10" x14ac:dyDescent="0.3">
      <c r="A587" s="7">
        <v>91</v>
      </c>
      <c r="B587" s="7" t="s">
        <v>364</v>
      </c>
      <c r="C587" s="7">
        <v>930012</v>
      </c>
      <c r="D587" s="7" t="s">
        <v>264</v>
      </c>
      <c r="E587" s="7" t="s">
        <v>243</v>
      </c>
      <c r="F587" s="7">
        <f t="shared" si="8"/>
        <v>7</v>
      </c>
      <c r="G587" s="16">
        <f>+(TblDetalle[[#This Row],[MontoBrutoProm_Mes]]/TblDetalle[[#This Row],[UnidadesProm_Mes]])*TblDetalle[[#This Row],[Unidades]]</f>
        <v>640.00413650465362</v>
      </c>
      <c r="H587" s="8">
        <v>9.67</v>
      </c>
      <c r="I587" s="9">
        <v>884.12</v>
      </c>
      <c r="J587">
        <f>+TblDetalle[[#This Row],[Monto A Rebajhar]]/TblDetalle[[#This Row],[MontoBrutoProm_Mes]]</f>
        <v>0.72388831437435375</v>
      </c>
    </row>
    <row r="588" spans="1:10" x14ac:dyDescent="0.3">
      <c r="A588" s="7">
        <v>91</v>
      </c>
      <c r="B588" s="7" t="s">
        <v>364</v>
      </c>
      <c r="C588" s="7">
        <v>930021</v>
      </c>
      <c r="D588" s="7" t="s">
        <v>300</v>
      </c>
      <c r="E588" s="7" t="s">
        <v>243</v>
      </c>
      <c r="F588" s="7">
        <f t="shared" si="8"/>
        <v>0</v>
      </c>
      <c r="G588" s="16">
        <f>+(TblDetalle[[#This Row],[MontoBrutoProm_Mes]]/TblDetalle[[#This Row],[UnidadesProm_Mes]])*TblDetalle[[#This Row],[Unidades]]</f>
        <v>0</v>
      </c>
      <c r="H588" s="8">
        <v>0.67</v>
      </c>
      <c r="I588" s="9">
        <v>62.16</v>
      </c>
      <c r="J588">
        <f>+TblDetalle[[#This Row],[Monto A Rebajhar]]/TblDetalle[[#This Row],[MontoBrutoProm_Mes]]</f>
        <v>0</v>
      </c>
    </row>
    <row r="589" spans="1:10" x14ac:dyDescent="0.3">
      <c r="A589" s="7">
        <v>91</v>
      </c>
      <c r="B589" s="7" t="s">
        <v>364</v>
      </c>
      <c r="C589" s="7">
        <v>930025</v>
      </c>
      <c r="D589" s="7" t="s">
        <v>244</v>
      </c>
      <c r="E589" s="7" t="s">
        <v>243</v>
      </c>
      <c r="F589" s="7">
        <f t="shared" si="8"/>
        <v>31</v>
      </c>
      <c r="G589" s="16">
        <f>+(TblDetalle[[#This Row],[MontoBrutoProm_Mes]]/TblDetalle[[#This Row],[UnidadesProm_Mes]])*TblDetalle[[#This Row],[Unidades]]</f>
        <v>1803.5641025641025</v>
      </c>
      <c r="H589" s="8">
        <v>39</v>
      </c>
      <c r="I589" s="9">
        <v>2269</v>
      </c>
      <c r="J589">
        <f>+TblDetalle[[#This Row],[Monto A Rebajhar]]/TblDetalle[[#This Row],[MontoBrutoProm_Mes]]</f>
        <v>0.79487179487179482</v>
      </c>
    </row>
    <row r="590" spans="1:10" x14ac:dyDescent="0.3">
      <c r="A590" s="7">
        <v>91</v>
      </c>
      <c r="B590" s="7" t="s">
        <v>364</v>
      </c>
      <c r="C590" s="7">
        <v>930028</v>
      </c>
      <c r="D590" s="7" t="s">
        <v>302</v>
      </c>
      <c r="E590" s="7" t="s">
        <v>243</v>
      </c>
      <c r="F590" s="7">
        <f t="shared" si="8"/>
        <v>1</v>
      </c>
      <c r="G590" s="16">
        <f>+(TblDetalle[[#This Row],[MontoBrutoProm_Mes]]/TblDetalle[[#This Row],[UnidadesProm_Mes]])*TblDetalle[[#This Row],[Unidades]]</f>
        <v>89.029940119760482</v>
      </c>
      <c r="H590" s="8">
        <v>1.67</v>
      </c>
      <c r="I590" s="9">
        <v>148.68</v>
      </c>
      <c r="J590">
        <f>+TblDetalle[[#This Row],[Monto A Rebajhar]]/TblDetalle[[#This Row],[MontoBrutoProm_Mes]]</f>
        <v>0.59880239520958078</v>
      </c>
    </row>
    <row r="591" spans="1:10" x14ac:dyDescent="0.3">
      <c r="A591" s="7">
        <v>91</v>
      </c>
      <c r="B591" s="7" t="s">
        <v>364</v>
      </c>
      <c r="C591" s="7">
        <v>930137</v>
      </c>
      <c r="D591" s="7" t="s">
        <v>311</v>
      </c>
      <c r="E591" s="7" t="s">
        <v>243</v>
      </c>
      <c r="F591" s="7">
        <f t="shared" si="8"/>
        <v>2</v>
      </c>
      <c r="G591" s="16">
        <f>+(TblDetalle[[#This Row],[MontoBrutoProm_Mes]]/TblDetalle[[#This Row],[UnidadesProm_Mes]])*TblDetalle[[#This Row],[Unidades]]</f>
        <v>57.27927927927928</v>
      </c>
      <c r="H591" s="8">
        <v>3.33</v>
      </c>
      <c r="I591" s="9">
        <v>95.37</v>
      </c>
      <c r="J591">
        <f>+TblDetalle[[#This Row],[Monto A Rebajhar]]/TblDetalle[[#This Row],[MontoBrutoProm_Mes]]</f>
        <v>0.60060060060060061</v>
      </c>
    </row>
    <row r="592" spans="1:10" x14ac:dyDescent="0.3">
      <c r="A592" s="7">
        <v>91</v>
      </c>
      <c r="B592" s="7" t="s">
        <v>364</v>
      </c>
      <c r="C592" s="7">
        <v>930140</v>
      </c>
      <c r="D592" s="7" t="s">
        <v>314</v>
      </c>
      <c r="E592" s="7" t="s">
        <v>243</v>
      </c>
      <c r="F592" s="7">
        <f t="shared" si="8"/>
        <v>3</v>
      </c>
      <c r="G592" s="16">
        <f>+(TblDetalle[[#This Row],[MontoBrutoProm_Mes]]/TblDetalle[[#This Row],[UnidadesProm_Mes]])*TblDetalle[[#This Row],[Unidades]]</f>
        <v>85.83</v>
      </c>
      <c r="H592" s="8">
        <v>4</v>
      </c>
      <c r="I592" s="9">
        <v>114.44</v>
      </c>
      <c r="J592">
        <f>+TblDetalle[[#This Row],[Monto A Rebajhar]]/TblDetalle[[#This Row],[MontoBrutoProm_Mes]]</f>
        <v>0.75</v>
      </c>
    </row>
    <row r="593" spans="1:10" x14ac:dyDescent="0.3">
      <c r="A593" s="7">
        <v>91</v>
      </c>
      <c r="B593" s="7" t="s">
        <v>364</v>
      </c>
      <c r="C593" s="7">
        <v>930144</v>
      </c>
      <c r="D593" s="7" t="s">
        <v>315</v>
      </c>
      <c r="E593" s="7" t="s">
        <v>243</v>
      </c>
      <c r="F593" s="7">
        <f t="shared" si="8"/>
        <v>2</v>
      </c>
      <c r="G593" s="16">
        <f>+(TblDetalle[[#This Row],[MontoBrutoProm_Mes]]/TblDetalle[[#This Row],[UnidadesProm_Mes]])*TblDetalle[[#This Row],[Unidades]]</f>
        <v>57.27927927927928</v>
      </c>
      <c r="H593" s="8">
        <v>3.33</v>
      </c>
      <c r="I593" s="9">
        <v>95.37</v>
      </c>
      <c r="J593">
        <f>+TblDetalle[[#This Row],[Monto A Rebajhar]]/TblDetalle[[#This Row],[MontoBrutoProm_Mes]]</f>
        <v>0.60060060060060061</v>
      </c>
    </row>
    <row r="594" spans="1:10" x14ac:dyDescent="0.3">
      <c r="A594" s="7">
        <v>91</v>
      </c>
      <c r="B594" s="7" t="s">
        <v>364</v>
      </c>
      <c r="C594" s="7">
        <v>930145</v>
      </c>
      <c r="D594" s="7" t="s">
        <v>316</v>
      </c>
      <c r="E594" s="7" t="s">
        <v>243</v>
      </c>
      <c r="F594" s="7">
        <f t="shared" si="8"/>
        <v>1</v>
      </c>
      <c r="G594" s="16">
        <f>+(TblDetalle[[#This Row],[MontoBrutoProm_Mes]]/TblDetalle[[#This Row],[UnidadesProm_Mes]])*TblDetalle[[#This Row],[Unidades]]</f>
        <v>28.61</v>
      </c>
      <c r="H594" s="8">
        <v>2</v>
      </c>
      <c r="I594" s="9">
        <v>57.22</v>
      </c>
      <c r="J594">
        <f>+TblDetalle[[#This Row],[Monto A Rebajhar]]/TblDetalle[[#This Row],[MontoBrutoProm_Mes]]</f>
        <v>0.5</v>
      </c>
    </row>
    <row r="595" spans="1:10" x14ac:dyDescent="0.3">
      <c r="A595" s="7">
        <v>91</v>
      </c>
      <c r="B595" s="7" t="s">
        <v>364</v>
      </c>
      <c r="C595" s="7">
        <v>930154</v>
      </c>
      <c r="D595" s="7" t="s">
        <v>245</v>
      </c>
      <c r="E595" s="7" t="s">
        <v>243</v>
      </c>
      <c r="F595" s="7">
        <f t="shared" si="8"/>
        <v>2</v>
      </c>
      <c r="G595" s="16">
        <f>+(TblDetalle[[#This Row],[MontoBrutoProm_Mes]]/TblDetalle[[#This Row],[UnidadesProm_Mes]])*TblDetalle[[#This Row],[Unidades]]</f>
        <v>175.02702702702703</v>
      </c>
      <c r="H595" s="8">
        <v>3.33</v>
      </c>
      <c r="I595" s="9">
        <v>291.42</v>
      </c>
      <c r="J595">
        <f>+TblDetalle[[#This Row],[Monto A Rebajhar]]/TblDetalle[[#This Row],[MontoBrutoProm_Mes]]</f>
        <v>0.60060060060060061</v>
      </c>
    </row>
    <row r="596" spans="1:10" x14ac:dyDescent="0.3">
      <c r="A596" s="7">
        <v>91</v>
      </c>
      <c r="B596" s="7" t="s">
        <v>364</v>
      </c>
      <c r="C596" s="7">
        <v>930177</v>
      </c>
      <c r="D596" s="7" t="s">
        <v>317</v>
      </c>
      <c r="E596" s="7" t="s">
        <v>243</v>
      </c>
      <c r="F596" s="7">
        <f t="shared" si="8"/>
        <v>9</v>
      </c>
      <c r="G596" s="16">
        <f>+(TblDetalle[[#This Row],[MontoBrutoProm_Mes]]/TblDetalle[[#This Row],[UnidadesProm_Mes]])*TblDetalle[[#This Row],[Unidades]]</f>
        <v>257.5684024713151</v>
      </c>
      <c r="H596" s="8">
        <v>11.33</v>
      </c>
      <c r="I596" s="9">
        <v>324.25</v>
      </c>
      <c r="J596">
        <f>+TblDetalle[[#This Row],[Monto A Rebajhar]]/TblDetalle[[#This Row],[MontoBrutoProm_Mes]]</f>
        <v>0.79435127978817299</v>
      </c>
    </row>
    <row r="597" spans="1:10" x14ac:dyDescent="0.3">
      <c r="A597" s="7">
        <v>91</v>
      </c>
      <c r="B597" s="7" t="s">
        <v>364</v>
      </c>
      <c r="C597" s="7">
        <v>930178</v>
      </c>
      <c r="D597" s="7" t="s">
        <v>267</v>
      </c>
      <c r="E597" s="7" t="s">
        <v>243</v>
      </c>
      <c r="F597" s="7">
        <f t="shared" si="8"/>
        <v>5</v>
      </c>
      <c r="G597" s="16">
        <f>+(TblDetalle[[#This Row],[MontoBrutoProm_Mes]]/TblDetalle[[#This Row],[UnidadesProm_Mes]])*TblDetalle[[#This Row],[Unidades]]</f>
        <v>143.12796208530804</v>
      </c>
      <c r="H597" s="8">
        <v>6.33</v>
      </c>
      <c r="I597" s="9">
        <v>181.2</v>
      </c>
      <c r="J597">
        <f>+TblDetalle[[#This Row],[Monto A Rebajhar]]/TblDetalle[[#This Row],[MontoBrutoProm_Mes]]</f>
        <v>0.78988941548183256</v>
      </c>
    </row>
    <row r="598" spans="1:10" x14ac:dyDescent="0.3">
      <c r="A598" s="7">
        <v>91</v>
      </c>
      <c r="B598" s="7" t="s">
        <v>364</v>
      </c>
      <c r="C598" s="7">
        <v>982003</v>
      </c>
      <c r="D598" s="7" t="s">
        <v>269</v>
      </c>
      <c r="E598" s="7" t="s">
        <v>270</v>
      </c>
      <c r="F598" s="7">
        <f t="shared" si="8"/>
        <v>2</v>
      </c>
      <c r="G598" s="16">
        <f>+(TblDetalle[[#This Row],[MontoBrutoProm_Mes]]/TblDetalle[[#This Row],[UnidadesProm_Mes]])*TblDetalle[[#This Row],[Unidades]]</f>
        <v>520.52252252252254</v>
      </c>
      <c r="H598" s="8">
        <v>3.33</v>
      </c>
      <c r="I598" s="9">
        <v>866.67</v>
      </c>
      <c r="J598">
        <f>+TblDetalle[[#This Row],[Monto A Rebajhar]]/TblDetalle[[#This Row],[MontoBrutoProm_Mes]]</f>
        <v>0.60060060060060061</v>
      </c>
    </row>
    <row r="599" spans="1:10" x14ac:dyDescent="0.3">
      <c r="A599" s="7">
        <v>91</v>
      </c>
      <c r="B599" s="7" t="s">
        <v>364</v>
      </c>
      <c r="C599" s="7">
        <v>982005</v>
      </c>
      <c r="D599" s="7" t="s">
        <v>285</v>
      </c>
      <c r="E599" s="7" t="s">
        <v>270</v>
      </c>
      <c r="F599" s="7">
        <f t="shared" si="8"/>
        <v>24</v>
      </c>
      <c r="G599" s="16">
        <f>+(TblDetalle[[#This Row],[MontoBrutoProm_Mes]]/TblDetalle[[#This Row],[UnidadesProm_Mes]])*TblDetalle[[#This Row],[Unidades]]</f>
        <v>3689.5989566351482</v>
      </c>
      <c r="H599" s="8">
        <v>30.67</v>
      </c>
      <c r="I599" s="9">
        <v>4715</v>
      </c>
      <c r="J599">
        <f>+TblDetalle[[#This Row],[Monto A Rebajhar]]/TblDetalle[[#This Row],[MontoBrutoProm_Mes]]</f>
        <v>0.78252363873492004</v>
      </c>
    </row>
    <row r="600" spans="1:10" x14ac:dyDescent="0.3">
      <c r="A600" s="7">
        <v>93</v>
      </c>
      <c r="B600" s="7" t="s">
        <v>368</v>
      </c>
      <c r="C600" s="7">
        <v>101005</v>
      </c>
      <c r="D600" s="7" t="s">
        <v>232</v>
      </c>
      <c r="E600" s="7" t="s">
        <v>215</v>
      </c>
      <c r="F600" s="7">
        <f t="shared" si="8"/>
        <v>16</v>
      </c>
      <c r="G600" s="16">
        <f>+(TblDetalle[[#This Row],[MontoBrutoProm_Mes]]/TblDetalle[[#This Row],[UnidadesProm_Mes]])*TblDetalle[[#This Row],[Unidades]]</f>
        <v>1240.6399999999999</v>
      </c>
      <c r="H600" s="8">
        <v>20</v>
      </c>
      <c r="I600" s="9">
        <v>1550.8</v>
      </c>
      <c r="J600">
        <f>+TblDetalle[[#This Row],[Monto A Rebajhar]]/TblDetalle[[#This Row],[MontoBrutoProm_Mes]]</f>
        <v>0.79999999999999993</v>
      </c>
    </row>
    <row r="601" spans="1:10" x14ac:dyDescent="0.3">
      <c r="A601" s="7">
        <v>93</v>
      </c>
      <c r="B601" s="7" t="s">
        <v>368</v>
      </c>
      <c r="C601" s="7">
        <v>101027</v>
      </c>
      <c r="D601" s="7" t="s">
        <v>234</v>
      </c>
      <c r="E601" s="7" t="s">
        <v>215</v>
      </c>
      <c r="F601" s="7">
        <f t="shared" si="8"/>
        <v>6</v>
      </c>
      <c r="G601" s="16">
        <f>+(TblDetalle[[#This Row],[MontoBrutoProm_Mes]]/TblDetalle[[#This Row],[UnidadesProm_Mes]])*TblDetalle[[#This Row],[Unidades]]</f>
        <v>465.24</v>
      </c>
      <c r="H601" s="8">
        <v>8</v>
      </c>
      <c r="I601" s="9">
        <v>620.32000000000005</v>
      </c>
      <c r="J601">
        <f>+TblDetalle[[#This Row],[Monto A Rebajhar]]/TblDetalle[[#This Row],[MontoBrutoProm_Mes]]</f>
        <v>0.75</v>
      </c>
    </row>
    <row r="602" spans="1:10" x14ac:dyDescent="0.3">
      <c r="A602" s="7">
        <v>93</v>
      </c>
      <c r="B602" s="7" t="s">
        <v>368</v>
      </c>
      <c r="C602" s="7">
        <v>101028</v>
      </c>
      <c r="D602" s="7" t="s">
        <v>214</v>
      </c>
      <c r="E602" s="7" t="s">
        <v>215</v>
      </c>
      <c r="F602" s="7">
        <f t="shared" si="8"/>
        <v>7</v>
      </c>
      <c r="G602" s="16">
        <f>+(TblDetalle[[#This Row],[MontoBrutoProm_Mes]]/TblDetalle[[#This Row],[UnidadesProm_Mes]])*TblDetalle[[#This Row],[Unidades]]</f>
        <v>694.2979635584137</v>
      </c>
      <c r="H602" s="8">
        <v>9.33</v>
      </c>
      <c r="I602" s="9">
        <v>925.4</v>
      </c>
      <c r="J602">
        <f>+TblDetalle[[#This Row],[Monto A Rebajhar]]/TblDetalle[[#This Row],[MontoBrutoProm_Mes]]</f>
        <v>0.75026795284030012</v>
      </c>
    </row>
    <row r="603" spans="1:10" x14ac:dyDescent="0.3">
      <c r="A603" s="7">
        <v>93</v>
      </c>
      <c r="B603" s="7" t="s">
        <v>368</v>
      </c>
      <c r="C603" s="7">
        <v>101038</v>
      </c>
      <c r="D603" s="7" t="s">
        <v>235</v>
      </c>
      <c r="E603" s="7" t="s">
        <v>215</v>
      </c>
      <c r="F603" s="7">
        <f t="shared" si="8"/>
        <v>2</v>
      </c>
      <c r="G603" s="16">
        <f>+(TblDetalle[[#This Row],[MontoBrutoProm_Mes]]/TblDetalle[[#This Row],[UnidadesProm_Mes]])*TblDetalle[[#This Row],[Unidades]]</f>
        <v>771.95195195195186</v>
      </c>
      <c r="H603" s="8">
        <v>3.33</v>
      </c>
      <c r="I603" s="9">
        <v>1285.3</v>
      </c>
      <c r="J603">
        <f>+TblDetalle[[#This Row],[Monto A Rebajhar]]/TblDetalle[[#This Row],[MontoBrutoProm_Mes]]</f>
        <v>0.6006006006006005</v>
      </c>
    </row>
    <row r="604" spans="1:10" x14ac:dyDescent="0.3">
      <c r="A604" s="7">
        <v>93</v>
      </c>
      <c r="B604" s="7" t="s">
        <v>368</v>
      </c>
      <c r="C604" s="7">
        <v>101130</v>
      </c>
      <c r="D604" s="7" t="s">
        <v>247</v>
      </c>
      <c r="E604" s="7" t="s">
        <v>215</v>
      </c>
      <c r="F604" s="7">
        <f t="shared" si="8"/>
        <v>4</v>
      </c>
      <c r="G604" s="16">
        <f>+(TblDetalle[[#This Row],[MontoBrutoProm_Mes]]/TblDetalle[[#This Row],[UnidadesProm_Mes]])*TblDetalle[[#This Row],[Unidades]]</f>
        <v>3.7523452157598502E-2</v>
      </c>
      <c r="H604" s="8">
        <v>5.33</v>
      </c>
      <c r="I604" s="9">
        <v>0.05</v>
      </c>
      <c r="J604">
        <f>+TblDetalle[[#This Row],[Monto A Rebajhar]]/TblDetalle[[#This Row],[MontoBrutoProm_Mes]]</f>
        <v>0.75046904315197005</v>
      </c>
    </row>
    <row r="605" spans="1:10" x14ac:dyDescent="0.3">
      <c r="A605" s="7">
        <v>93</v>
      </c>
      <c r="B605" s="7" t="s">
        <v>368</v>
      </c>
      <c r="C605" s="7">
        <v>103001</v>
      </c>
      <c r="D605" s="7" t="s">
        <v>248</v>
      </c>
      <c r="E605" s="7" t="s">
        <v>215</v>
      </c>
      <c r="F605" s="7">
        <f t="shared" si="8"/>
        <v>25</v>
      </c>
      <c r="G605" s="16">
        <f>+(TblDetalle[[#This Row],[MontoBrutoProm_Mes]]/TblDetalle[[#This Row],[UnidadesProm_Mes]])*TblDetalle[[#This Row],[Unidades]]</f>
        <v>552.25</v>
      </c>
      <c r="H605" s="8">
        <v>32</v>
      </c>
      <c r="I605" s="9">
        <v>706.88</v>
      </c>
      <c r="J605">
        <f>+TblDetalle[[#This Row],[Monto A Rebajhar]]/TblDetalle[[#This Row],[MontoBrutoProm_Mes]]</f>
        <v>0.78125</v>
      </c>
    </row>
    <row r="606" spans="1:10" x14ac:dyDescent="0.3">
      <c r="A606" s="7">
        <v>93</v>
      </c>
      <c r="B606" s="7" t="s">
        <v>368</v>
      </c>
      <c r="C606" s="7">
        <v>103208</v>
      </c>
      <c r="D606" s="7" t="s">
        <v>236</v>
      </c>
      <c r="E606" s="7" t="s">
        <v>215</v>
      </c>
      <c r="F606" s="7">
        <f t="shared" si="8"/>
        <v>6</v>
      </c>
      <c r="G606" s="16">
        <f>+(TblDetalle[[#This Row],[MontoBrutoProm_Mes]]/TblDetalle[[#This Row],[UnidadesProm_Mes]])*TblDetalle[[#This Row],[Unidades]]</f>
        <v>461.34000000000003</v>
      </c>
      <c r="H606" s="8">
        <v>8</v>
      </c>
      <c r="I606" s="9">
        <v>615.12</v>
      </c>
      <c r="J606">
        <f>+TblDetalle[[#This Row],[Monto A Rebajhar]]/TblDetalle[[#This Row],[MontoBrutoProm_Mes]]</f>
        <v>0.75</v>
      </c>
    </row>
    <row r="607" spans="1:10" x14ac:dyDescent="0.3">
      <c r="A607" s="7">
        <v>93</v>
      </c>
      <c r="B607" s="7" t="s">
        <v>368</v>
      </c>
      <c r="C607" s="7">
        <v>201001</v>
      </c>
      <c r="D607" s="7" t="s">
        <v>216</v>
      </c>
      <c r="E607" s="7" t="s">
        <v>217</v>
      </c>
      <c r="F607" s="7">
        <f t="shared" si="8"/>
        <v>2</v>
      </c>
      <c r="G607" s="16">
        <f>+(TblDetalle[[#This Row],[MontoBrutoProm_Mes]]/TblDetalle[[#This Row],[UnidadesProm_Mes]])*TblDetalle[[#This Row],[Unidades]]</f>
        <v>476.39639639639643</v>
      </c>
      <c r="H607" s="8">
        <v>3.33</v>
      </c>
      <c r="I607" s="9">
        <v>793.2</v>
      </c>
      <c r="J607">
        <f>+TblDetalle[[#This Row],[Monto A Rebajhar]]/TblDetalle[[#This Row],[MontoBrutoProm_Mes]]</f>
        <v>0.60060060060060061</v>
      </c>
    </row>
    <row r="608" spans="1:10" x14ac:dyDescent="0.3">
      <c r="A608" s="7">
        <v>93</v>
      </c>
      <c r="B608" s="7" t="s">
        <v>368</v>
      </c>
      <c r="C608" s="7">
        <v>611092</v>
      </c>
      <c r="D608" s="7" t="s">
        <v>348</v>
      </c>
      <c r="E608" s="7" t="s">
        <v>294</v>
      </c>
      <c r="F608" s="7">
        <f t="shared" si="8"/>
        <v>2</v>
      </c>
      <c r="G608" s="16">
        <f>+(TblDetalle[[#This Row],[MontoBrutoProm_Mes]]/TblDetalle[[#This Row],[UnidadesProm_Mes]])*TblDetalle[[#This Row],[Unidades]]</f>
        <v>406.40871934604905</v>
      </c>
      <c r="H608" s="8">
        <v>3.67</v>
      </c>
      <c r="I608" s="9">
        <v>745.76</v>
      </c>
      <c r="J608">
        <f>+TblDetalle[[#This Row],[Monto A Rebajhar]]/TblDetalle[[#This Row],[MontoBrutoProm_Mes]]</f>
        <v>0.54495912806539515</v>
      </c>
    </row>
    <row r="609" spans="1:10" x14ac:dyDescent="0.3">
      <c r="A609" s="7">
        <v>93</v>
      </c>
      <c r="B609" s="7" t="s">
        <v>368</v>
      </c>
      <c r="C609" s="7">
        <v>611221</v>
      </c>
      <c r="D609" s="7" t="s">
        <v>293</v>
      </c>
      <c r="E609" s="7" t="s">
        <v>294</v>
      </c>
      <c r="F609" s="7">
        <f t="shared" si="8"/>
        <v>1</v>
      </c>
      <c r="G609" s="16">
        <f>+(TblDetalle[[#This Row],[MontoBrutoProm_Mes]]/TblDetalle[[#This Row],[UnidadesProm_Mes]])*TblDetalle[[#This Row],[Unidades]]</f>
        <v>203.39</v>
      </c>
      <c r="H609" s="8">
        <v>2</v>
      </c>
      <c r="I609" s="9">
        <v>406.78</v>
      </c>
      <c r="J609">
        <f>+TblDetalle[[#This Row],[Monto A Rebajhar]]/TblDetalle[[#This Row],[MontoBrutoProm_Mes]]</f>
        <v>0.5</v>
      </c>
    </row>
    <row r="610" spans="1:10" x14ac:dyDescent="0.3">
      <c r="A610" s="7">
        <v>93</v>
      </c>
      <c r="B610" s="7" t="s">
        <v>368</v>
      </c>
      <c r="C610" s="7">
        <v>800088</v>
      </c>
      <c r="D610" s="7" t="s">
        <v>240</v>
      </c>
      <c r="E610" s="7" t="s">
        <v>215</v>
      </c>
      <c r="F610" s="7">
        <f t="shared" si="8"/>
        <v>1</v>
      </c>
      <c r="G610" s="16">
        <f>+(TblDetalle[[#This Row],[MontoBrutoProm_Mes]]/TblDetalle[[#This Row],[UnidadesProm_Mes]])*TblDetalle[[#This Row],[Unidades]]</f>
        <v>382.30827067669173</v>
      </c>
      <c r="H610" s="8">
        <v>1.33</v>
      </c>
      <c r="I610" s="9">
        <v>508.47</v>
      </c>
      <c r="J610">
        <f>+TblDetalle[[#This Row],[Monto A Rebajhar]]/TblDetalle[[#This Row],[MontoBrutoProm_Mes]]</f>
        <v>0.75187969924812026</v>
      </c>
    </row>
    <row r="611" spans="1:10" x14ac:dyDescent="0.3">
      <c r="A611" s="7">
        <v>93</v>
      </c>
      <c r="B611" s="7" t="s">
        <v>368</v>
      </c>
      <c r="C611" s="7">
        <v>800089</v>
      </c>
      <c r="D611" s="7" t="s">
        <v>241</v>
      </c>
      <c r="E611" s="7" t="s">
        <v>215</v>
      </c>
      <c r="F611" s="7">
        <f t="shared" si="8"/>
        <v>2</v>
      </c>
      <c r="G611" s="16">
        <f>+(TblDetalle[[#This Row],[MontoBrutoProm_Mes]]/TblDetalle[[#This Row],[UnidadesProm_Mes]])*TblDetalle[[#This Row],[Unidades]]</f>
        <v>761.74531835205994</v>
      </c>
      <c r="H611" s="8">
        <v>2.67</v>
      </c>
      <c r="I611" s="9">
        <v>1016.93</v>
      </c>
      <c r="J611">
        <f>+TblDetalle[[#This Row],[Monto A Rebajhar]]/TblDetalle[[#This Row],[MontoBrutoProm_Mes]]</f>
        <v>0.74906367041198507</v>
      </c>
    </row>
    <row r="612" spans="1:10" x14ac:dyDescent="0.3">
      <c r="A612" s="7">
        <v>93</v>
      </c>
      <c r="B612" s="7" t="s">
        <v>368</v>
      </c>
      <c r="C612" s="7">
        <v>925050</v>
      </c>
      <c r="D612" s="7" t="s">
        <v>261</v>
      </c>
      <c r="E612" s="7" t="s">
        <v>220</v>
      </c>
      <c r="F612" s="7">
        <f t="shared" si="8"/>
        <v>6</v>
      </c>
      <c r="G612" s="16">
        <f>+(TblDetalle[[#This Row],[MontoBrutoProm_Mes]]/TblDetalle[[#This Row],[UnidadesProm_Mes]])*TblDetalle[[#This Row],[Unidades]]</f>
        <v>463.68</v>
      </c>
      <c r="H612" s="8">
        <v>8</v>
      </c>
      <c r="I612" s="9">
        <v>618.24</v>
      </c>
      <c r="J612">
        <f>+TblDetalle[[#This Row],[Monto A Rebajhar]]/TblDetalle[[#This Row],[MontoBrutoProm_Mes]]</f>
        <v>0.75</v>
      </c>
    </row>
    <row r="613" spans="1:10" x14ac:dyDescent="0.3">
      <c r="A613" s="7">
        <v>93</v>
      </c>
      <c r="B613" s="7" t="s">
        <v>368</v>
      </c>
      <c r="C613" s="7">
        <v>925064</v>
      </c>
      <c r="D613" s="7" t="s">
        <v>263</v>
      </c>
      <c r="E613" s="7" t="s">
        <v>220</v>
      </c>
      <c r="F613" s="7">
        <f t="shared" si="8"/>
        <v>13</v>
      </c>
      <c r="G613" s="16">
        <f>+(TblDetalle[[#This Row],[MontoBrutoProm_Mes]]/TblDetalle[[#This Row],[UnidadesProm_Mes]])*TblDetalle[[#This Row],[Unidades]]</f>
        <v>446.59328134373112</v>
      </c>
      <c r="H613" s="8">
        <v>16.670000000000002</v>
      </c>
      <c r="I613" s="9">
        <v>572.66999999999996</v>
      </c>
      <c r="J613">
        <f>+TblDetalle[[#This Row],[Monto A Rebajhar]]/TblDetalle[[#This Row],[MontoBrutoProm_Mes]]</f>
        <v>0.77984403119376111</v>
      </c>
    </row>
    <row r="614" spans="1:10" x14ac:dyDescent="0.3">
      <c r="A614" s="7">
        <v>93</v>
      </c>
      <c r="B614" s="7" t="s">
        <v>368</v>
      </c>
      <c r="C614" s="7">
        <v>925102</v>
      </c>
      <c r="D614" s="7" t="s">
        <v>319</v>
      </c>
      <c r="E614" s="7" t="s">
        <v>220</v>
      </c>
      <c r="F614" s="7">
        <f t="shared" si="8"/>
        <v>6</v>
      </c>
      <c r="G614" s="16">
        <f>+(TblDetalle[[#This Row],[MontoBrutoProm_Mes]]/TblDetalle[[#This Row],[UnidadesProm_Mes]])*TblDetalle[[#This Row],[Unidades]]</f>
        <v>823.19999999999993</v>
      </c>
      <c r="H614" s="8">
        <v>8</v>
      </c>
      <c r="I614" s="9">
        <v>1097.5999999999999</v>
      </c>
      <c r="J614">
        <f>+TblDetalle[[#This Row],[Monto A Rebajhar]]/TblDetalle[[#This Row],[MontoBrutoProm_Mes]]</f>
        <v>0.75</v>
      </c>
    </row>
    <row r="615" spans="1:10" x14ac:dyDescent="0.3">
      <c r="A615" s="7">
        <v>94</v>
      </c>
      <c r="B615" s="7" t="s">
        <v>369</v>
      </c>
      <c r="C615" s="7">
        <v>101005</v>
      </c>
      <c r="D615" s="7" t="s">
        <v>232</v>
      </c>
      <c r="E615" s="7" t="s">
        <v>215</v>
      </c>
      <c r="F615" s="7">
        <f t="shared" si="8"/>
        <v>85</v>
      </c>
      <c r="G615" s="16">
        <f>+(TblDetalle[[#This Row],[MontoBrutoProm_Mes]]/TblDetalle[[#This Row],[UnidadesProm_Mes]])*TblDetalle[[#This Row],[Unidades]]</f>
        <v>6394.8621075188676</v>
      </c>
      <c r="H615" s="8">
        <v>107.33</v>
      </c>
      <c r="I615" s="9">
        <v>8074.83</v>
      </c>
      <c r="J615">
        <f>+TblDetalle[[#This Row],[Monto A Rebajhar]]/TblDetalle[[#This Row],[MontoBrutoProm_Mes]]</f>
        <v>0.79195006056088701</v>
      </c>
    </row>
    <row r="616" spans="1:10" x14ac:dyDescent="0.3">
      <c r="A616" s="7">
        <v>94</v>
      </c>
      <c r="B616" s="7" t="s">
        <v>369</v>
      </c>
      <c r="C616" s="7">
        <v>101026</v>
      </c>
      <c r="D616" s="7" t="s">
        <v>233</v>
      </c>
      <c r="E616" s="7" t="s">
        <v>215</v>
      </c>
      <c r="F616" s="7">
        <f t="shared" si="8"/>
        <v>95</v>
      </c>
      <c r="G616" s="16">
        <f>+(TblDetalle[[#This Row],[MontoBrutoProm_Mes]]/TblDetalle[[#This Row],[UnidadesProm_Mes]])*TblDetalle[[#This Row],[Unidades]]</f>
        <v>3246.1260504201678</v>
      </c>
      <c r="H616" s="8">
        <v>119</v>
      </c>
      <c r="I616" s="9">
        <v>4066.2</v>
      </c>
      <c r="J616">
        <f>+TblDetalle[[#This Row],[Monto A Rebajhar]]/TblDetalle[[#This Row],[MontoBrutoProm_Mes]]</f>
        <v>0.79831932773109238</v>
      </c>
    </row>
    <row r="617" spans="1:10" x14ac:dyDescent="0.3">
      <c r="A617" s="7">
        <v>94</v>
      </c>
      <c r="B617" s="7" t="s">
        <v>369</v>
      </c>
      <c r="C617" s="7">
        <v>101027</v>
      </c>
      <c r="D617" s="7" t="s">
        <v>234</v>
      </c>
      <c r="E617" s="7" t="s">
        <v>215</v>
      </c>
      <c r="F617" s="7">
        <f t="shared" si="8"/>
        <v>101</v>
      </c>
      <c r="G617" s="16">
        <f>+(TblDetalle[[#This Row],[MontoBrutoProm_Mes]]/TblDetalle[[#This Row],[UnidadesProm_Mes]])*TblDetalle[[#This Row],[Unidades]]</f>
        <v>7595.8774051676746</v>
      </c>
      <c r="H617" s="8">
        <v>127.33</v>
      </c>
      <c r="I617" s="9">
        <v>9576.07</v>
      </c>
      <c r="J617">
        <f>+TblDetalle[[#This Row],[Monto A Rebajhar]]/TblDetalle[[#This Row],[MontoBrutoProm_Mes]]</f>
        <v>0.79321448205450407</v>
      </c>
    </row>
    <row r="618" spans="1:10" x14ac:dyDescent="0.3">
      <c r="A618" s="7">
        <v>94</v>
      </c>
      <c r="B618" s="7" t="s">
        <v>369</v>
      </c>
      <c r="C618" s="7">
        <v>101028</v>
      </c>
      <c r="D618" s="7" t="s">
        <v>214</v>
      </c>
      <c r="E618" s="7" t="s">
        <v>215</v>
      </c>
      <c r="F618" s="7">
        <f t="shared" si="8"/>
        <v>122</v>
      </c>
      <c r="G618" s="16">
        <f>+(TblDetalle[[#This Row],[MontoBrutoProm_Mes]]/TblDetalle[[#This Row],[UnidadesProm_Mes]])*TblDetalle[[#This Row],[Unidades]]</f>
        <v>12050.016304702276</v>
      </c>
      <c r="H618" s="8">
        <v>153.33000000000001</v>
      </c>
      <c r="I618" s="9">
        <v>15144.5</v>
      </c>
      <c r="J618">
        <f>+TblDetalle[[#This Row],[Monto A Rebajhar]]/TblDetalle[[#This Row],[MontoBrutoProm_Mes]]</f>
        <v>0.79566947107545816</v>
      </c>
    </row>
    <row r="619" spans="1:10" x14ac:dyDescent="0.3">
      <c r="A619" s="7">
        <v>94</v>
      </c>
      <c r="B619" s="7" t="s">
        <v>369</v>
      </c>
      <c r="C619" s="7">
        <v>101034</v>
      </c>
      <c r="D619" s="7" t="s">
        <v>272</v>
      </c>
      <c r="E619" s="7" t="s">
        <v>215</v>
      </c>
      <c r="F619" s="7">
        <f t="shared" si="8"/>
        <v>8</v>
      </c>
      <c r="G619" s="16">
        <f>+(TblDetalle[[#This Row],[MontoBrutoProm_Mes]]/TblDetalle[[#This Row],[UnidadesProm_Mes]])*TblDetalle[[#This Row],[Unidades]]</f>
        <v>1898.2909090909091</v>
      </c>
      <c r="H619" s="8">
        <v>11</v>
      </c>
      <c r="I619" s="9">
        <v>2610.15</v>
      </c>
      <c r="J619">
        <f>+TblDetalle[[#This Row],[Monto A Rebajhar]]/TblDetalle[[#This Row],[MontoBrutoProm_Mes]]</f>
        <v>0.72727272727272718</v>
      </c>
    </row>
    <row r="620" spans="1:10" x14ac:dyDescent="0.3">
      <c r="A620" s="7">
        <v>94</v>
      </c>
      <c r="B620" s="7" t="s">
        <v>369</v>
      </c>
      <c r="C620" s="7">
        <v>101038</v>
      </c>
      <c r="D620" s="7" t="s">
        <v>235</v>
      </c>
      <c r="E620" s="7" t="s">
        <v>215</v>
      </c>
      <c r="F620" s="7">
        <f t="shared" si="8"/>
        <v>29</v>
      </c>
      <c r="G620" s="16">
        <f>+(TblDetalle[[#This Row],[MontoBrutoProm_Mes]]/TblDetalle[[#This Row],[UnidadesProm_Mes]])*TblDetalle[[#This Row],[Unidades]]</f>
        <v>10689.627297297298</v>
      </c>
      <c r="H620" s="8">
        <v>37</v>
      </c>
      <c r="I620" s="9">
        <v>13638.49</v>
      </c>
      <c r="J620">
        <f>+TblDetalle[[#This Row],[Monto A Rebajhar]]/TblDetalle[[#This Row],[MontoBrutoProm_Mes]]</f>
        <v>0.78378378378378388</v>
      </c>
    </row>
    <row r="621" spans="1:10" x14ac:dyDescent="0.3">
      <c r="A621" s="7">
        <v>94</v>
      </c>
      <c r="B621" s="7" t="s">
        <v>369</v>
      </c>
      <c r="C621" s="7">
        <v>101111</v>
      </c>
      <c r="D621" s="7" t="s">
        <v>339</v>
      </c>
      <c r="E621" s="7" t="s">
        <v>215</v>
      </c>
      <c r="F621" s="7">
        <f t="shared" si="8"/>
        <v>1</v>
      </c>
      <c r="G621" s="16">
        <f>+(TblDetalle[[#This Row],[MontoBrutoProm_Mes]]/TblDetalle[[#This Row],[UnidadesProm_Mes]])*TblDetalle[[#This Row],[Unidades]]</f>
        <v>92.27</v>
      </c>
      <c r="H621" s="8">
        <v>2</v>
      </c>
      <c r="I621" s="9">
        <v>184.54</v>
      </c>
      <c r="J621">
        <f>+TblDetalle[[#This Row],[Monto A Rebajhar]]/TblDetalle[[#This Row],[MontoBrutoProm_Mes]]</f>
        <v>0.5</v>
      </c>
    </row>
    <row r="622" spans="1:10" x14ac:dyDescent="0.3">
      <c r="A622" s="7">
        <v>94</v>
      </c>
      <c r="B622" s="7" t="s">
        <v>369</v>
      </c>
      <c r="C622" s="7">
        <v>101130</v>
      </c>
      <c r="D622" s="7" t="s">
        <v>247</v>
      </c>
      <c r="E622" s="7" t="s">
        <v>215</v>
      </c>
      <c r="F622" s="7">
        <f t="shared" si="8"/>
        <v>7</v>
      </c>
      <c r="G622" s="16">
        <f>+(TblDetalle[[#This Row],[MontoBrutoProm_Mes]]/TblDetalle[[#This Row],[UnidadesProm_Mes]])*TblDetalle[[#This Row],[Unidades]]</f>
        <v>6.7524115755627001E-2</v>
      </c>
      <c r="H622" s="8">
        <v>9.33</v>
      </c>
      <c r="I622" s="9">
        <v>0.09</v>
      </c>
      <c r="J622">
        <f>+TblDetalle[[#This Row],[Monto A Rebajhar]]/TblDetalle[[#This Row],[MontoBrutoProm_Mes]]</f>
        <v>0.75026795284030001</v>
      </c>
    </row>
    <row r="623" spans="1:10" x14ac:dyDescent="0.3">
      <c r="A623" s="7">
        <v>94</v>
      </c>
      <c r="B623" s="7" t="s">
        <v>369</v>
      </c>
      <c r="C623" s="7">
        <v>101132</v>
      </c>
      <c r="D623" s="7" t="s">
        <v>340</v>
      </c>
      <c r="E623" s="7" t="s">
        <v>215</v>
      </c>
      <c r="F623" s="7">
        <f t="shared" si="8"/>
        <v>1</v>
      </c>
      <c r="G623" s="16">
        <f>+(TblDetalle[[#This Row],[MontoBrutoProm_Mes]]/TblDetalle[[#This Row],[UnidadesProm_Mes]])*TblDetalle[[#This Row],[Unidades]]</f>
        <v>92.27</v>
      </c>
      <c r="H623" s="8">
        <v>2</v>
      </c>
      <c r="I623" s="9">
        <v>184.54</v>
      </c>
      <c r="J623">
        <f>+TblDetalle[[#This Row],[Monto A Rebajhar]]/TblDetalle[[#This Row],[MontoBrutoProm_Mes]]</f>
        <v>0.5</v>
      </c>
    </row>
    <row r="624" spans="1:10" x14ac:dyDescent="0.3">
      <c r="A624" s="7">
        <v>94</v>
      </c>
      <c r="B624" s="7" t="s">
        <v>369</v>
      </c>
      <c r="C624" s="7">
        <v>101141</v>
      </c>
      <c r="D624" s="7" t="s">
        <v>370</v>
      </c>
      <c r="E624" s="7" t="s">
        <v>215</v>
      </c>
      <c r="F624" s="7">
        <f t="shared" si="8"/>
        <v>0</v>
      </c>
      <c r="G624" s="16">
        <f>+(TblDetalle[[#This Row],[MontoBrutoProm_Mes]]/TblDetalle[[#This Row],[UnidadesProm_Mes]])*TblDetalle[[#This Row],[Unidades]]</f>
        <v>0</v>
      </c>
      <c r="H624" s="8">
        <v>0.67</v>
      </c>
      <c r="I624" s="9">
        <v>0</v>
      </c>
      <c r="J624" t="e">
        <f>+TblDetalle[[#This Row],[Monto A Rebajhar]]/TblDetalle[[#This Row],[MontoBrutoProm_Mes]]</f>
        <v>#DIV/0!</v>
      </c>
    </row>
    <row r="625" spans="1:10" x14ac:dyDescent="0.3">
      <c r="A625" s="7">
        <v>94</v>
      </c>
      <c r="B625" s="7" t="s">
        <v>369</v>
      </c>
      <c r="C625" s="7">
        <v>103001</v>
      </c>
      <c r="D625" s="7" t="s">
        <v>248</v>
      </c>
      <c r="E625" s="7" t="s">
        <v>215</v>
      </c>
      <c r="F625" s="7">
        <f t="shared" si="8"/>
        <v>92</v>
      </c>
      <c r="G625" s="16">
        <f>+(TblDetalle[[#This Row],[MontoBrutoProm_Mes]]/TblDetalle[[#This Row],[UnidadesProm_Mes]])*TblDetalle[[#This Row],[Unidades]]</f>
        <v>2032.28</v>
      </c>
      <c r="H625" s="8">
        <v>115</v>
      </c>
      <c r="I625" s="9">
        <v>2540.35</v>
      </c>
      <c r="J625">
        <f>+TblDetalle[[#This Row],[Monto A Rebajhar]]/TblDetalle[[#This Row],[MontoBrutoProm_Mes]]</f>
        <v>0.8</v>
      </c>
    </row>
    <row r="626" spans="1:10" x14ac:dyDescent="0.3">
      <c r="A626" s="7">
        <v>94</v>
      </c>
      <c r="B626" s="7" t="s">
        <v>369</v>
      </c>
      <c r="C626" s="7">
        <v>103202</v>
      </c>
      <c r="D626" s="7" t="s">
        <v>287</v>
      </c>
      <c r="E626" s="7" t="s">
        <v>215</v>
      </c>
      <c r="F626" s="7">
        <f t="shared" si="8"/>
        <v>16</v>
      </c>
      <c r="G626" s="16">
        <f>+(TblDetalle[[#This Row],[MontoBrutoProm_Mes]]/TblDetalle[[#This Row],[UnidadesProm_Mes]])*TblDetalle[[#This Row],[Unidades]]</f>
        <v>1563.84</v>
      </c>
      <c r="H626" s="8">
        <v>20</v>
      </c>
      <c r="I626" s="9">
        <v>1954.8</v>
      </c>
      <c r="J626">
        <f>+TblDetalle[[#This Row],[Monto A Rebajhar]]/TblDetalle[[#This Row],[MontoBrutoProm_Mes]]</f>
        <v>0.79999999999999993</v>
      </c>
    </row>
    <row r="627" spans="1:10" x14ac:dyDescent="0.3">
      <c r="A627" s="7">
        <v>94</v>
      </c>
      <c r="B627" s="7" t="s">
        <v>369</v>
      </c>
      <c r="C627" s="7">
        <v>201001</v>
      </c>
      <c r="D627" s="7" t="s">
        <v>216</v>
      </c>
      <c r="E627" s="7" t="s">
        <v>217</v>
      </c>
      <c r="F627" s="7">
        <f t="shared" si="8"/>
        <v>176</v>
      </c>
      <c r="G627" s="16">
        <f>+(TblDetalle[[#This Row],[MontoBrutoProm_Mes]]/TblDetalle[[#This Row],[UnidadesProm_Mes]])*TblDetalle[[#This Row],[Unidades]]</f>
        <v>39620.713846153849</v>
      </c>
      <c r="H627" s="8">
        <v>221</v>
      </c>
      <c r="I627" s="9">
        <v>49751.01</v>
      </c>
      <c r="J627">
        <f>+TblDetalle[[#This Row],[Monto A Rebajhar]]/TblDetalle[[#This Row],[MontoBrutoProm_Mes]]</f>
        <v>0.79638009049773761</v>
      </c>
    </row>
    <row r="628" spans="1:10" x14ac:dyDescent="0.3">
      <c r="A628" s="7">
        <v>94</v>
      </c>
      <c r="B628" s="7" t="s">
        <v>369</v>
      </c>
      <c r="C628" s="7">
        <v>501000</v>
      </c>
      <c r="D628" s="7" t="s">
        <v>237</v>
      </c>
      <c r="E628" s="7" t="s">
        <v>217</v>
      </c>
      <c r="F628" s="7">
        <f t="shared" si="8"/>
        <v>3</v>
      </c>
      <c r="G628" s="16">
        <f>+(TblDetalle[[#This Row],[MontoBrutoProm_Mes]]/TblDetalle[[#This Row],[UnidadesProm_Mes]])*TblDetalle[[#This Row],[Unidades]]</f>
        <v>351.29792147806006</v>
      </c>
      <c r="H628" s="8">
        <v>4.33</v>
      </c>
      <c r="I628" s="9">
        <v>507.04</v>
      </c>
      <c r="J628">
        <f>+TblDetalle[[#This Row],[Monto A Rebajhar]]/TblDetalle[[#This Row],[MontoBrutoProm_Mes]]</f>
        <v>0.69284064665127021</v>
      </c>
    </row>
    <row r="629" spans="1:10" x14ac:dyDescent="0.3">
      <c r="A629" s="7">
        <v>94</v>
      </c>
      <c r="B629" s="7" t="s">
        <v>369</v>
      </c>
      <c r="C629" s="7">
        <v>611049</v>
      </c>
      <c r="D629" s="7" t="s">
        <v>251</v>
      </c>
      <c r="E629" s="7" t="s">
        <v>217</v>
      </c>
      <c r="F629" s="7">
        <f t="shared" si="8"/>
        <v>13</v>
      </c>
      <c r="G629" s="16">
        <f>+(TblDetalle[[#This Row],[MontoBrutoProm_Mes]]/TblDetalle[[#This Row],[UnidadesProm_Mes]])*TblDetalle[[#This Row],[Unidades]]</f>
        <v>375.55113288426213</v>
      </c>
      <c r="H629" s="8">
        <v>16.329999999999998</v>
      </c>
      <c r="I629" s="9">
        <v>471.75</v>
      </c>
      <c r="J629">
        <f>+TblDetalle[[#This Row],[Monto A Rebajhar]]/TblDetalle[[#This Row],[MontoBrutoProm_Mes]]</f>
        <v>0.79608083282302522</v>
      </c>
    </row>
    <row r="630" spans="1:10" x14ac:dyDescent="0.3">
      <c r="A630" s="7">
        <v>94</v>
      </c>
      <c r="B630" s="7" t="s">
        <v>369</v>
      </c>
      <c r="C630" s="7">
        <v>611052</v>
      </c>
      <c r="D630" s="7" t="s">
        <v>252</v>
      </c>
      <c r="E630" s="7" t="s">
        <v>217</v>
      </c>
      <c r="F630" s="7">
        <f t="shared" ref="F630:F693" si="9">+ROUNDDOWN(H630*0.8,0)</f>
        <v>9</v>
      </c>
      <c r="G630" s="16">
        <f>+(TblDetalle[[#This Row],[MontoBrutoProm_Mes]]/TblDetalle[[#This Row],[UnidadesProm_Mes]])*TblDetalle[[#This Row],[Unidades]]</f>
        <v>186.09</v>
      </c>
      <c r="H630" s="8">
        <v>12</v>
      </c>
      <c r="I630" s="9">
        <v>248.12</v>
      </c>
      <c r="J630">
        <f>+TblDetalle[[#This Row],[Monto A Rebajhar]]/TblDetalle[[#This Row],[MontoBrutoProm_Mes]]</f>
        <v>0.75</v>
      </c>
    </row>
    <row r="631" spans="1:10" x14ac:dyDescent="0.3">
      <c r="A631" s="7">
        <v>94</v>
      </c>
      <c r="B631" s="7" t="s">
        <v>369</v>
      </c>
      <c r="C631" s="7">
        <v>611053</v>
      </c>
      <c r="D631" s="7" t="s">
        <v>253</v>
      </c>
      <c r="E631" s="7" t="s">
        <v>217</v>
      </c>
      <c r="F631" s="7">
        <f t="shared" si="9"/>
        <v>19</v>
      </c>
      <c r="G631" s="16">
        <f>+(TblDetalle[[#This Row],[MontoBrutoProm_Mes]]/TblDetalle[[#This Row],[UnidadesProm_Mes]])*TblDetalle[[#This Row],[Unidades]]</f>
        <v>399.28500000000003</v>
      </c>
      <c r="H631" s="8">
        <v>24</v>
      </c>
      <c r="I631" s="9">
        <v>504.36</v>
      </c>
      <c r="J631">
        <f>+TblDetalle[[#This Row],[Monto A Rebajhar]]/TblDetalle[[#This Row],[MontoBrutoProm_Mes]]</f>
        <v>0.79166666666666674</v>
      </c>
    </row>
    <row r="632" spans="1:10" x14ac:dyDescent="0.3">
      <c r="A632" s="7">
        <v>94</v>
      </c>
      <c r="B632" s="7" t="s">
        <v>369</v>
      </c>
      <c r="C632" s="7">
        <v>611221</v>
      </c>
      <c r="D632" s="7" t="s">
        <v>293</v>
      </c>
      <c r="E632" s="7" t="s">
        <v>294</v>
      </c>
      <c r="F632" s="7">
        <f t="shared" si="9"/>
        <v>0</v>
      </c>
      <c r="G632" s="16">
        <f>+(TblDetalle[[#This Row],[MontoBrutoProm_Mes]]/TblDetalle[[#This Row],[UnidadesProm_Mes]])*TblDetalle[[#This Row],[Unidades]]</f>
        <v>0</v>
      </c>
      <c r="H632" s="8">
        <v>0.33</v>
      </c>
      <c r="I632" s="9">
        <v>67.8</v>
      </c>
      <c r="J632">
        <f>+TblDetalle[[#This Row],[Monto A Rebajhar]]/TblDetalle[[#This Row],[MontoBrutoProm_Mes]]</f>
        <v>0</v>
      </c>
    </row>
    <row r="633" spans="1:10" x14ac:dyDescent="0.3">
      <c r="A633" s="7">
        <v>94</v>
      </c>
      <c r="B633" s="7" t="s">
        <v>369</v>
      </c>
      <c r="C633" s="7">
        <v>621004</v>
      </c>
      <c r="D633" s="7" t="s">
        <v>256</v>
      </c>
      <c r="E633" s="7" t="s">
        <v>239</v>
      </c>
      <c r="F633" s="7">
        <f t="shared" si="9"/>
        <v>6</v>
      </c>
      <c r="G633" s="16">
        <f>+(TblDetalle[[#This Row],[MontoBrutoProm_Mes]]/TblDetalle[[#This Row],[UnidadesProm_Mes]])*TblDetalle[[#This Row],[Unidades]]</f>
        <v>1708.92</v>
      </c>
      <c r="H633" s="8">
        <v>8</v>
      </c>
      <c r="I633" s="9">
        <v>2278.56</v>
      </c>
      <c r="J633">
        <f>+TblDetalle[[#This Row],[Monto A Rebajhar]]/TblDetalle[[#This Row],[MontoBrutoProm_Mes]]</f>
        <v>0.75</v>
      </c>
    </row>
    <row r="634" spans="1:10" x14ac:dyDescent="0.3">
      <c r="A634" s="7">
        <v>94</v>
      </c>
      <c r="B634" s="7" t="s">
        <v>369</v>
      </c>
      <c r="C634" s="7">
        <v>621043</v>
      </c>
      <c r="D634" s="7" t="s">
        <v>257</v>
      </c>
      <c r="E634" s="7" t="s">
        <v>239</v>
      </c>
      <c r="F634" s="7">
        <f t="shared" si="9"/>
        <v>2</v>
      </c>
      <c r="G634" s="16">
        <f>+(TblDetalle[[#This Row],[MontoBrutoProm_Mes]]/TblDetalle[[#This Row],[UnidadesProm_Mes]])*TblDetalle[[#This Row],[Unidades]]</f>
        <v>2.247191011235955E-2</v>
      </c>
      <c r="H634" s="8">
        <v>2.67</v>
      </c>
      <c r="I634" s="9">
        <v>0.03</v>
      </c>
      <c r="J634">
        <f>+TblDetalle[[#This Row],[Monto A Rebajhar]]/TblDetalle[[#This Row],[MontoBrutoProm_Mes]]</f>
        <v>0.74906367041198507</v>
      </c>
    </row>
    <row r="635" spans="1:10" x14ac:dyDescent="0.3">
      <c r="A635" s="7">
        <v>94</v>
      </c>
      <c r="B635" s="7" t="s">
        <v>369</v>
      </c>
      <c r="C635" s="7">
        <v>621045</v>
      </c>
      <c r="D635" s="7" t="s">
        <v>238</v>
      </c>
      <c r="E635" s="7" t="s">
        <v>239</v>
      </c>
      <c r="F635" s="7">
        <f t="shared" si="9"/>
        <v>13</v>
      </c>
      <c r="G635" s="16">
        <f>+(TblDetalle[[#This Row],[MontoBrutoProm_Mes]]/TblDetalle[[#This Row],[UnidadesProm_Mes]])*TblDetalle[[#This Row],[Unidades]]</f>
        <v>2207.7232088181263</v>
      </c>
      <c r="H635" s="8">
        <v>16.329999999999998</v>
      </c>
      <c r="I635" s="9">
        <v>2773.24</v>
      </c>
      <c r="J635">
        <f>+TblDetalle[[#This Row],[Monto A Rebajhar]]/TblDetalle[[#This Row],[MontoBrutoProm_Mes]]</f>
        <v>0.79608083282302522</v>
      </c>
    </row>
    <row r="636" spans="1:10" x14ac:dyDescent="0.3">
      <c r="A636" s="7">
        <v>94</v>
      </c>
      <c r="B636" s="7" t="s">
        <v>369</v>
      </c>
      <c r="C636" s="7">
        <v>621055</v>
      </c>
      <c r="D636" s="7" t="s">
        <v>365</v>
      </c>
      <c r="E636" s="7" t="s">
        <v>239</v>
      </c>
      <c r="F636" s="7">
        <f t="shared" si="9"/>
        <v>1</v>
      </c>
      <c r="G636" s="16">
        <f>+(TblDetalle[[#This Row],[MontoBrutoProm_Mes]]/TblDetalle[[#This Row],[UnidadesProm_Mes]])*TblDetalle[[#This Row],[Unidades]]</f>
        <v>139.08000000000001</v>
      </c>
      <c r="H636" s="8">
        <v>2</v>
      </c>
      <c r="I636" s="9">
        <v>278.16000000000003</v>
      </c>
      <c r="J636">
        <f>+TblDetalle[[#This Row],[Monto A Rebajhar]]/TblDetalle[[#This Row],[MontoBrutoProm_Mes]]</f>
        <v>0.5</v>
      </c>
    </row>
    <row r="637" spans="1:10" x14ac:dyDescent="0.3">
      <c r="A637" s="7">
        <v>94</v>
      </c>
      <c r="B637" s="7" t="s">
        <v>369</v>
      </c>
      <c r="C637" s="7">
        <v>621058</v>
      </c>
      <c r="D637" s="7" t="s">
        <v>371</v>
      </c>
      <c r="E637" s="7" t="s">
        <v>239</v>
      </c>
      <c r="F637" s="7">
        <f t="shared" si="9"/>
        <v>1</v>
      </c>
      <c r="G637" s="16">
        <f>+(TblDetalle[[#This Row],[MontoBrutoProm_Mes]]/TblDetalle[[#This Row],[UnidadesProm_Mes]])*TblDetalle[[#This Row],[Unidades]]</f>
        <v>139.08000000000001</v>
      </c>
      <c r="H637" s="8">
        <v>2</v>
      </c>
      <c r="I637" s="9">
        <v>278.16000000000003</v>
      </c>
      <c r="J637">
        <f>+TblDetalle[[#This Row],[Monto A Rebajhar]]/TblDetalle[[#This Row],[MontoBrutoProm_Mes]]</f>
        <v>0.5</v>
      </c>
    </row>
    <row r="638" spans="1:10" x14ac:dyDescent="0.3">
      <c r="A638" s="7">
        <v>94</v>
      </c>
      <c r="B638" s="7" t="s">
        <v>369</v>
      </c>
      <c r="C638" s="7">
        <v>621059</v>
      </c>
      <c r="D638" s="7" t="s">
        <v>372</v>
      </c>
      <c r="E638" s="7" t="s">
        <v>239</v>
      </c>
      <c r="F638" s="7">
        <f t="shared" si="9"/>
        <v>1</v>
      </c>
      <c r="G638" s="16">
        <f>+(TblDetalle[[#This Row],[MontoBrutoProm_Mes]]/TblDetalle[[#This Row],[UnidadesProm_Mes]])*TblDetalle[[#This Row],[Unidades]]</f>
        <v>139.08000000000001</v>
      </c>
      <c r="H638" s="8">
        <v>2</v>
      </c>
      <c r="I638" s="9">
        <v>278.16000000000003</v>
      </c>
      <c r="J638">
        <f>+TblDetalle[[#This Row],[Monto A Rebajhar]]/TblDetalle[[#This Row],[MontoBrutoProm_Mes]]</f>
        <v>0.5</v>
      </c>
    </row>
    <row r="639" spans="1:10" x14ac:dyDescent="0.3">
      <c r="A639" s="7">
        <v>94</v>
      </c>
      <c r="B639" s="7" t="s">
        <v>369</v>
      </c>
      <c r="C639" s="7">
        <v>800088</v>
      </c>
      <c r="D639" s="7" t="s">
        <v>240</v>
      </c>
      <c r="E639" s="7" t="s">
        <v>215</v>
      </c>
      <c r="F639" s="7">
        <f t="shared" si="9"/>
        <v>13</v>
      </c>
      <c r="G639" s="16">
        <f>+(TblDetalle[[#This Row],[MontoBrutoProm_Mes]]/TblDetalle[[#This Row],[UnidadesProm_Mes]])*TblDetalle[[#This Row],[Unidades]]</f>
        <v>4806.4211764705879</v>
      </c>
      <c r="H639" s="8">
        <v>17</v>
      </c>
      <c r="I639" s="9">
        <v>6285.32</v>
      </c>
      <c r="J639">
        <f>+TblDetalle[[#This Row],[Monto A Rebajhar]]/TblDetalle[[#This Row],[MontoBrutoProm_Mes]]</f>
        <v>0.76470588235294112</v>
      </c>
    </row>
    <row r="640" spans="1:10" x14ac:dyDescent="0.3">
      <c r="A640" s="7">
        <v>94</v>
      </c>
      <c r="B640" s="7" t="s">
        <v>369</v>
      </c>
      <c r="C640" s="7">
        <v>800089</v>
      </c>
      <c r="D640" s="7" t="s">
        <v>241</v>
      </c>
      <c r="E640" s="7" t="s">
        <v>215</v>
      </c>
      <c r="F640" s="7">
        <f t="shared" si="9"/>
        <v>11</v>
      </c>
      <c r="G640" s="16">
        <f>+(TblDetalle[[#This Row],[MontoBrutoProm_Mes]]/TblDetalle[[#This Row],[UnidadesProm_Mes]])*TblDetalle[[#This Row],[Unidades]]</f>
        <v>4079.5753237900476</v>
      </c>
      <c r="H640" s="8">
        <v>14.67</v>
      </c>
      <c r="I640" s="9">
        <v>5440.67</v>
      </c>
      <c r="J640">
        <f>+TblDetalle[[#This Row],[Monto A Rebajhar]]/TblDetalle[[#This Row],[MontoBrutoProm_Mes]]</f>
        <v>0.74982958418541235</v>
      </c>
    </row>
    <row r="641" spans="1:10" x14ac:dyDescent="0.3">
      <c r="A641" s="7">
        <v>94</v>
      </c>
      <c r="B641" s="7" t="s">
        <v>369</v>
      </c>
      <c r="C641" s="7">
        <v>800783</v>
      </c>
      <c r="D641" s="7" t="s">
        <v>258</v>
      </c>
      <c r="E641" s="7" t="s">
        <v>243</v>
      </c>
      <c r="F641" s="7">
        <f t="shared" si="9"/>
        <v>0</v>
      </c>
      <c r="G641" s="16">
        <f>+(TblDetalle[[#This Row],[MontoBrutoProm_Mes]]/TblDetalle[[#This Row],[UnidadesProm_Mes]])*TblDetalle[[#This Row],[Unidades]]</f>
        <v>0</v>
      </c>
      <c r="H641" s="8">
        <v>0.33</v>
      </c>
      <c r="I641" s="9">
        <v>0.02</v>
      </c>
      <c r="J641">
        <f>+TblDetalle[[#This Row],[Monto A Rebajhar]]/TblDetalle[[#This Row],[MontoBrutoProm_Mes]]</f>
        <v>0</v>
      </c>
    </row>
    <row r="642" spans="1:10" x14ac:dyDescent="0.3">
      <c r="A642" s="7">
        <v>94</v>
      </c>
      <c r="B642" s="7" t="s">
        <v>369</v>
      </c>
      <c r="C642" s="7">
        <v>800791</v>
      </c>
      <c r="D642" s="7" t="s">
        <v>259</v>
      </c>
      <c r="E642" s="7" t="s">
        <v>243</v>
      </c>
      <c r="F642" s="7">
        <f t="shared" si="9"/>
        <v>0</v>
      </c>
      <c r="G642" s="16">
        <f>+(TblDetalle[[#This Row],[MontoBrutoProm_Mes]]/TblDetalle[[#This Row],[UnidadesProm_Mes]])*TblDetalle[[#This Row],[Unidades]]</f>
        <v>0</v>
      </c>
      <c r="H642" s="8">
        <v>1</v>
      </c>
      <c r="I642" s="9">
        <v>161.02000000000001</v>
      </c>
      <c r="J642">
        <f>+TblDetalle[[#This Row],[Monto A Rebajhar]]/TblDetalle[[#This Row],[MontoBrutoProm_Mes]]</f>
        <v>0</v>
      </c>
    </row>
    <row r="643" spans="1:10" x14ac:dyDescent="0.3">
      <c r="A643" s="7">
        <v>94</v>
      </c>
      <c r="B643" s="7" t="s">
        <v>369</v>
      </c>
      <c r="C643" s="7">
        <v>800792</v>
      </c>
      <c r="D643" s="7" t="s">
        <v>242</v>
      </c>
      <c r="E643" s="7" t="s">
        <v>243</v>
      </c>
      <c r="F643" s="7">
        <f t="shared" si="9"/>
        <v>21</v>
      </c>
      <c r="G643" s="16">
        <f>+(TblDetalle[[#This Row],[MontoBrutoProm_Mes]]/TblDetalle[[#This Row],[UnidadesProm_Mes]])*TblDetalle[[#This Row],[Unidades]]</f>
        <v>3283.4173228346453</v>
      </c>
      <c r="H643" s="8">
        <v>26.67</v>
      </c>
      <c r="I643" s="9">
        <v>4169.9399999999996</v>
      </c>
      <c r="J643">
        <f>+TblDetalle[[#This Row],[Monto A Rebajhar]]/TblDetalle[[#This Row],[MontoBrutoProm_Mes]]</f>
        <v>0.78740157480314965</v>
      </c>
    </row>
    <row r="644" spans="1:10" x14ac:dyDescent="0.3">
      <c r="A644" s="7">
        <v>94</v>
      </c>
      <c r="B644" s="7" t="s">
        <v>369</v>
      </c>
      <c r="C644" s="7">
        <v>800793</v>
      </c>
      <c r="D644" s="7" t="s">
        <v>260</v>
      </c>
      <c r="E644" s="7" t="s">
        <v>243</v>
      </c>
      <c r="F644" s="7">
        <f t="shared" si="9"/>
        <v>14</v>
      </c>
      <c r="G644" s="16">
        <f>+(TblDetalle[[#This Row],[MontoBrutoProm_Mes]]/TblDetalle[[#This Row],[UnidadesProm_Mes]])*TblDetalle[[#This Row],[Unidades]]</f>
        <v>2161.9966666666669</v>
      </c>
      <c r="H644" s="8">
        <v>18</v>
      </c>
      <c r="I644" s="9">
        <v>2779.71</v>
      </c>
      <c r="J644">
        <f>+TblDetalle[[#This Row],[Monto A Rebajhar]]/TblDetalle[[#This Row],[MontoBrutoProm_Mes]]</f>
        <v>0.7777777777777779</v>
      </c>
    </row>
    <row r="645" spans="1:10" x14ac:dyDescent="0.3">
      <c r="A645" s="7">
        <v>94</v>
      </c>
      <c r="B645" s="7" t="s">
        <v>369</v>
      </c>
      <c r="C645" s="7">
        <v>800796</v>
      </c>
      <c r="D645" s="7" t="s">
        <v>276</v>
      </c>
      <c r="E645" s="7" t="s">
        <v>243</v>
      </c>
      <c r="F645" s="7">
        <f t="shared" si="9"/>
        <v>0</v>
      </c>
      <c r="G645" s="16">
        <f>+(TblDetalle[[#This Row],[MontoBrutoProm_Mes]]/TblDetalle[[#This Row],[UnidadesProm_Mes]])*TblDetalle[[#This Row],[Unidades]]</f>
        <v>0</v>
      </c>
      <c r="H645" s="8">
        <v>0.67</v>
      </c>
      <c r="I645" s="9">
        <v>107.35</v>
      </c>
      <c r="J645">
        <f>+TblDetalle[[#This Row],[Monto A Rebajhar]]/TblDetalle[[#This Row],[MontoBrutoProm_Mes]]</f>
        <v>0</v>
      </c>
    </row>
    <row r="646" spans="1:10" x14ac:dyDescent="0.3">
      <c r="A646" s="7">
        <v>94</v>
      </c>
      <c r="B646" s="7" t="s">
        <v>369</v>
      </c>
      <c r="C646" s="7">
        <v>910010</v>
      </c>
      <c r="D646" s="7" t="s">
        <v>373</v>
      </c>
      <c r="E646" s="7" t="s">
        <v>215</v>
      </c>
      <c r="F646" s="7">
        <f t="shared" si="9"/>
        <v>0</v>
      </c>
      <c r="G646" s="16">
        <f>+(TblDetalle[[#This Row],[MontoBrutoProm_Mes]]/TblDetalle[[#This Row],[UnidadesProm_Mes]])*TblDetalle[[#This Row],[Unidades]]</f>
        <v>0</v>
      </c>
      <c r="H646" s="8">
        <v>0.67</v>
      </c>
      <c r="I646" s="9">
        <v>0.01</v>
      </c>
      <c r="J646">
        <f>+TblDetalle[[#This Row],[Monto A Rebajhar]]/TblDetalle[[#This Row],[MontoBrutoProm_Mes]]</f>
        <v>0</v>
      </c>
    </row>
    <row r="647" spans="1:10" x14ac:dyDescent="0.3">
      <c r="A647" s="7">
        <v>94</v>
      </c>
      <c r="B647" s="7" t="s">
        <v>369</v>
      </c>
      <c r="C647" s="7">
        <v>925050</v>
      </c>
      <c r="D647" s="7" t="s">
        <v>261</v>
      </c>
      <c r="E647" s="7" t="s">
        <v>220</v>
      </c>
      <c r="F647" s="7">
        <f t="shared" si="9"/>
        <v>6</v>
      </c>
      <c r="G647" s="16">
        <f>+(TblDetalle[[#This Row],[MontoBrutoProm_Mes]]/TblDetalle[[#This Row],[UnidadesProm_Mes]])*TblDetalle[[#This Row],[Unidades]]</f>
        <v>463.68</v>
      </c>
      <c r="H647" s="8">
        <v>8</v>
      </c>
      <c r="I647" s="9">
        <v>618.24</v>
      </c>
      <c r="J647">
        <f>+TblDetalle[[#This Row],[Monto A Rebajhar]]/TblDetalle[[#This Row],[MontoBrutoProm_Mes]]</f>
        <v>0.75</v>
      </c>
    </row>
    <row r="648" spans="1:10" x14ac:dyDescent="0.3">
      <c r="A648" s="7">
        <v>94</v>
      </c>
      <c r="B648" s="7" t="s">
        <v>369</v>
      </c>
      <c r="C648" s="7">
        <v>925062</v>
      </c>
      <c r="D648" s="7" t="s">
        <v>345</v>
      </c>
      <c r="E648" s="7" t="s">
        <v>220</v>
      </c>
      <c r="F648" s="7">
        <f t="shared" si="9"/>
        <v>0</v>
      </c>
      <c r="G648" s="16">
        <f>+(TblDetalle[[#This Row],[MontoBrutoProm_Mes]]/TblDetalle[[#This Row],[UnidadesProm_Mes]])*TblDetalle[[#This Row],[Unidades]]</f>
        <v>0</v>
      </c>
      <c r="H648" s="8">
        <v>0.33</v>
      </c>
      <c r="I648" s="9">
        <v>0</v>
      </c>
      <c r="J648" t="e">
        <f>+TblDetalle[[#This Row],[Monto A Rebajhar]]/TblDetalle[[#This Row],[MontoBrutoProm_Mes]]</f>
        <v>#DIV/0!</v>
      </c>
    </row>
    <row r="649" spans="1:10" x14ac:dyDescent="0.3">
      <c r="A649" s="7">
        <v>94</v>
      </c>
      <c r="B649" s="7" t="s">
        <v>369</v>
      </c>
      <c r="C649" s="7">
        <v>925064</v>
      </c>
      <c r="D649" s="7" t="s">
        <v>263</v>
      </c>
      <c r="E649" s="7" t="s">
        <v>220</v>
      </c>
      <c r="F649" s="7">
        <f t="shared" si="9"/>
        <v>53</v>
      </c>
      <c r="G649" s="16">
        <f>+(TblDetalle[[#This Row],[MontoBrutoProm_Mes]]/TblDetalle[[#This Row],[UnidadesProm_Mes]])*TblDetalle[[#This Row],[Unidades]]</f>
        <v>1781.243587820609</v>
      </c>
      <c r="H649" s="8">
        <v>66.67</v>
      </c>
      <c r="I649" s="9">
        <v>2240.67</v>
      </c>
      <c r="J649">
        <f>+TblDetalle[[#This Row],[Monto A Rebajhar]]/TblDetalle[[#This Row],[MontoBrutoProm_Mes]]</f>
        <v>0.79496025198740061</v>
      </c>
    </row>
    <row r="650" spans="1:10" x14ac:dyDescent="0.3">
      <c r="A650" s="7">
        <v>94</v>
      </c>
      <c r="B650" s="7" t="s">
        <v>369</v>
      </c>
      <c r="C650" s="7">
        <v>925076</v>
      </c>
      <c r="D650" s="7" t="s">
        <v>278</v>
      </c>
      <c r="E650" s="7" t="s">
        <v>220</v>
      </c>
      <c r="F650" s="7">
        <f t="shared" si="9"/>
        <v>3</v>
      </c>
      <c r="G650" s="16">
        <f>+(TblDetalle[[#This Row],[MontoBrutoProm_Mes]]/TblDetalle[[#This Row],[UnidadesProm_Mes]])*TblDetalle[[#This Row],[Unidades]]</f>
        <v>125.25</v>
      </c>
      <c r="H650" s="8">
        <v>4</v>
      </c>
      <c r="I650" s="9">
        <v>167</v>
      </c>
      <c r="J650">
        <f>+TblDetalle[[#This Row],[Monto A Rebajhar]]/TblDetalle[[#This Row],[MontoBrutoProm_Mes]]</f>
        <v>0.75</v>
      </c>
    </row>
    <row r="651" spans="1:10" x14ac:dyDescent="0.3">
      <c r="A651" s="7">
        <v>94</v>
      </c>
      <c r="B651" s="7" t="s">
        <v>369</v>
      </c>
      <c r="C651" s="7">
        <v>925078</v>
      </c>
      <c r="D651" s="7" t="s">
        <v>221</v>
      </c>
      <c r="E651" s="7" t="s">
        <v>220</v>
      </c>
      <c r="F651" s="7">
        <f t="shared" si="9"/>
        <v>12</v>
      </c>
      <c r="G651" s="16">
        <f>+(TblDetalle[[#This Row],[MontoBrutoProm_Mes]]/TblDetalle[[#This Row],[UnidadesProm_Mes]])*TblDetalle[[#This Row],[Unidades]]</f>
        <v>884.04</v>
      </c>
      <c r="H651" s="8">
        <v>16</v>
      </c>
      <c r="I651" s="9">
        <v>1178.72</v>
      </c>
      <c r="J651">
        <f>+TblDetalle[[#This Row],[Monto A Rebajhar]]/TblDetalle[[#This Row],[MontoBrutoProm_Mes]]</f>
        <v>0.75</v>
      </c>
    </row>
    <row r="652" spans="1:10" x14ac:dyDescent="0.3">
      <c r="A652" s="7">
        <v>94</v>
      </c>
      <c r="B652" s="7" t="s">
        <v>369</v>
      </c>
      <c r="C652" s="7">
        <v>925079</v>
      </c>
      <c r="D652" s="7" t="s">
        <v>279</v>
      </c>
      <c r="E652" s="7" t="s">
        <v>220</v>
      </c>
      <c r="F652" s="7">
        <f t="shared" si="9"/>
        <v>16</v>
      </c>
      <c r="G652" s="16">
        <f>+(TblDetalle[[#This Row],[MontoBrutoProm_Mes]]/TblDetalle[[#This Row],[UnidadesProm_Mes]])*TblDetalle[[#This Row],[Unidades]]</f>
        <v>1178.72</v>
      </c>
      <c r="H652" s="8">
        <v>20</v>
      </c>
      <c r="I652" s="9">
        <v>1473.4</v>
      </c>
      <c r="J652">
        <f>+TblDetalle[[#This Row],[Monto A Rebajhar]]/TblDetalle[[#This Row],[MontoBrutoProm_Mes]]</f>
        <v>0.79999999999999993</v>
      </c>
    </row>
    <row r="653" spans="1:10" x14ac:dyDescent="0.3">
      <c r="A653" s="7">
        <v>94</v>
      </c>
      <c r="B653" s="7" t="s">
        <v>369</v>
      </c>
      <c r="C653" s="7">
        <v>925083</v>
      </c>
      <c r="D653" s="7" t="s">
        <v>346</v>
      </c>
      <c r="E653" s="7" t="s">
        <v>220</v>
      </c>
      <c r="F653" s="7">
        <f t="shared" si="9"/>
        <v>3</v>
      </c>
      <c r="G653" s="16">
        <f>+(TblDetalle[[#This Row],[MontoBrutoProm_Mes]]/TblDetalle[[#This Row],[UnidadesProm_Mes]])*TblDetalle[[#This Row],[Unidades]]</f>
        <v>258.93</v>
      </c>
      <c r="H653" s="8">
        <v>4</v>
      </c>
      <c r="I653" s="9">
        <v>345.24</v>
      </c>
      <c r="J653">
        <f>+TblDetalle[[#This Row],[Monto A Rebajhar]]/TblDetalle[[#This Row],[MontoBrutoProm_Mes]]</f>
        <v>0.75</v>
      </c>
    </row>
    <row r="654" spans="1:10" x14ac:dyDescent="0.3">
      <c r="A654" s="7">
        <v>94</v>
      </c>
      <c r="B654" s="7" t="s">
        <v>369</v>
      </c>
      <c r="C654" s="7">
        <v>925094</v>
      </c>
      <c r="D654" s="7" t="s">
        <v>298</v>
      </c>
      <c r="E654" s="7" t="s">
        <v>220</v>
      </c>
      <c r="F654" s="7">
        <f t="shared" si="9"/>
        <v>6</v>
      </c>
      <c r="G654" s="16">
        <f>+(TblDetalle[[#This Row],[MontoBrutoProm_Mes]]/TblDetalle[[#This Row],[UnidadesProm_Mes]])*TblDetalle[[#This Row],[Unidades]]</f>
        <v>291.12</v>
      </c>
      <c r="H654" s="8">
        <v>8</v>
      </c>
      <c r="I654" s="9">
        <v>388.16</v>
      </c>
      <c r="J654">
        <f>+TblDetalle[[#This Row],[Monto A Rebajhar]]/TblDetalle[[#This Row],[MontoBrutoProm_Mes]]</f>
        <v>0.75</v>
      </c>
    </row>
    <row r="655" spans="1:10" x14ac:dyDescent="0.3">
      <c r="A655" s="7">
        <v>94</v>
      </c>
      <c r="B655" s="7" t="s">
        <v>369</v>
      </c>
      <c r="C655" s="7">
        <v>925095</v>
      </c>
      <c r="D655" s="7" t="s">
        <v>280</v>
      </c>
      <c r="E655" s="7" t="s">
        <v>220</v>
      </c>
      <c r="F655" s="7">
        <f t="shared" si="9"/>
        <v>9</v>
      </c>
      <c r="G655" s="16">
        <f>+(TblDetalle[[#This Row],[MontoBrutoProm_Mes]]/TblDetalle[[#This Row],[UnidadesProm_Mes]])*TblDetalle[[#This Row],[Unidades]]</f>
        <v>436.68</v>
      </c>
      <c r="H655" s="8">
        <v>12</v>
      </c>
      <c r="I655" s="9">
        <v>582.24</v>
      </c>
      <c r="J655">
        <f>+TblDetalle[[#This Row],[Monto A Rebajhar]]/TblDetalle[[#This Row],[MontoBrutoProm_Mes]]</f>
        <v>0.75</v>
      </c>
    </row>
    <row r="656" spans="1:10" x14ac:dyDescent="0.3">
      <c r="A656" s="7">
        <v>94</v>
      </c>
      <c r="B656" s="7" t="s">
        <v>369</v>
      </c>
      <c r="C656" s="7">
        <v>930012</v>
      </c>
      <c r="D656" s="7" t="s">
        <v>264</v>
      </c>
      <c r="E656" s="7" t="s">
        <v>243</v>
      </c>
      <c r="F656" s="7">
        <f t="shared" si="9"/>
        <v>12</v>
      </c>
      <c r="G656" s="16">
        <f>+(TblDetalle[[#This Row],[MontoBrutoProm_Mes]]/TblDetalle[[#This Row],[UnidadesProm_Mes]])*TblDetalle[[#This Row],[Unidades]]</f>
        <v>1100.5360000000001</v>
      </c>
      <c r="H656" s="8">
        <v>15</v>
      </c>
      <c r="I656" s="9">
        <v>1375.67</v>
      </c>
      <c r="J656">
        <f>+TblDetalle[[#This Row],[Monto A Rebajhar]]/TblDetalle[[#This Row],[MontoBrutoProm_Mes]]</f>
        <v>0.8</v>
      </c>
    </row>
    <row r="657" spans="1:10" x14ac:dyDescent="0.3">
      <c r="A657" s="7">
        <v>94</v>
      </c>
      <c r="B657" s="7" t="s">
        <v>369</v>
      </c>
      <c r="C657" s="7">
        <v>930020</v>
      </c>
      <c r="D657" s="7" t="s">
        <v>299</v>
      </c>
      <c r="E657" s="7" t="s">
        <v>243</v>
      </c>
      <c r="F657" s="7">
        <f t="shared" si="9"/>
        <v>2</v>
      </c>
      <c r="G657" s="16">
        <f>+(TblDetalle[[#This Row],[MontoBrutoProm_Mes]]/TblDetalle[[#This Row],[UnidadesProm_Mes]])*TblDetalle[[#This Row],[Unidades]]</f>
        <v>186.31062670299727</v>
      </c>
      <c r="H657" s="8">
        <v>3.67</v>
      </c>
      <c r="I657" s="9">
        <v>341.88</v>
      </c>
      <c r="J657">
        <f>+TblDetalle[[#This Row],[Monto A Rebajhar]]/TblDetalle[[#This Row],[MontoBrutoProm_Mes]]</f>
        <v>0.54495912806539504</v>
      </c>
    </row>
    <row r="658" spans="1:10" x14ac:dyDescent="0.3">
      <c r="A658" s="7">
        <v>94</v>
      </c>
      <c r="B658" s="7" t="s">
        <v>369</v>
      </c>
      <c r="C658" s="7">
        <v>930021</v>
      </c>
      <c r="D658" s="7" t="s">
        <v>300</v>
      </c>
      <c r="E658" s="7" t="s">
        <v>243</v>
      </c>
      <c r="F658" s="7">
        <f t="shared" si="9"/>
        <v>5</v>
      </c>
      <c r="G658" s="16">
        <f>+(TblDetalle[[#This Row],[MontoBrutoProm_Mes]]/TblDetalle[[#This Row],[UnidadesProm_Mes]])*TblDetalle[[#This Row],[Unidades]]</f>
        <v>459.08372827804106</v>
      </c>
      <c r="H658" s="8">
        <v>6.33</v>
      </c>
      <c r="I658" s="9">
        <v>581.20000000000005</v>
      </c>
      <c r="J658">
        <f>+TblDetalle[[#This Row],[Monto A Rebajhar]]/TblDetalle[[#This Row],[MontoBrutoProm_Mes]]</f>
        <v>0.78988941548183245</v>
      </c>
    </row>
    <row r="659" spans="1:10" x14ac:dyDescent="0.3">
      <c r="A659" s="7">
        <v>94</v>
      </c>
      <c r="B659" s="7" t="s">
        <v>369</v>
      </c>
      <c r="C659" s="7">
        <v>930022</v>
      </c>
      <c r="D659" s="7" t="s">
        <v>265</v>
      </c>
      <c r="E659" s="7" t="s">
        <v>243</v>
      </c>
      <c r="F659" s="7">
        <f t="shared" si="9"/>
        <v>6</v>
      </c>
      <c r="G659" s="16">
        <f>+(TblDetalle[[#This Row],[MontoBrutoProm_Mes]]/TblDetalle[[#This Row],[UnidadesProm_Mes]])*TblDetalle[[#This Row],[Unidades]]</f>
        <v>552.46936114732716</v>
      </c>
      <c r="H659" s="8">
        <v>7.67</v>
      </c>
      <c r="I659" s="9">
        <v>706.24</v>
      </c>
      <c r="J659">
        <f>+TblDetalle[[#This Row],[Monto A Rebajhar]]/TblDetalle[[#This Row],[MontoBrutoProm_Mes]]</f>
        <v>0.78226857887874823</v>
      </c>
    </row>
    <row r="660" spans="1:10" x14ac:dyDescent="0.3">
      <c r="A660" s="7">
        <v>94</v>
      </c>
      <c r="B660" s="7" t="s">
        <v>369</v>
      </c>
      <c r="C660" s="7">
        <v>930023</v>
      </c>
      <c r="D660" s="7" t="s">
        <v>335</v>
      </c>
      <c r="E660" s="7" t="s">
        <v>243</v>
      </c>
      <c r="F660" s="7">
        <f t="shared" si="9"/>
        <v>1</v>
      </c>
      <c r="G660" s="16">
        <f>+(TblDetalle[[#This Row],[MontoBrutoProm_Mes]]/TblDetalle[[#This Row],[UnidadesProm_Mes]])*TblDetalle[[#This Row],[Unidades]]</f>
        <v>143.81437125748502</v>
      </c>
      <c r="H660" s="8">
        <v>1.67</v>
      </c>
      <c r="I660" s="9">
        <v>240.17</v>
      </c>
      <c r="J660">
        <f>+TblDetalle[[#This Row],[Monto A Rebajhar]]/TblDetalle[[#This Row],[MontoBrutoProm_Mes]]</f>
        <v>0.59880239520958078</v>
      </c>
    </row>
    <row r="661" spans="1:10" x14ac:dyDescent="0.3">
      <c r="A661" s="7">
        <v>94</v>
      </c>
      <c r="B661" s="7" t="s">
        <v>369</v>
      </c>
      <c r="C661" s="7">
        <v>930025</v>
      </c>
      <c r="D661" s="7" t="s">
        <v>244</v>
      </c>
      <c r="E661" s="7" t="s">
        <v>243</v>
      </c>
      <c r="F661" s="7">
        <f t="shared" si="9"/>
        <v>12</v>
      </c>
      <c r="G661" s="16">
        <f>+(TblDetalle[[#This Row],[MontoBrutoProm_Mes]]/TblDetalle[[#This Row],[UnidadesProm_Mes]])*TblDetalle[[#This Row],[Unidades]]</f>
        <v>705.04403318442883</v>
      </c>
      <c r="H661" s="8">
        <v>15.67</v>
      </c>
      <c r="I661" s="9">
        <v>920.67</v>
      </c>
      <c r="J661">
        <f>+TblDetalle[[#This Row],[Monto A Rebajhar]]/TblDetalle[[#This Row],[MontoBrutoProm_Mes]]</f>
        <v>0.76579451180599878</v>
      </c>
    </row>
    <row r="662" spans="1:10" x14ac:dyDescent="0.3">
      <c r="A662" s="7">
        <v>94</v>
      </c>
      <c r="B662" s="7" t="s">
        <v>369</v>
      </c>
      <c r="C662" s="7">
        <v>930026</v>
      </c>
      <c r="D662" s="7" t="s">
        <v>301</v>
      </c>
      <c r="E662" s="7" t="s">
        <v>243</v>
      </c>
      <c r="F662" s="7">
        <f t="shared" si="9"/>
        <v>5</v>
      </c>
      <c r="G662" s="16">
        <f>+(TblDetalle[[#This Row],[MontoBrutoProm_Mes]]/TblDetalle[[#This Row],[UnidadesProm_Mes]])*TblDetalle[[#This Row],[Unidades]]</f>
        <v>294.87142857142857</v>
      </c>
      <c r="H662" s="8">
        <v>7</v>
      </c>
      <c r="I662" s="9">
        <v>412.82</v>
      </c>
      <c r="J662">
        <f>+TblDetalle[[#This Row],[Monto A Rebajhar]]/TblDetalle[[#This Row],[MontoBrutoProm_Mes]]</f>
        <v>0.7142857142857143</v>
      </c>
    </row>
    <row r="663" spans="1:10" x14ac:dyDescent="0.3">
      <c r="A663" s="7">
        <v>94</v>
      </c>
      <c r="B663" s="7" t="s">
        <v>369</v>
      </c>
      <c r="C663" s="7">
        <v>930028</v>
      </c>
      <c r="D663" s="7" t="s">
        <v>302</v>
      </c>
      <c r="E663" s="7" t="s">
        <v>243</v>
      </c>
      <c r="F663" s="7">
        <f t="shared" si="9"/>
        <v>1</v>
      </c>
      <c r="G663" s="16">
        <f>+(TblDetalle[[#This Row],[MontoBrutoProm_Mes]]/TblDetalle[[#This Row],[UnidadesProm_Mes]])*TblDetalle[[#This Row],[Unidades]]</f>
        <v>89.21</v>
      </c>
      <c r="H663" s="8">
        <v>2</v>
      </c>
      <c r="I663" s="9">
        <v>178.42</v>
      </c>
      <c r="J663">
        <f>+TblDetalle[[#This Row],[Monto A Rebajhar]]/TblDetalle[[#This Row],[MontoBrutoProm_Mes]]</f>
        <v>0.5</v>
      </c>
    </row>
    <row r="664" spans="1:10" x14ac:dyDescent="0.3">
      <c r="A664" s="7">
        <v>94</v>
      </c>
      <c r="B664" s="7" t="s">
        <v>369</v>
      </c>
      <c r="C664" s="7">
        <v>930060</v>
      </c>
      <c r="D664" s="7" t="s">
        <v>336</v>
      </c>
      <c r="E664" s="7" t="s">
        <v>243</v>
      </c>
      <c r="F664" s="7">
        <f t="shared" si="9"/>
        <v>0</v>
      </c>
      <c r="G664" s="16">
        <f>+(TblDetalle[[#This Row],[MontoBrutoProm_Mes]]/TblDetalle[[#This Row],[UnidadesProm_Mes]])*TblDetalle[[#This Row],[Unidades]]</f>
        <v>0</v>
      </c>
      <c r="H664" s="8">
        <v>0.67</v>
      </c>
      <c r="I664" s="9">
        <v>107.33</v>
      </c>
      <c r="J664">
        <f>+TblDetalle[[#This Row],[Monto A Rebajhar]]/TblDetalle[[#This Row],[MontoBrutoProm_Mes]]</f>
        <v>0</v>
      </c>
    </row>
    <row r="665" spans="1:10" x14ac:dyDescent="0.3">
      <c r="A665" s="7">
        <v>94</v>
      </c>
      <c r="B665" s="7" t="s">
        <v>369</v>
      </c>
      <c r="C665" s="7">
        <v>930112</v>
      </c>
      <c r="D665" s="7" t="s">
        <v>310</v>
      </c>
      <c r="E665" s="7" t="s">
        <v>243</v>
      </c>
      <c r="F665" s="7">
        <f t="shared" si="9"/>
        <v>0</v>
      </c>
      <c r="G665" s="16">
        <f>+(TblDetalle[[#This Row],[MontoBrutoProm_Mes]]/TblDetalle[[#This Row],[UnidadesProm_Mes]])*TblDetalle[[#This Row],[Unidades]]</f>
        <v>0</v>
      </c>
      <c r="H665" s="8">
        <v>1</v>
      </c>
      <c r="I665" s="9">
        <v>161</v>
      </c>
      <c r="J665">
        <f>+TblDetalle[[#This Row],[Monto A Rebajhar]]/TblDetalle[[#This Row],[MontoBrutoProm_Mes]]</f>
        <v>0</v>
      </c>
    </row>
    <row r="666" spans="1:10" x14ac:dyDescent="0.3">
      <c r="A666" s="7">
        <v>94</v>
      </c>
      <c r="B666" s="7" t="s">
        <v>369</v>
      </c>
      <c r="C666" s="7">
        <v>930113</v>
      </c>
      <c r="D666" s="7" t="s">
        <v>303</v>
      </c>
      <c r="E666" s="7" t="s">
        <v>243</v>
      </c>
      <c r="F666" s="7">
        <f t="shared" si="9"/>
        <v>3</v>
      </c>
      <c r="G666" s="16">
        <f>+(TblDetalle[[#This Row],[MontoBrutoProm_Mes]]/TblDetalle[[#This Row],[UnidadesProm_Mes]])*TblDetalle[[#This Row],[Unidades]]</f>
        <v>469.14</v>
      </c>
      <c r="H666" s="8">
        <v>4</v>
      </c>
      <c r="I666" s="9">
        <v>625.52</v>
      </c>
      <c r="J666">
        <f>+TblDetalle[[#This Row],[Monto A Rebajhar]]/TblDetalle[[#This Row],[MontoBrutoProm_Mes]]</f>
        <v>0.75</v>
      </c>
    </row>
    <row r="667" spans="1:10" x14ac:dyDescent="0.3">
      <c r="A667" s="7">
        <v>94</v>
      </c>
      <c r="B667" s="7" t="s">
        <v>369</v>
      </c>
      <c r="C667" s="7">
        <v>930121</v>
      </c>
      <c r="D667" s="7" t="s">
        <v>304</v>
      </c>
      <c r="E667" s="7" t="s">
        <v>243</v>
      </c>
      <c r="F667" s="7">
        <f t="shared" si="9"/>
        <v>2</v>
      </c>
      <c r="G667" s="16">
        <f>+(TblDetalle[[#This Row],[MontoBrutoProm_Mes]]/TblDetalle[[#This Row],[UnidadesProm_Mes]])*TblDetalle[[#This Row],[Unidades]]</f>
        <v>118.72072072072071</v>
      </c>
      <c r="H667" s="8">
        <v>3.33</v>
      </c>
      <c r="I667" s="9">
        <v>197.67</v>
      </c>
      <c r="J667">
        <f>+TblDetalle[[#This Row],[Monto A Rebajhar]]/TblDetalle[[#This Row],[MontoBrutoProm_Mes]]</f>
        <v>0.60060060060060061</v>
      </c>
    </row>
    <row r="668" spans="1:10" x14ac:dyDescent="0.3">
      <c r="A668" s="7">
        <v>94</v>
      </c>
      <c r="B668" s="7" t="s">
        <v>369</v>
      </c>
      <c r="C668" s="7">
        <v>930137</v>
      </c>
      <c r="D668" s="7" t="s">
        <v>311</v>
      </c>
      <c r="E668" s="7" t="s">
        <v>243</v>
      </c>
      <c r="F668" s="7">
        <f t="shared" si="9"/>
        <v>8</v>
      </c>
      <c r="G668" s="16">
        <f>+(TblDetalle[[#This Row],[MontoBrutoProm_Mes]]/TblDetalle[[#This Row],[UnidadesProm_Mes]])*TblDetalle[[#This Row],[Unidades]]</f>
        <v>224.01599999999999</v>
      </c>
      <c r="H668" s="8">
        <v>10</v>
      </c>
      <c r="I668" s="9">
        <v>280.02</v>
      </c>
      <c r="J668">
        <f>+TblDetalle[[#This Row],[Monto A Rebajhar]]/TblDetalle[[#This Row],[MontoBrutoProm_Mes]]</f>
        <v>0.8</v>
      </c>
    </row>
    <row r="669" spans="1:10" x14ac:dyDescent="0.3">
      <c r="A669" s="7">
        <v>94</v>
      </c>
      <c r="B669" s="7" t="s">
        <v>369</v>
      </c>
      <c r="C669" s="7">
        <v>930138</v>
      </c>
      <c r="D669" s="7" t="s">
        <v>312</v>
      </c>
      <c r="E669" s="7" t="s">
        <v>243</v>
      </c>
      <c r="F669" s="7">
        <f t="shared" si="9"/>
        <v>8</v>
      </c>
      <c r="G669" s="16">
        <f>+(TblDetalle[[#This Row],[MontoBrutoProm_Mes]]/TblDetalle[[#This Row],[UnidadesProm_Mes]])*TblDetalle[[#This Row],[Unidades]]</f>
        <v>223.47199999999998</v>
      </c>
      <c r="H669" s="8">
        <v>10</v>
      </c>
      <c r="I669" s="9">
        <v>279.33999999999997</v>
      </c>
      <c r="J669">
        <f>+TblDetalle[[#This Row],[Monto A Rebajhar]]/TblDetalle[[#This Row],[MontoBrutoProm_Mes]]</f>
        <v>0.8</v>
      </c>
    </row>
    <row r="670" spans="1:10" x14ac:dyDescent="0.3">
      <c r="A670" s="7">
        <v>94</v>
      </c>
      <c r="B670" s="7" t="s">
        <v>369</v>
      </c>
      <c r="C670" s="7">
        <v>930139</v>
      </c>
      <c r="D670" s="7" t="s">
        <v>313</v>
      </c>
      <c r="E670" s="7" t="s">
        <v>243</v>
      </c>
      <c r="F670" s="7">
        <f t="shared" si="9"/>
        <v>6</v>
      </c>
      <c r="G670" s="16">
        <f>+(TblDetalle[[#This Row],[MontoBrutoProm_Mes]]/TblDetalle[[#This Row],[UnidadesProm_Mes]])*TblDetalle[[#This Row],[Unidades]]</f>
        <v>169.38</v>
      </c>
      <c r="H670" s="8">
        <v>8</v>
      </c>
      <c r="I670" s="9">
        <v>225.84</v>
      </c>
      <c r="J670">
        <f>+TblDetalle[[#This Row],[Monto A Rebajhar]]/TblDetalle[[#This Row],[MontoBrutoProm_Mes]]</f>
        <v>0.75</v>
      </c>
    </row>
    <row r="671" spans="1:10" x14ac:dyDescent="0.3">
      <c r="A671" s="7">
        <v>94</v>
      </c>
      <c r="B671" s="7" t="s">
        <v>369</v>
      </c>
      <c r="C671" s="7">
        <v>930140</v>
      </c>
      <c r="D671" s="7" t="s">
        <v>314</v>
      </c>
      <c r="E671" s="7" t="s">
        <v>243</v>
      </c>
      <c r="F671" s="7">
        <f t="shared" si="9"/>
        <v>8</v>
      </c>
      <c r="G671" s="16">
        <f>+(TblDetalle[[#This Row],[MontoBrutoProm_Mes]]/TblDetalle[[#This Row],[UnidadesProm_Mes]])*TblDetalle[[#This Row],[Unidades]]</f>
        <v>224.01599999999999</v>
      </c>
      <c r="H671" s="8">
        <v>10</v>
      </c>
      <c r="I671" s="9">
        <v>280.02</v>
      </c>
      <c r="J671">
        <f>+TblDetalle[[#This Row],[Monto A Rebajhar]]/TblDetalle[[#This Row],[MontoBrutoProm_Mes]]</f>
        <v>0.8</v>
      </c>
    </row>
    <row r="672" spans="1:10" x14ac:dyDescent="0.3">
      <c r="A672" s="7">
        <v>94</v>
      </c>
      <c r="B672" s="7" t="s">
        <v>369</v>
      </c>
      <c r="C672" s="7">
        <v>930144</v>
      </c>
      <c r="D672" s="7" t="s">
        <v>315</v>
      </c>
      <c r="E672" s="7" t="s">
        <v>243</v>
      </c>
      <c r="F672" s="7">
        <f t="shared" si="9"/>
        <v>6</v>
      </c>
      <c r="G672" s="16">
        <f>+(TblDetalle[[#This Row],[MontoBrutoProm_Mes]]/TblDetalle[[#This Row],[UnidadesProm_Mes]])*TblDetalle[[#This Row],[Unidades]]</f>
        <v>167.10000000000002</v>
      </c>
      <c r="H672" s="8">
        <v>8</v>
      </c>
      <c r="I672" s="9">
        <v>222.8</v>
      </c>
      <c r="J672">
        <f>+TblDetalle[[#This Row],[Monto A Rebajhar]]/TblDetalle[[#This Row],[MontoBrutoProm_Mes]]</f>
        <v>0.75000000000000011</v>
      </c>
    </row>
    <row r="673" spans="1:10" x14ac:dyDescent="0.3">
      <c r="A673" s="7">
        <v>94</v>
      </c>
      <c r="B673" s="7" t="s">
        <v>369</v>
      </c>
      <c r="C673" s="7">
        <v>930145</v>
      </c>
      <c r="D673" s="7" t="s">
        <v>316</v>
      </c>
      <c r="E673" s="7" t="s">
        <v>243</v>
      </c>
      <c r="F673" s="7">
        <f t="shared" si="9"/>
        <v>8</v>
      </c>
      <c r="G673" s="16">
        <f>+(TblDetalle[[#This Row],[MontoBrutoProm_Mes]]/TblDetalle[[#This Row],[UnidadesProm_Mes]])*TblDetalle[[#This Row],[Unidades]]</f>
        <v>223.47199999999998</v>
      </c>
      <c r="H673" s="8">
        <v>10</v>
      </c>
      <c r="I673" s="9">
        <v>279.33999999999997</v>
      </c>
      <c r="J673">
        <f>+TblDetalle[[#This Row],[Monto A Rebajhar]]/TblDetalle[[#This Row],[MontoBrutoProm_Mes]]</f>
        <v>0.8</v>
      </c>
    </row>
    <row r="674" spans="1:10" x14ac:dyDescent="0.3">
      <c r="A674" s="7">
        <v>94</v>
      </c>
      <c r="B674" s="7" t="s">
        <v>369</v>
      </c>
      <c r="C674" s="7">
        <v>930153</v>
      </c>
      <c r="D674" s="7" t="s">
        <v>282</v>
      </c>
      <c r="E674" s="7" t="s">
        <v>243</v>
      </c>
      <c r="F674" s="7">
        <f t="shared" si="9"/>
        <v>1</v>
      </c>
      <c r="G674" s="16">
        <f>+(TblDetalle[[#This Row],[MontoBrutoProm_Mes]]/TblDetalle[[#This Row],[UnidadesProm_Mes]])*TblDetalle[[#This Row],[Unidades]]</f>
        <v>160.70059880239521</v>
      </c>
      <c r="H674" s="8">
        <v>1.67</v>
      </c>
      <c r="I674" s="9">
        <v>268.37</v>
      </c>
      <c r="J674">
        <f>+TblDetalle[[#This Row],[Monto A Rebajhar]]/TblDetalle[[#This Row],[MontoBrutoProm_Mes]]</f>
        <v>0.59880239520958078</v>
      </c>
    </row>
    <row r="675" spans="1:10" x14ac:dyDescent="0.3">
      <c r="A675" s="7">
        <v>94</v>
      </c>
      <c r="B675" s="7" t="s">
        <v>369</v>
      </c>
      <c r="C675" s="7">
        <v>930154</v>
      </c>
      <c r="D675" s="7" t="s">
        <v>245</v>
      </c>
      <c r="E675" s="7" t="s">
        <v>243</v>
      </c>
      <c r="F675" s="7">
        <f t="shared" si="9"/>
        <v>5</v>
      </c>
      <c r="G675" s="16">
        <f>+(TblDetalle[[#This Row],[MontoBrutoProm_Mes]]/TblDetalle[[#This Row],[UnidadesProm_Mes]])*TblDetalle[[#This Row],[Unidades]]</f>
        <v>439.09295352323841</v>
      </c>
      <c r="H675" s="8">
        <v>6.67</v>
      </c>
      <c r="I675" s="9">
        <v>585.75</v>
      </c>
      <c r="J675">
        <f>+TblDetalle[[#This Row],[Monto A Rebajhar]]/TblDetalle[[#This Row],[MontoBrutoProm_Mes]]</f>
        <v>0.74962518740629691</v>
      </c>
    </row>
    <row r="676" spans="1:10" x14ac:dyDescent="0.3">
      <c r="A676" s="7">
        <v>94</v>
      </c>
      <c r="B676" s="7" t="s">
        <v>369</v>
      </c>
      <c r="C676" s="7">
        <v>930174</v>
      </c>
      <c r="D676" s="7" t="s">
        <v>329</v>
      </c>
      <c r="E676" s="7" t="s">
        <v>243</v>
      </c>
      <c r="F676" s="7">
        <f t="shared" si="9"/>
        <v>0</v>
      </c>
      <c r="G676" s="16">
        <f>+(TblDetalle[[#This Row],[MontoBrutoProm_Mes]]/TblDetalle[[#This Row],[UnidadesProm_Mes]])*TblDetalle[[#This Row],[Unidades]]</f>
        <v>0</v>
      </c>
      <c r="H676" s="8">
        <v>0.67</v>
      </c>
      <c r="I676" s="9">
        <v>101.69</v>
      </c>
      <c r="J676">
        <f>+TblDetalle[[#This Row],[Monto A Rebajhar]]/TblDetalle[[#This Row],[MontoBrutoProm_Mes]]</f>
        <v>0</v>
      </c>
    </row>
    <row r="677" spans="1:10" x14ac:dyDescent="0.3">
      <c r="A677" s="7">
        <v>94</v>
      </c>
      <c r="B677" s="7" t="s">
        <v>369</v>
      </c>
      <c r="C677" s="7">
        <v>930177</v>
      </c>
      <c r="D677" s="7" t="s">
        <v>317</v>
      </c>
      <c r="E677" s="7" t="s">
        <v>243</v>
      </c>
      <c r="F677" s="7">
        <f t="shared" si="9"/>
        <v>9</v>
      </c>
      <c r="G677" s="16">
        <f>+(TblDetalle[[#This Row],[MontoBrutoProm_Mes]]/TblDetalle[[#This Row],[UnidadesProm_Mes]])*TblDetalle[[#This Row],[Unidades]]</f>
        <v>252.36</v>
      </c>
      <c r="H677" s="8">
        <v>12</v>
      </c>
      <c r="I677" s="9">
        <v>336.48</v>
      </c>
      <c r="J677">
        <f>+TblDetalle[[#This Row],[Monto A Rebajhar]]/TblDetalle[[#This Row],[MontoBrutoProm_Mes]]</f>
        <v>0.75</v>
      </c>
    </row>
    <row r="678" spans="1:10" x14ac:dyDescent="0.3">
      <c r="A678" s="7">
        <v>94</v>
      </c>
      <c r="B678" s="7" t="s">
        <v>369</v>
      </c>
      <c r="C678" s="7">
        <v>930178</v>
      </c>
      <c r="D678" s="7" t="s">
        <v>267</v>
      </c>
      <c r="E678" s="7" t="s">
        <v>243</v>
      </c>
      <c r="F678" s="7">
        <f t="shared" si="9"/>
        <v>13</v>
      </c>
      <c r="G678" s="16">
        <f>+(TblDetalle[[#This Row],[MontoBrutoProm_Mes]]/TblDetalle[[#This Row],[UnidadesProm_Mes]])*TblDetalle[[#This Row],[Unidades]]</f>
        <v>367.16840171463571</v>
      </c>
      <c r="H678" s="8">
        <v>16.329999999999998</v>
      </c>
      <c r="I678" s="9">
        <v>461.22</v>
      </c>
      <c r="J678">
        <f>+TblDetalle[[#This Row],[Monto A Rebajhar]]/TblDetalle[[#This Row],[MontoBrutoProm_Mes]]</f>
        <v>0.79608083282302522</v>
      </c>
    </row>
    <row r="679" spans="1:10" x14ac:dyDescent="0.3">
      <c r="A679" s="7">
        <v>94</v>
      </c>
      <c r="B679" s="7" t="s">
        <v>369</v>
      </c>
      <c r="C679" s="7">
        <v>930193</v>
      </c>
      <c r="D679" s="7" t="s">
        <v>268</v>
      </c>
      <c r="E679" s="7" t="s">
        <v>243</v>
      </c>
      <c r="F679" s="7">
        <f t="shared" si="9"/>
        <v>0</v>
      </c>
      <c r="G679" s="16">
        <f>+(TblDetalle[[#This Row],[MontoBrutoProm_Mes]]/TblDetalle[[#This Row],[UnidadesProm_Mes]])*TblDetalle[[#This Row],[Unidades]]</f>
        <v>0</v>
      </c>
      <c r="H679" s="8">
        <v>0.33</v>
      </c>
      <c r="I679" s="9">
        <v>0</v>
      </c>
      <c r="J679" t="e">
        <f>+TblDetalle[[#This Row],[Monto A Rebajhar]]/TblDetalle[[#This Row],[MontoBrutoProm_Mes]]</f>
        <v>#DIV/0!</v>
      </c>
    </row>
    <row r="680" spans="1:10" x14ac:dyDescent="0.3">
      <c r="A680" s="7">
        <v>94</v>
      </c>
      <c r="B680" s="7" t="s">
        <v>369</v>
      </c>
      <c r="C680" s="7">
        <v>960104</v>
      </c>
      <c r="D680" s="7" t="s">
        <v>374</v>
      </c>
      <c r="E680" s="7" t="s">
        <v>306</v>
      </c>
      <c r="F680" s="7">
        <f t="shared" si="9"/>
        <v>1</v>
      </c>
      <c r="G680" s="16">
        <f>+(TblDetalle[[#This Row],[MontoBrutoProm_Mes]]/TblDetalle[[#This Row],[UnidadesProm_Mes]])*TblDetalle[[#This Row],[Unidades]]</f>
        <v>67.75</v>
      </c>
      <c r="H680" s="8">
        <v>2</v>
      </c>
      <c r="I680" s="9">
        <v>135.5</v>
      </c>
      <c r="J680">
        <f>+TblDetalle[[#This Row],[Monto A Rebajhar]]/TblDetalle[[#This Row],[MontoBrutoProm_Mes]]</f>
        <v>0.5</v>
      </c>
    </row>
    <row r="681" spans="1:10" x14ac:dyDescent="0.3">
      <c r="A681" s="7">
        <v>94</v>
      </c>
      <c r="B681" s="7" t="s">
        <v>369</v>
      </c>
      <c r="C681" s="7">
        <v>960105</v>
      </c>
      <c r="D681" s="7" t="s">
        <v>305</v>
      </c>
      <c r="E681" s="7" t="s">
        <v>306</v>
      </c>
      <c r="F681" s="7">
        <f t="shared" si="9"/>
        <v>1</v>
      </c>
      <c r="G681" s="16">
        <f>+(TblDetalle[[#This Row],[MontoBrutoProm_Mes]]/TblDetalle[[#This Row],[UnidadesProm_Mes]])*TblDetalle[[#This Row],[Unidades]]</f>
        <v>199.1</v>
      </c>
      <c r="H681" s="8">
        <v>2</v>
      </c>
      <c r="I681" s="9">
        <v>398.2</v>
      </c>
      <c r="J681">
        <f>+TblDetalle[[#This Row],[Monto A Rebajhar]]/TblDetalle[[#This Row],[MontoBrutoProm_Mes]]</f>
        <v>0.5</v>
      </c>
    </row>
    <row r="682" spans="1:10" x14ac:dyDescent="0.3">
      <c r="A682" s="7">
        <v>94</v>
      </c>
      <c r="B682" s="7" t="s">
        <v>369</v>
      </c>
      <c r="C682" s="7">
        <v>982003</v>
      </c>
      <c r="D682" s="7" t="s">
        <v>269</v>
      </c>
      <c r="E682" s="7" t="s">
        <v>270</v>
      </c>
      <c r="F682" s="7">
        <f t="shared" si="9"/>
        <v>0</v>
      </c>
      <c r="G682" s="16">
        <f>+(TblDetalle[[#This Row],[MontoBrutoProm_Mes]]/TblDetalle[[#This Row],[UnidadesProm_Mes]])*TblDetalle[[#This Row],[Unidades]]</f>
        <v>0</v>
      </c>
      <c r="H682" s="8">
        <v>0.67</v>
      </c>
      <c r="I682" s="9">
        <v>173.33</v>
      </c>
      <c r="J682">
        <f>+TblDetalle[[#This Row],[Monto A Rebajhar]]/TblDetalle[[#This Row],[MontoBrutoProm_Mes]]</f>
        <v>0</v>
      </c>
    </row>
    <row r="683" spans="1:10" x14ac:dyDescent="0.3">
      <c r="A683" s="7">
        <v>95</v>
      </c>
      <c r="B683" s="7" t="s">
        <v>375</v>
      </c>
      <c r="C683" s="7">
        <v>101005</v>
      </c>
      <c r="D683" s="7" t="s">
        <v>232</v>
      </c>
      <c r="E683" s="7" t="s">
        <v>215</v>
      </c>
      <c r="F683" s="7">
        <f t="shared" si="9"/>
        <v>8</v>
      </c>
      <c r="G683" s="16">
        <f>+(TblDetalle[[#This Row],[MontoBrutoProm_Mes]]/TblDetalle[[#This Row],[UnidadesProm_Mes]])*TblDetalle[[#This Row],[Unidades]]</f>
        <v>587.28</v>
      </c>
      <c r="H683" s="8">
        <v>10</v>
      </c>
      <c r="I683" s="9">
        <v>734.1</v>
      </c>
      <c r="J683">
        <f>+TblDetalle[[#This Row],[Monto A Rebajhar]]/TblDetalle[[#This Row],[MontoBrutoProm_Mes]]</f>
        <v>0.79999999999999993</v>
      </c>
    </row>
    <row r="684" spans="1:10" x14ac:dyDescent="0.3">
      <c r="A684" s="7">
        <v>95</v>
      </c>
      <c r="B684" s="7" t="s">
        <v>375</v>
      </c>
      <c r="C684" s="7">
        <v>101026</v>
      </c>
      <c r="D684" s="7" t="s">
        <v>233</v>
      </c>
      <c r="E684" s="7" t="s">
        <v>215</v>
      </c>
      <c r="F684" s="7">
        <f t="shared" si="9"/>
        <v>9</v>
      </c>
      <c r="G684" s="16">
        <f>+(TblDetalle[[#This Row],[MontoBrutoProm_Mes]]/TblDetalle[[#This Row],[UnidadesProm_Mes]])*TblDetalle[[#This Row],[Unidades]]</f>
        <v>297.54000000000002</v>
      </c>
      <c r="H684" s="8">
        <v>12</v>
      </c>
      <c r="I684" s="9">
        <v>396.72</v>
      </c>
      <c r="J684">
        <f>+TblDetalle[[#This Row],[Monto A Rebajhar]]/TblDetalle[[#This Row],[MontoBrutoProm_Mes]]</f>
        <v>0.75</v>
      </c>
    </row>
    <row r="685" spans="1:10" x14ac:dyDescent="0.3">
      <c r="A685" s="7">
        <v>95</v>
      </c>
      <c r="B685" s="7" t="s">
        <v>375</v>
      </c>
      <c r="C685" s="7">
        <v>101027</v>
      </c>
      <c r="D685" s="7" t="s">
        <v>234</v>
      </c>
      <c r="E685" s="7" t="s">
        <v>215</v>
      </c>
      <c r="F685" s="7">
        <f t="shared" si="9"/>
        <v>6</v>
      </c>
      <c r="G685" s="16">
        <f>+(TblDetalle[[#This Row],[MontoBrutoProm_Mes]]/TblDetalle[[#This Row],[UnidadesProm_Mes]])*TblDetalle[[#This Row],[Unidades]]</f>
        <v>440.46</v>
      </c>
      <c r="H685" s="8">
        <v>8</v>
      </c>
      <c r="I685" s="9">
        <v>587.28</v>
      </c>
      <c r="J685">
        <f>+TblDetalle[[#This Row],[Monto A Rebajhar]]/TblDetalle[[#This Row],[MontoBrutoProm_Mes]]</f>
        <v>0.75</v>
      </c>
    </row>
    <row r="686" spans="1:10" x14ac:dyDescent="0.3">
      <c r="A686" s="7">
        <v>95</v>
      </c>
      <c r="B686" s="7" t="s">
        <v>375</v>
      </c>
      <c r="C686" s="7">
        <v>101028</v>
      </c>
      <c r="D686" s="7" t="s">
        <v>214</v>
      </c>
      <c r="E686" s="7" t="s">
        <v>215</v>
      </c>
      <c r="F686" s="7">
        <f t="shared" si="9"/>
        <v>4</v>
      </c>
      <c r="G686" s="16">
        <f>+(TblDetalle[[#This Row],[MontoBrutoProm_Mes]]/TblDetalle[[#This Row],[UnidadesProm_Mes]])*TblDetalle[[#This Row],[Unidades]]</f>
        <v>393.59999999999997</v>
      </c>
      <c r="H686" s="8">
        <v>6</v>
      </c>
      <c r="I686" s="9">
        <v>590.4</v>
      </c>
      <c r="J686">
        <f>+TblDetalle[[#This Row],[Monto A Rebajhar]]/TblDetalle[[#This Row],[MontoBrutoProm_Mes]]</f>
        <v>0.66666666666666663</v>
      </c>
    </row>
    <row r="687" spans="1:10" x14ac:dyDescent="0.3">
      <c r="A687" s="7">
        <v>95</v>
      </c>
      <c r="B687" s="7" t="s">
        <v>375</v>
      </c>
      <c r="C687" s="7">
        <v>101038</v>
      </c>
      <c r="D687" s="7" t="s">
        <v>235</v>
      </c>
      <c r="E687" s="7" t="s">
        <v>215</v>
      </c>
      <c r="F687" s="7">
        <f t="shared" si="9"/>
        <v>2</v>
      </c>
      <c r="G687" s="16">
        <f>+(TblDetalle[[#This Row],[MontoBrutoProm_Mes]]/TblDetalle[[#This Row],[UnidadesProm_Mes]])*TblDetalle[[#This Row],[Unidades]]</f>
        <v>729.54954954954951</v>
      </c>
      <c r="H687" s="8">
        <v>3.33</v>
      </c>
      <c r="I687" s="9">
        <v>1214.7</v>
      </c>
      <c r="J687">
        <f>+TblDetalle[[#This Row],[Monto A Rebajhar]]/TblDetalle[[#This Row],[MontoBrutoProm_Mes]]</f>
        <v>0.6006006006006005</v>
      </c>
    </row>
    <row r="688" spans="1:10" x14ac:dyDescent="0.3">
      <c r="A688" s="7">
        <v>95</v>
      </c>
      <c r="B688" s="7" t="s">
        <v>375</v>
      </c>
      <c r="C688" s="7">
        <v>101124</v>
      </c>
      <c r="D688" s="7" t="s">
        <v>322</v>
      </c>
      <c r="E688" s="7" t="s">
        <v>215</v>
      </c>
      <c r="F688" s="7">
        <f t="shared" si="9"/>
        <v>3</v>
      </c>
      <c r="G688" s="16">
        <f>+(TblDetalle[[#This Row],[MontoBrutoProm_Mes]]/TblDetalle[[#This Row],[UnidadesProm_Mes]])*TblDetalle[[#This Row],[Unidades]]</f>
        <v>221.10000000000002</v>
      </c>
      <c r="H688" s="8">
        <v>4</v>
      </c>
      <c r="I688" s="9">
        <v>294.8</v>
      </c>
      <c r="J688">
        <f>+TblDetalle[[#This Row],[Monto A Rebajhar]]/TblDetalle[[#This Row],[MontoBrutoProm_Mes]]</f>
        <v>0.75</v>
      </c>
    </row>
    <row r="689" spans="1:10" x14ac:dyDescent="0.3">
      <c r="A689" s="7">
        <v>95</v>
      </c>
      <c r="B689" s="7" t="s">
        <v>375</v>
      </c>
      <c r="C689" s="7">
        <v>800089</v>
      </c>
      <c r="D689" s="7" t="s">
        <v>241</v>
      </c>
      <c r="E689" s="7" t="s">
        <v>215</v>
      </c>
      <c r="F689" s="7">
        <f t="shared" si="9"/>
        <v>2</v>
      </c>
      <c r="G689" s="16">
        <f>+(TblDetalle[[#This Row],[MontoBrutoProm_Mes]]/TblDetalle[[#This Row],[UnidadesProm_Mes]])*TblDetalle[[#This Row],[Unidades]]</f>
        <v>727.91011235955057</v>
      </c>
      <c r="H689" s="8">
        <v>2.67</v>
      </c>
      <c r="I689" s="9">
        <v>971.76</v>
      </c>
      <c r="J689">
        <f>+TblDetalle[[#This Row],[Monto A Rebajhar]]/TblDetalle[[#This Row],[MontoBrutoProm_Mes]]</f>
        <v>0.74906367041198507</v>
      </c>
    </row>
    <row r="690" spans="1:10" x14ac:dyDescent="0.3">
      <c r="A690" s="7">
        <v>97</v>
      </c>
      <c r="B690" s="7" t="s">
        <v>376</v>
      </c>
      <c r="C690" s="7">
        <v>101005</v>
      </c>
      <c r="D690" s="7" t="s">
        <v>232</v>
      </c>
      <c r="E690" s="7" t="s">
        <v>215</v>
      </c>
      <c r="F690" s="7">
        <f t="shared" si="9"/>
        <v>24</v>
      </c>
      <c r="G690" s="16">
        <f>+(TblDetalle[[#This Row],[MontoBrutoProm_Mes]]/TblDetalle[[#This Row],[UnidadesProm_Mes]])*TblDetalle[[#This Row],[Unidades]]</f>
        <v>1794.8799999999999</v>
      </c>
      <c r="H690" s="8">
        <v>30</v>
      </c>
      <c r="I690" s="9">
        <v>2243.6</v>
      </c>
      <c r="J690">
        <f>+TblDetalle[[#This Row],[Monto A Rebajhar]]/TblDetalle[[#This Row],[MontoBrutoProm_Mes]]</f>
        <v>0.79999999999999993</v>
      </c>
    </row>
    <row r="691" spans="1:10" x14ac:dyDescent="0.3">
      <c r="A691" s="7">
        <v>97</v>
      </c>
      <c r="B691" s="7" t="s">
        <v>376</v>
      </c>
      <c r="C691" s="7">
        <v>101026</v>
      </c>
      <c r="D691" s="7" t="s">
        <v>233</v>
      </c>
      <c r="E691" s="7" t="s">
        <v>215</v>
      </c>
      <c r="F691" s="7">
        <f t="shared" si="9"/>
        <v>28</v>
      </c>
      <c r="G691" s="16">
        <f>+(TblDetalle[[#This Row],[MontoBrutoProm_Mes]]/TblDetalle[[#This Row],[UnidadesProm_Mes]])*TblDetalle[[#This Row],[Unidades]]</f>
        <v>960.39999999999986</v>
      </c>
      <c r="H691" s="8">
        <v>36</v>
      </c>
      <c r="I691" s="9">
        <v>1234.8</v>
      </c>
      <c r="J691">
        <f>+TblDetalle[[#This Row],[Monto A Rebajhar]]/TblDetalle[[#This Row],[MontoBrutoProm_Mes]]</f>
        <v>0.77777777777777768</v>
      </c>
    </row>
    <row r="692" spans="1:10" x14ac:dyDescent="0.3">
      <c r="A692" s="7">
        <v>97</v>
      </c>
      <c r="B692" s="7" t="s">
        <v>376</v>
      </c>
      <c r="C692" s="7">
        <v>101027</v>
      </c>
      <c r="D692" s="7" t="s">
        <v>234</v>
      </c>
      <c r="E692" s="7" t="s">
        <v>215</v>
      </c>
      <c r="F692" s="7">
        <f t="shared" si="9"/>
        <v>32</v>
      </c>
      <c r="G692" s="16">
        <f>+(TblDetalle[[#This Row],[MontoBrutoProm_Mes]]/TblDetalle[[#This Row],[UnidadesProm_Mes]])*TblDetalle[[#This Row],[Unidades]]</f>
        <v>2428.4160000000002</v>
      </c>
      <c r="H692" s="8">
        <v>40</v>
      </c>
      <c r="I692" s="9">
        <v>3035.52</v>
      </c>
      <c r="J692">
        <f>+TblDetalle[[#This Row],[Monto A Rebajhar]]/TblDetalle[[#This Row],[MontoBrutoProm_Mes]]</f>
        <v>0.8</v>
      </c>
    </row>
    <row r="693" spans="1:10" x14ac:dyDescent="0.3">
      <c r="A693" s="7">
        <v>97</v>
      </c>
      <c r="B693" s="7" t="s">
        <v>376</v>
      </c>
      <c r="C693" s="7">
        <v>101028</v>
      </c>
      <c r="D693" s="7" t="s">
        <v>214</v>
      </c>
      <c r="E693" s="7" t="s">
        <v>215</v>
      </c>
      <c r="F693" s="7">
        <f t="shared" si="9"/>
        <v>52</v>
      </c>
      <c r="G693" s="16">
        <f>+(TblDetalle[[#This Row],[MontoBrutoProm_Mes]]/TblDetalle[[#This Row],[UnidadesProm_Mes]])*TblDetalle[[#This Row],[Unidades]]</f>
        <v>5145.1636363636362</v>
      </c>
      <c r="H693" s="8">
        <v>66</v>
      </c>
      <c r="I693" s="9">
        <v>6530.4</v>
      </c>
      <c r="J693">
        <f>+TblDetalle[[#This Row],[Monto A Rebajhar]]/TblDetalle[[#This Row],[MontoBrutoProm_Mes]]</f>
        <v>0.78787878787878785</v>
      </c>
    </row>
    <row r="694" spans="1:10" x14ac:dyDescent="0.3">
      <c r="A694" s="7">
        <v>97</v>
      </c>
      <c r="B694" s="7" t="s">
        <v>376</v>
      </c>
      <c r="C694" s="7">
        <v>101034</v>
      </c>
      <c r="D694" s="7" t="s">
        <v>272</v>
      </c>
      <c r="E694" s="7" t="s">
        <v>215</v>
      </c>
      <c r="F694" s="7">
        <f t="shared" ref="F694:F757" si="10">+ROUNDDOWN(H694*0.8,0)</f>
        <v>2</v>
      </c>
      <c r="G694" s="16">
        <f>+(TblDetalle[[#This Row],[MontoBrutoProm_Mes]]/TblDetalle[[#This Row],[UnidadesProm_Mes]])*TblDetalle[[#This Row],[Unidades]]</f>
        <v>466.56456456456459</v>
      </c>
      <c r="H694" s="8">
        <v>3.33</v>
      </c>
      <c r="I694" s="9">
        <v>776.83</v>
      </c>
      <c r="J694">
        <f>+TblDetalle[[#This Row],[Monto A Rebajhar]]/TblDetalle[[#This Row],[MontoBrutoProm_Mes]]</f>
        <v>0.60060060060060061</v>
      </c>
    </row>
    <row r="695" spans="1:10" x14ac:dyDescent="0.3">
      <c r="A695" s="7">
        <v>97</v>
      </c>
      <c r="B695" s="7" t="s">
        <v>376</v>
      </c>
      <c r="C695" s="7">
        <v>101038</v>
      </c>
      <c r="D695" s="7" t="s">
        <v>235</v>
      </c>
      <c r="E695" s="7" t="s">
        <v>215</v>
      </c>
      <c r="F695" s="7">
        <f t="shared" si="10"/>
        <v>5</v>
      </c>
      <c r="G695" s="16">
        <f>+(TblDetalle[[#This Row],[MontoBrutoProm_Mes]]/TblDetalle[[#This Row],[UnidadesProm_Mes]])*TblDetalle[[#This Row],[Unidades]]</f>
        <v>1880.6684856753068</v>
      </c>
      <c r="H695" s="8">
        <v>7.33</v>
      </c>
      <c r="I695" s="9">
        <v>2757.06</v>
      </c>
      <c r="J695">
        <f>+TblDetalle[[#This Row],[Monto A Rebajhar]]/TblDetalle[[#This Row],[MontoBrutoProm_Mes]]</f>
        <v>0.68212824010914042</v>
      </c>
    </row>
    <row r="696" spans="1:10" x14ac:dyDescent="0.3">
      <c r="A696" s="7">
        <v>97</v>
      </c>
      <c r="B696" s="7" t="s">
        <v>376</v>
      </c>
      <c r="C696" s="7">
        <v>101124</v>
      </c>
      <c r="D696" s="7" t="s">
        <v>322</v>
      </c>
      <c r="E696" s="7" t="s">
        <v>215</v>
      </c>
      <c r="F696" s="7">
        <f t="shared" si="10"/>
        <v>6</v>
      </c>
      <c r="G696" s="16">
        <f>+(TblDetalle[[#This Row],[MontoBrutoProm_Mes]]/TblDetalle[[#This Row],[UnidadesProm_Mes]])*TblDetalle[[#This Row],[Unidades]]</f>
        <v>442.20000000000005</v>
      </c>
      <c r="H696" s="8">
        <v>8</v>
      </c>
      <c r="I696" s="9">
        <v>589.6</v>
      </c>
      <c r="J696">
        <f>+TblDetalle[[#This Row],[Monto A Rebajhar]]/TblDetalle[[#This Row],[MontoBrutoProm_Mes]]</f>
        <v>0.75</v>
      </c>
    </row>
    <row r="697" spans="1:10" x14ac:dyDescent="0.3">
      <c r="A697" s="7">
        <v>97</v>
      </c>
      <c r="B697" s="7" t="s">
        <v>376</v>
      </c>
      <c r="C697" s="7">
        <v>101130</v>
      </c>
      <c r="D697" s="7" t="s">
        <v>247</v>
      </c>
      <c r="E697" s="7" t="s">
        <v>215</v>
      </c>
      <c r="F697" s="7">
        <f t="shared" si="10"/>
        <v>21</v>
      </c>
      <c r="G697" s="16">
        <f>+(TblDetalle[[#This Row],[MontoBrutoProm_Mes]]/TblDetalle[[#This Row],[UnidadesProm_Mes]])*TblDetalle[[#This Row],[Unidades]]</f>
        <v>0.2125984251968504</v>
      </c>
      <c r="H697" s="8">
        <v>26.67</v>
      </c>
      <c r="I697" s="9">
        <v>0.27</v>
      </c>
      <c r="J697">
        <f>+TblDetalle[[#This Row],[Monto A Rebajhar]]/TblDetalle[[#This Row],[MontoBrutoProm_Mes]]</f>
        <v>0.78740157480314954</v>
      </c>
    </row>
    <row r="698" spans="1:10" x14ac:dyDescent="0.3">
      <c r="A698" s="7">
        <v>97</v>
      </c>
      <c r="B698" s="7" t="s">
        <v>376</v>
      </c>
      <c r="C698" s="7">
        <v>101145</v>
      </c>
      <c r="D698" s="7" t="s">
        <v>275</v>
      </c>
      <c r="E698" s="7" t="s">
        <v>215</v>
      </c>
      <c r="F698" s="7">
        <f t="shared" si="10"/>
        <v>6</v>
      </c>
      <c r="G698" s="16">
        <f>+(TblDetalle[[#This Row],[MontoBrutoProm_Mes]]/TblDetalle[[#This Row],[UnidadesProm_Mes]])*TblDetalle[[#This Row],[Unidades]]</f>
        <v>261.42</v>
      </c>
      <c r="H698" s="8">
        <v>8</v>
      </c>
      <c r="I698" s="9">
        <v>348.56</v>
      </c>
      <c r="J698">
        <f>+TblDetalle[[#This Row],[Monto A Rebajhar]]/TblDetalle[[#This Row],[MontoBrutoProm_Mes]]</f>
        <v>0.75</v>
      </c>
    </row>
    <row r="699" spans="1:10" x14ac:dyDescent="0.3">
      <c r="A699" s="7">
        <v>97</v>
      </c>
      <c r="B699" s="7" t="s">
        <v>376</v>
      </c>
      <c r="C699" s="7">
        <v>103001</v>
      </c>
      <c r="D699" s="7" t="s">
        <v>248</v>
      </c>
      <c r="E699" s="7" t="s">
        <v>215</v>
      </c>
      <c r="F699" s="7">
        <f t="shared" si="10"/>
        <v>14</v>
      </c>
      <c r="G699" s="16">
        <f>+(TblDetalle[[#This Row],[MontoBrutoProm_Mes]]/TblDetalle[[#This Row],[UnidadesProm_Mes]])*TblDetalle[[#This Row],[Unidades]]</f>
        <v>309.20728441349758</v>
      </c>
      <c r="H699" s="8">
        <v>18.670000000000002</v>
      </c>
      <c r="I699" s="9">
        <v>412.35</v>
      </c>
      <c r="J699">
        <f>+TblDetalle[[#This Row],[Monto A Rebajhar]]/TblDetalle[[#This Row],[MontoBrutoProm_Mes]]</f>
        <v>0.74986609534011772</v>
      </c>
    </row>
    <row r="700" spans="1:10" x14ac:dyDescent="0.3">
      <c r="A700" s="7">
        <v>97</v>
      </c>
      <c r="B700" s="7" t="s">
        <v>376</v>
      </c>
      <c r="C700" s="7">
        <v>201001</v>
      </c>
      <c r="D700" s="7" t="s">
        <v>216</v>
      </c>
      <c r="E700" s="7" t="s">
        <v>217</v>
      </c>
      <c r="F700" s="7">
        <f t="shared" si="10"/>
        <v>14</v>
      </c>
      <c r="G700" s="16">
        <f>+(TblDetalle[[#This Row],[MontoBrutoProm_Mes]]/TblDetalle[[#This Row],[UnidadesProm_Mes]])*TblDetalle[[#This Row],[Unidades]]</f>
        <v>3238.4991965720405</v>
      </c>
      <c r="H700" s="8">
        <v>18.670000000000002</v>
      </c>
      <c r="I700" s="9">
        <v>4318.7700000000004</v>
      </c>
      <c r="J700">
        <f>+TblDetalle[[#This Row],[Monto A Rebajhar]]/TblDetalle[[#This Row],[MontoBrutoProm_Mes]]</f>
        <v>0.74986609534011772</v>
      </c>
    </row>
    <row r="701" spans="1:10" x14ac:dyDescent="0.3">
      <c r="A701" s="7">
        <v>97</v>
      </c>
      <c r="B701" s="7" t="s">
        <v>376</v>
      </c>
      <c r="C701" s="7">
        <v>220002</v>
      </c>
      <c r="D701" s="7" t="s">
        <v>358</v>
      </c>
      <c r="E701" s="7" t="s">
        <v>220</v>
      </c>
      <c r="F701" s="7">
        <f t="shared" si="10"/>
        <v>1</v>
      </c>
      <c r="G701" s="16">
        <f>+(TblDetalle[[#This Row],[MontoBrutoProm_Mes]]/TblDetalle[[#This Row],[UnidadesProm_Mes]])*TblDetalle[[#This Row],[Unidades]]</f>
        <v>269.52999999999997</v>
      </c>
      <c r="H701" s="8">
        <v>2</v>
      </c>
      <c r="I701" s="9">
        <v>539.05999999999995</v>
      </c>
      <c r="J701">
        <f>+TblDetalle[[#This Row],[Monto A Rebajhar]]/TblDetalle[[#This Row],[MontoBrutoProm_Mes]]</f>
        <v>0.5</v>
      </c>
    </row>
    <row r="702" spans="1:10" x14ac:dyDescent="0.3">
      <c r="A702" s="7">
        <v>97</v>
      </c>
      <c r="B702" s="7" t="s">
        <v>376</v>
      </c>
      <c r="C702" s="7">
        <v>220003</v>
      </c>
      <c r="D702" s="7" t="s">
        <v>359</v>
      </c>
      <c r="E702" s="7" t="s">
        <v>220</v>
      </c>
      <c r="F702" s="7">
        <f t="shared" si="10"/>
        <v>1</v>
      </c>
      <c r="G702" s="16">
        <f>+(TblDetalle[[#This Row],[MontoBrutoProm_Mes]]/TblDetalle[[#This Row],[UnidadesProm_Mes]])*TblDetalle[[#This Row],[Unidades]]</f>
        <v>269.52999999999997</v>
      </c>
      <c r="H702" s="8">
        <v>2</v>
      </c>
      <c r="I702" s="9">
        <v>539.05999999999995</v>
      </c>
      <c r="J702">
        <f>+TblDetalle[[#This Row],[Monto A Rebajhar]]/TblDetalle[[#This Row],[MontoBrutoProm_Mes]]</f>
        <v>0.5</v>
      </c>
    </row>
    <row r="703" spans="1:10" x14ac:dyDescent="0.3">
      <c r="A703" s="7">
        <v>97</v>
      </c>
      <c r="B703" s="7" t="s">
        <v>376</v>
      </c>
      <c r="C703" s="7">
        <v>611052</v>
      </c>
      <c r="D703" s="7" t="s">
        <v>252</v>
      </c>
      <c r="E703" s="7" t="s">
        <v>217</v>
      </c>
      <c r="F703" s="7">
        <f t="shared" si="10"/>
        <v>25</v>
      </c>
      <c r="G703" s="16">
        <f>+(TblDetalle[[#This Row],[MontoBrutoProm_Mes]]/TblDetalle[[#This Row],[UnidadesProm_Mes]])*TblDetalle[[#This Row],[Unidades]]</f>
        <v>550.75</v>
      </c>
      <c r="H703" s="8">
        <v>32</v>
      </c>
      <c r="I703" s="9">
        <v>704.96</v>
      </c>
      <c r="J703">
        <f>+TblDetalle[[#This Row],[Monto A Rebajhar]]/TblDetalle[[#This Row],[MontoBrutoProm_Mes]]</f>
        <v>0.78125</v>
      </c>
    </row>
    <row r="704" spans="1:10" x14ac:dyDescent="0.3">
      <c r="A704" s="7">
        <v>97</v>
      </c>
      <c r="B704" s="7" t="s">
        <v>376</v>
      </c>
      <c r="C704" s="7">
        <v>611053</v>
      </c>
      <c r="D704" s="7" t="s">
        <v>253</v>
      </c>
      <c r="E704" s="7" t="s">
        <v>217</v>
      </c>
      <c r="F704" s="7">
        <f t="shared" si="10"/>
        <v>25</v>
      </c>
      <c r="G704" s="16">
        <f>+(TblDetalle[[#This Row],[MontoBrutoProm_Mes]]/TblDetalle[[#This Row],[UnidadesProm_Mes]])*TblDetalle[[#This Row],[Unidades]]</f>
        <v>550.75</v>
      </c>
      <c r="H704" s="8">
        <v>32</v>
      </c>
      <c r="I704" s="9">
        <v>704.96</v>
      </c>
      <c r="J704">
        <f>+TblDetalle[[#This Row],[Monto A Rebajhar]]/TblDetalle[[#This Row],[MontoBrutoProm_Mes]]</f>
        <v>0.78125</v>
      </c>
    </row>
    <row r="705" spans="1:10" x14ac:dyDescent="0.3">
      <c r="A705" s="7">
        <v>97</v>
      </c>
      <c r="B705" s="7" t="s">
        <v>376</v>
      </c>
      <c r="C705" s="7">
        <v>611055</v>
      </c>
      <c r="D705" s="7" t="s">
        <v>254</v>
      </c>
      <c r="E705" s="7" t="s">
        <v>217</v>
      </c>
      <c r="F705" s="7">
        <f t="shared" si="10"/>
        <v>9</v>
      </c>
      <c r="G705" s="16">
        <f>+(TblDetalle[[#This Row],[MontoBrutoProm_Mes]]/TblDetalle[[#This Row],[UnidadesProm_Mes]])*TblDetalle[[#This Row],[Unidades]]</f>
        <v>762.66</v>
      </c>
      <c r="H705" s="8">
        <v>12</v>
      </c>
      <c r="I705" s="9">
        <v>1016.88</v>
      </c>
      <c r="J705">
        <f>+TblDetalle[[#This Row],[Monto A Rebajhar]]/TblDetalle[[#This Row],[MontoBrutoProm_Mes]]</f>
        <v>0.75</v>
      </c>
    </row>
    <row r="706" spans="1:10" x14ac:dyDescent="0.3">
      <c r="A706" s="7">
        <v>97</v>
      </c>
      <c r="B706" s="7" t="s">
        <v>376</v>
      </c>
      <c r="C706" s="7">
        <v>621006</v>
      </c>
      <c r="D706" s="7" t="s">
        <v>288</v>
      </c>
      <c r="E706" s="7" t="s">
        <v>239</v>
      </c>
      <c r="F706" s="7">
        <f t="shared" si="10"/>
        <v>3</v>
      </c>
      <c r="G706" s="16">
        <f>+(TblDetalle[[#This Row],[MontoBrutoProm_Mes]]/TblDetalle[[#This Row],[UnidadesProm_Mes]])*TblDetalle[[#This Row],[Unidades]]</f>
        <v>559.5</v>
      </c>
      <c r="H706" s="8">
        <v>4</v>
      </c>
      <c r="I706" s="9">
        <v>746</v>
      </c>
      <c r="J706">
        <f>+TblDetalle[[#This Row],[Monto A Rebajhar]]/TblDetalle[[#This Row],[MontoBrutoProm_Mes]]</f>
        <v>0.75</v>
      </c>
    </row>
    <row r="707" spans="1:10" x14ac:dyDescent="0.3">
      <c r="A707" s="7">
        <v>97</v>
      </c>
      <c r="B707" s="7" t="s">
        <v>376</v>
      </c>
      <c r="C707" s="7">
        <v>621008</v>
      </c>
      <c r="D707" s="7" t="s">
        <v>289</v>
      </c>
      <c r="E707" s="7" t="s">
        <v>239</v>
      </c>
      <c r="F707" s="7">
        <f t="shared" si="10"/>
        <v>0</v>
      </c>
      <c r="G707" s="16">
        <f>+(TblDetalle[[#This Row],[MontoBrutoProm_Mes]]/TblDetalle[[#This Row],[UnidadesProm_Mes]])*TblDetalle[[#This Row],[Unidades]]</f>
        <v>0</v>
      </c>
      <c r="H707" s="8">
        <v>1</v>
      </c>
      <c r="I707" s="9">
        <v>186.5</v>
      </c>
      <c r="J707">
        <f>+TblDetalle[[#This Row],[Monto A Rebajhar]]/TblDetalle[[#This Row],[MontoBrutoProm_Mes]]</f>
        <v>0</v>
      </c>
    </row>
    <row r="708" spans="1:10" x14ac:dyDescent="0.3">
      <c r="A708" s="7">
        <v>97</v>
      </c>
      <c r="B708" s="7" t="s">
        <v>376</v>
      </c>
      <c r="C708" s="7">
        <v>621045</v>
      </c>
      <c r="D708" s="7" t="s">
        <v>238</v>
      </c>
      <c r="E708" s="7" t="s">
        <v>239</v>
      </c>
      <c r="F708" s="7">
        <f t="shared" si="10"/>
        <v>6</v>
      </c>
      <c r="G708" s="16">
        <f>+(TblDetalle[[#This Row],[MontoBrutoProm_Mes]]/TblDetalle[[#This Row],[UnidadesProm_Mes]])*TblDetalle[[#This Row],[Unidades]]</f>
        <v>1018.74</v>
      </c>
      <c r="H708" s="8">
        <v>8</v>
      </c>
      <c r="I708" s="9">
        <v>1358.32</v>
      </c>
      <c r="J708">
        <f>+TblDetalle[[#This Row],[Monto A Rebajhar]]/TblDetalle[[#This Row],[MontoBrutoProm_Mes]]</f>
        <v>0.75</v>
      </c>
    </row>
    <row r="709" spans="1:10" x14ac:dyDescent="0.3">
      <c r="A709" s="7">
        <v>97</v>
      </c>
      <c r="B709" s="7" t="s">
        <v>376</v>
      </c>
      <c r="C709" s="7">
        <v>621056</v>
      </c>
      <c r="D709" s="7" t="s">
        <v>366</v>
      </c>
      <c r="E709" s="7" t="s">
        <v>239</v>
      </c>
      <c r="F709" s="7">
        <f t="shared" si="10"/>
        <v>1</v>
      </c>
      <c r="G709" s="16">
        <f>+(TblDetalle[[#This Row],[MontoBrutoProm_Mes]]/TblDetalle[[#This Row],[UnidadesProm_Mes]])*TblDetalle[[#This Row],[Unidades]]</f>
        <v>142.85714285714286</v>
      </c>
      <c r="H709" s="8">
        <v>1.33</v>
      </c>
      <c r="I709" s="9">
        <v>190</v>
      </c>
      <c r="J709">
        <f>+TblDetalle[[#This Row],[Monto A Rebajhar]]/TblDetalle[[#This Row],[MontoBrutoProm_Mes]]</f>
        <v>0.75187969924812037</v>
      </c>
    </row>
    <row r="710" spans="1:10" x14ac:dyDescent="0.3">
      <c r="A710" s="7">
        <v>97</v>
      </c>
      <c r="B710" s="7" t="s">
        <v>376</v>
      </c>
      <c r="C710" s="7">
        <v>621057</v>
      </c>
      <c r="D710" s="7" t="s">
        <v>367</v>
      </c>
      <c r="E710" s="7" t="s">
        <v>239</v>
      </c>
      <c r="F710" s="7">
        <f t="shared" si="10"/>
        <v>0</v>
      </c>
      <c r="G710" s="16">
        <f>+(TblDetalle[[#This Row],[MontoBrutoProm_Mes]]/TblDetalle[[#This Row],[UnidadesProm_Mes]])*TblDetalle[[#This Row],[Unidades]]</f>
        <v>0</v>
      </c>
      <c r="H710" s="8">
        <v>0.67</v>
      </c>
      <c r="I710" s="9">
        <v>95</v>
      </c>
      <c r="J710">
        <f>+TblDetalle[[#This Row],[Monto A Rebajhar]]/TblDetalle[[#This Row],[MontoBrutoProm_Mes]]</f>
        <v>0</v>
      </c>
    </row>
    <row r="711" spans="1:10" x14ac:dyDescent="0.3">
      <c r="A711" s="7">
        <v>97</v>
      </c>
      <c r="B711" s="7" t="s">
        <v>376</v>
      </c>
      <c r="C711" s="7">
        <v>800088</v>
      </c>
      <c r="D711" s="7" t="s">
        <v>240</v>
      </c>
      <c r="E711" s="7" t="s">
        <v>215</v>
      </c>
      <c r="F711" s="7">
        <f t="shared" si="10"/>
        <v>0</v>
      </c>
      <c r="G711" s="16">
        <f>+(TblDetalle[[#This Row],[MontoBrutoProm_Mes]]/TblDetalle[[#This Row],[UnidadesProm_Mes]])*TblDetalle[[#This Row],[Unidades]]</f>
        <v>0</v>
      </c>
      <c r="H711" s="8">
        <v>0.67</v>
      </c>
      <c r="I711" s="9">
        <v>248.59</v>
      </c>
      <c r="J711">
        <f>+TblDetalle[[#This Row],[Monto A Rebajhar]]/TblDetalle[[#This Row],[MontoBrutoProm_Mes]]</f>
        <v>0</v>
      </c>
    </row>
    <row r="712" spans="1:10" x14ac:dyDescent="0.3">
      <c r="A712" s="7">
        <v>97</v>
      </c>
      <c r="B712" s="7" t="s">
        <v>376</v>
      </c>
      <c r="C712" s="7">
        <v>800089</v>
      </c>
      <c r="D712" s="7" t="s">
        <v>241</v>
      </c>
      <c r="E712" s="7" t="s">
        <v>215</v>
      </c>
      <c r="F712" s="7">
        <f t="shared" si="10"/>
        <v>7</v>
      </c>
      <c r="G712" s="16">
        <f>+(TblDetalle[[#This Row],[MontoBrutoProm_Mes]]/TblDetalle[[#This Row],[UnidadesProm_Mes]])*TblDetalle[[#This Row],[Unidades]]</f>
        <v>2558.163391933816</v>
      </c>
      <c r="H712" s="8">
        <v>9.67</v>
      </c>
      <c r="I712" s="9">
        <v>3533.92</v>
      </c>
      <c r="J712">
        <f>+TblDetalle[[#This Row],[Monto A Rebajhar]]/TblDetalle[[#This Row],[MontoBrutoProm_Mes]]</f>
        <v>0.72388831437435364</v>
      </c>
    </row>
    <row r="713" spans="1:10" x14ac:dyDescent="0.3">
      <c r="A713" s="7">
        <v>97</v>
      </c>
      <c r="B713" s="7" t="s">
        <v>376</v>
      </c>
      <c r="C713" s="7">
        <v>800791</v>
      </c>
      <c r="D713" s="7" t="s">
        <v>259</v>
      </c>
      <c r="E713" s="7" t="s">
        <v>243</v>
      </c>
      <c r="F713" s="7">
        <f t="shared" si="10"/>
        <v>0</v>
      </c>
      <c r="G713" s="16">
        <f>+(TblDetalle[[#This Row],[MontoBrutoProm_Mes]]/TblDetalle[[#This Row],[UnidadesProm_Mes]])*TblDetalle[[#This Row],[Unidades]]</f>
        <v>0</v>
      </c>
      <c r="H713" s="8">
        <v>1</v>
      </c>
      <c r="I713" s="9">
        <v>161.02000000000001</v>
      </c>
      <c r="J713">
        <f>+TblDetalle[[#This Row],[Monto A Rebajhar]]/TblDetalle[[#This Row],[MontoBrutoProm_Mes]]</f>
        <v>0</v>
      </c>
    </row>
    <row r="714" spans="1:10" x14ac:dyDescent="0.3">
      <c r="A714" s="7">
        <v>97</v>
      </c>
      <c r="B714" s="7" t="s">
        <v>376</v>
      </c>
      <c r="C714" s="7">
        <v>800792</v>
      </c>
      <c r="D714" s="7" t="s">
        <v>242</v>
      </c>
      <c r="E714" s="7" t="s">
        <v>243</v>
      </c>
      <c r="F714" s="7">
        <f t="shared" si="10"/>
        <v>1</v>
      </c>
      <c r="G714" s="16">
        <f>+(TblDetalle[[#This Row],[MontoBrutoProm_Mes]]/TblDetalle[[#This Row],[UnidadesProm_Mes]])*TblDetalle[[#This Row],[Unidades]]</f>
        <v>161.02000000000001</v>
      </c>
      <c r="H714" s="8">
        <v>2</v>
      </c>
      <c r="I714" s="9">
        <v>322.04000000000002</v>
      </c>
      <c r="J714">
        <f>+TblDetalle[[#This Row],[Monto A Rebajhar]]/TblDetalle[[#This Row],[MontoBrutoProm_Mes]]</f>
        <v>0.5</v>
      </c>
    </row>
    <row r="715" spans="1:10" x14ac:dyDescent="0.3">
      <c r="A715" s="7">
        <v>97</v>
      </c>
      <c r="B715" s="7" t="s">
        <v>376</v>
      </c>
      <c r="C715" s="7">
        <v>800793</v>
      </c>
      <c r="D715" s="7" t="s">
        <v>260</v>
      </c>
      <c r="E715" s="7" t="s">
        <v>243</v>
      </c>
      <c r="F715" s="7">
        <f t="shared" si="10"/>
        <v>1</v>
      </c>
      <c r="G715" s="16">
        <f>+(TblDetalle[[#This Row],[MontoBrutoProm_Mes]]/TblDetalle[[#This Row],[UnidadesProm_Mes]])*TblDetalle[[#This Row],[Unidades]]</f>
        <v>161.02000000000001</v>
      </c>
      <c r="H715" s="8">
        <v>2</v>
      </c>
      <c r="I715" s="9">
        <v>322.04000000000002</v>
      </c>
      <c r="J715">
        <f>+TblDetalle[[#This Row],[Monto A Rebajhar]]/TblDetalle[[#This Row],[MontoBrutoProm_Mes]]</f>
        <v>0.5</v>
      </c>
    </row>
    <row r="716" spans="1:10" x14ac:dyDescent="0.3">
      <c r="A716" s="7">
        <v>97</v>
      </c>
      <c r="B716" s="7" t="s">
        <v>376</v>
      </c>
      <c r="C716" s="7">
        <v>910101</v>
      </c>
      <c r="D716" s="7" t="s">
        <v>377</v>
      </c>
      <c r="E716" s="7" t="s">
        <v>296</v>
      </c>
      <c r="F716" s="7">
        <f t="shared" si="10"/>
        <v>12</v>
      </c>
      <c r="G716" s="16">
        <f>+(TblDetalle[[#This Row],[MontoBrutoProm_Mes]]/TblDetalle[[#This Row],[UnidadesProm_Mes]])*TblDetalle[[#This Row],[Unidades]]</f>
        <v>338.76</v>
      </c>
      <c r="H716" s="8">
        <v>16</v>
      </c>
      <c r="I716" s="9">
        <v>451.68</v>
      </c>
      <c r="J716">
        <f>+TblDetalle[[#This Row],[Monto A Rebajhar]]/TblDetalle[[#This Row],[MontoBrutoProm_Mes]]</f>
        <v>0.75</v>
      </c>
    </row>
    <row r="717" spans="1:10" x14ac:dyDescent="0.3">
      <c r="A717" s="7">
        <v>97</v>
      </c>
      <c r="B717" s="7" t="s">
        <v>376</v>
      </c>
      <c r="C717" s="7">
        <v>910103</v>
      </c>
      <c r="D717" s="7" t="s">
        <v>295</v>
      </c>
      <c r="E717" s="7" t="s">
        <v>296</v>
      </c>
      <c r="F717" s="7">
        <f t="shared" si="10"/>
        <v>12</v>
      </c>
      <c r="G717" s="16">
        <f>+(TblDetalle[[#This Row],[MontoBrutoProm_Mes]]/TblDetalle[[#This Row],[UnidadesProm_Mes]])*TblDetalle[[#This Row],[Unidades]]</f>
        <v>338.76</v>
      </c>
      <c r="H717" s="8">
        <v>16</v>
      </c>
      <c r="I717" s="9">
        <v>451.68</v>
      </c>
      <c r="J717">
        <f>+TblDetalle[[#This Row],[Monto A Rebajhar]]/TblDetalle[[#This Row],[MontoBrutoProm_Mes]]</f>
        <v>0.75</v>
      </c>
    </row>
    <row r="718" spans="1:10" x14ac:dyDescent="0.3">
      <c r="A718" s="7">
        <v>97</v>
      </c>
      <c r="B718" s="7" t="s">
        <v>376</v>
      </c>
      <c r="C718" s="7">
        <v>910104</v>
      </c>
      <c r="D718" s="7" t="s">
        <v>309</v>
      </c>
      <c r="E718" s="7" t="s">
        <v>296</v>
      </c>
      <c r="F718" s="7">
        <f t="shared" si="10"/>
        <v>12</v>
      </c>
      <c r="G718" s="16">
        <f>+(TblDetalle[[#This Row],[MontoBrutoProm_Mes]]/TblDetalle[[#This Row],[UnidadesProm_Mes]])*TblDetalle[[#This Row],[Unidades]]</f>
        <v>338.76</v>
      </c>
      <c r="H718" s="8">
        <v>16</v>
      </c>
      <c r="I718" s="9">
        <v>451.68</v>
      </c>
      <c r="J718">
        <f>+TblDetalle[[#This Row],[Monto A Rebajhar]]/TblDetalle[[#This Row],[MontoBrutoProm_Mes]]</f>
        <v>0.75</v>
      </c>
    </row>
    <row r="719" spans="1:10" x14ac:dyDescent="0.3">
      <c r="A719" s="7">
        <v>97</v>
      </c>
      <c r="B719" s="7" t="s">
        <v>376</v>
      </c>
      <c r="C719" s="7">
        <v>910106</v>
      </c>
      <c r="D719" s="7" t="s">
        <v>378</v>
      </c>
      <c r="E719" s="7" t="s">
        <v>296</v>
      </c>
      <c r="F719" s="7">
        <f t="shared" si="10"/>
        <v>12</v>
      </c>
      <c r="G719" s="16">
        <f>+(TblDetalle[[#This Row],[MontoBrutoProm_Mes]]/TblDetalle[[#This Row],[UnidadesProm_Mes]])*TblDetalle[[#This Row],[Unidades]]</f>
        <v>415.56000000000006</v>
      </c>
      <c r="H719" s="8">
        <v>16</v>
      </c>
      <c r="I719" s="9">
        <v>554.08000000000004</v>
      </c>
      <c r="J719">
        <f>+TblDetalle[[#This Row],[Monto A Rebajhar]]/TblDetalle[[#This Row],[MontoBrutoProm_Mes]]</f>
        <v>0.75</v>
      </c>
    </row>
    <row r="720" spans="1:10" x14ac:dyDescent="0.3">
      <c r="A720" s="7">
        <v>97</v>
      </c>
      <c r="B720" s="7" t="s">
        <v>376</v>
      </c>
      <c r="C720" s="7">
        <v>910112</v>
      </c>
      <c r="D720" s="7" t="s">
        <v>379</v>
      </c>
      <c r="E720" s="7" t="s">
        <v>296</v>
      </c>
      <c r="F720" s="7">
        <f t="shared" si="10"/>
        <v>12</v>
      </c>
      <c r="G720" s="16">
        <f>+(TblDetalle[[#This Row],[MontoBrutoProm_Mes]]/TblDetalle[[#This Row],[UnidadesProm_Mes]])*TblDetalle[[#This Row],[Unidades]]</f>
        <v>415.56000000000006</v>
      </c>
      <c r="H720" s="8">
        <v>16</v>
      </c>
      <c r="I720" s="9">
        <v>554.08000000000004</v>
      </c>
      <c r="J720">
        <f>+TblDetalle[[#This Row],[Monto A Rebajhar]]/TblDetalle[[#This Row],[MontoBrutoProm_Mes]]</f>
        <v>0.75</v>
      </c>
    </row>
    <row r="721" spans="1:10" x14ac:dyDescent="0.3">
      <c r="A721" s="7">
        <v>97</v>
      </c>
      <c r="B721" s="7" t="s">
        <v>376</v>
      </c>
      <c r="C721" s="7">
        <v>912005</v>
      </c>
      <c r="D721" s="7" t="s">
        <v>324</v>
      </c>
      <c r="E721" s="7" t="s">
        <v>325</v>
      </c>
      <c r="F721" s="7">
        <f t="shared" si="10"/>
        <v>0</v>
      </c>
      <c r="G721" s="16">
        <f>+(TblDetalle[[#This Row],[MontoBrutoProm_Mes]]/TblDetalle[[#This Row],[UnidadesProm_Mes]])*TblDetalle[[#This Row],[Unidades]]</f>
        <v>0</v>
      </c>
      <c r="H721" s="8">
        <v>0.33</v>
      </c>
      <c r="I721" s="9">
        <v>38.979999999999997</v>
      </c>
      <c r="J721">
        <f>+TblDetalle[[#This Row],[Monto A Rebajhar]]/TblDetalle[[#This Row],[MontoBrutoProm_Mes]]</f>
        <v>0</v>
      </c>
    </row>
    <row r="722" spans="1:10" x14ac:dyDescent="0.3">
      <c r="A722" s="7">
        <v>97</v>
      </c>
      <c r="B722" s="7" t="s">
        <v>376</v>
      </c>
      <c r="C722" s="7">
        <v>924104</v>
      </c>
      <c r="D722" s="7" t="s">
        <v>277</v>
      </c>
      <c r="E722" s="7" t="s">
        <v>215</v>
      </c>
      <c r="F722" s="7">
        <f t="shared" si="10"/>
        <v>6</v>
      </c>
      <c r="G722" s="16">
        <f>+(TblDetalle[[#This Row],[MontoBrutoProm_Mes]]/TblDetalle[[#This Row],[UnidadesProm_Mes]])*TblDetalle[[#This Row],[Unidades]]</f>
        <v>0.06</v>
      </c>
      <c r="H722" s="8">
        <v>8</v>
      </c>
      <c r="I722" s="9">
        <v>0.08</v>
      </c>
      <c r="J722">
        <f>+TblDetalle[[#This Row],[Monto A Rebajhar]]/TblDetalle[[#This Row],[MontoBrutoProm_Mes]]</f>
        <v>0.75</v>
      </c>
    </row>
    <row r="723" spans="1:10" x14ac:dyDescent="0.3">
      <c r="A723" s="7">
        <v>97</v>
      </c>
      <c r="B723" s="7" t="s">
        <v>376</v>
      </c>
      <c r="C723" s="7">
        <v>924109</v>
      </c>
      <c r="D723" s="7" t="s">
        <v>352</v>
      </c>
      <c r="E723" s="7" t="s">
        <v>215</v>
      </c>
      <c r="F723" s="7">
        <f t="shared" si="10"/>
        <v>0</v>
      </c>
      <c r="G723" s="16">
        <f>+(TblDetalle[[#This Row],[MontoBrutoProm_Mes]]/TblDetalle[[#This Row],[UnidadesProm_Mes]])*TblDetalle[[#This Row],[Unidades]]</f>
        <v>0</v>
      </c>
      <c r="H723" s="8">
        <v>0.33</v>
      </c>
      <c r="I723" s="9">
        <v>124.29</v>
      </c>
      <c r="J723">
        <f>+TblDetalle[[#This Row],[Monto A Rebajhar]]/TblDetalle[[#This Row],[MontoBrutoProm_Mes]]</f>
        <v>0</v>
      </c>
    </row>
    <row r="724" spans="1:10" x14ac:dyDescent="0.3">
      <c r="A724" s="7">
        <v>97</v>
      </c>
      <c r="B724" s="7" t="s">
        <v>376</v>
      </c>
      <c r="C724" s="7">
        <v>925050</v>
      </c>
      <c r="D724" s="7" t="s">
        <v>261</v>
      </c>
      <c r="E724" s="7" t="s">
        <v>220</v>
      </c>
      <c r="F724" s="7">
        <f t="shared" si="10"/>
        <v>3</v>
      </c>
      <c r="G724" s="16">
        <f>+(TblDetalle[[#This Row],[MontoBrutoProm_Mes]]/TblDetalle[[#This Row],[UnidadesProm_Mes]])*TblDetalle[[#This Row],[Unidades]]</f>
        <v>231.84</v>
      </c>
      <c r="H724" s="8">
        <v>4</v>
      </c>
      <c r="I724" s="9">
        <v>309.12</v>
      </c>
      <c r="J724">
        <f>+TblDetalle[[#This Row],[Monto A Rebajhar]]/TblDetalle[[#This Row],[MontoBrutoProm_Mes]]</f>
        <v>0.75</v>
      </c>
    </row>
    <row r="725" spans="1:10" x14ac:dyDescent="0.3">
      <c r="A725" s="7">
        <v>97</v>
      </c>
      <c r="B725" s="7" t="s">
        <v>376</v>
      </c>
      <c r="C725" s="7">
        <v>925059</v>
      </c>
      <c r="D725" s="7" t="s">
        <v>262</v>
      </c>
      <c r="E725" s="7" t="s">
        <v>220</v>
      </c>
      <c r="F725" s="7">
        <f t="shared" si="10"/>
        <v>0</v>
      </c>
      <c r="G725" s="16">
        <f>+(TblDetalle[[#This Row],[MontoBrutoProm_Mes]]/TblDetalle[[#This Row],[UnidadesProm_Mes]])*TblDetalle[[#This Row],[Unidades]]</f>
        <v>0</v>
      </c>
      <c r="H725" s="8">
        <v>0.33</v>
      </c>
      <c r="I725" s="9">
        <v>0</v>
      </c>
      <c r="J725" t="e">
        <f>+TblDetalle[[#This Row],[Monto A Rebajhar]]/TblDetalle[[#This Row],[MontoBrutoProm_Mes]]</f>
        <v>#DIV/0!</v>
      </c>
    </row>
    <row r="726" spans="1:10" x14ac:dyDescent="0.3">
      <c r="A726" s="7">
        <v>97</v>
      </c>
      <c r="B726" s="7" t="s">
        <v>376</v>
      </c>
      <c r="C726" s="7">
        <v>925064</v>
      </c>
      <c r="D726" s="7" t="s">
        <v>263</v>
      </c>
      <c r="E726" s="7" t="s">
        <v>220</v>
      </c>
      <c r="F726" s="7">
        <f t="shared" si="10"/>
        <v>22</v>
      </c>
      <c r="G726" s="16">
        <f>+(TblDetalle[[#This Row],[MontoBrutoProm_Mes]]/TblDetalle[[#This Row],[UnidadesProm_Mes]])*TblDetalle[[#This Row],[Unidades]]</f>
        <v>755.83467038716424</v>
      </c>
      <c r="H726" s="8">
        <v>28.67</v>
      </c>
      <c r="I726" s="9">
        <v>984.99</v>
      </c>
      <c r="J726">
        <f>+TblDetalle[[#This Row],[Monto A Rebajhar]]/TblDetalle[[#This Row],[MontoBrutoProm_Mes]]</f>
        <v>0.76735263341471915</v>
      </c>
    </row>
    <row r="727" spans="1:10" x14ac:dyDescent="0.3">
      <c r="A727" s="7">
        <v>97</v>
      </c>
      <c r="B727" s="7" t="s">
        <v>376</v>
      </c>
      <c r="C727" s="7">
        <v>925078</v>
      </c>
      <c r="D727" s="7" t="s">
        <v>221</v>
      </c>
      <c r="E727" s="7" t="s">
        <v>220</v>
      </c>
      <c r="F727" s="7">
        <f t="shared" si="10"/>
        <v>3</v>
      </c>
      <c r="G727" s="16">
        <f>+(TblDetalle[[#This Row],[MontoBrutoProm_Mes]]/TblDetalle[[#This Row],[UnidadesProm_Mes]])*TblDetalle[[#This Row],[Unidades]]</f>
        <v>221.01</v>
      </c>
      <c r="H727" s="8">
        <v>4</v>
      </c>
      <c r="I727" s="9">
        <v>294.68</v>
      </c>
      <c r="J727">
        <f>+TblDetalle[[#This Row],[Monto A Rebajhar]]/TblDetalle[[#This Row],[MontoBrutoProm_Mes]]</f>
        <v>0.75</v>
      </c>
    </row>
    <row r="728" spans="1:10" x14ac:dyDescent="0.3">
      <c r="A728" s="7">
        <v>97</v>
      </c>
      <c r="B728" s="7" t="s">
        <v>376</v>
      </c>
      <c r="C728" s="7">
        <v>925079</v>
      </c>
      <c r="D728" s="7" t="s">
        <v>279</v>
      </c>
      <c r="E728" s="7" t="s">
        <v>220</v>
      </c>
      <c r="F728" s="7">
        <f t="shared" si="10"/>
        <v>16</v>
      </c>
      <c r="G728" s="16">
        <f>+(TblDetalle[[#This Row],[MontoBrutoProm_Mes]]/TblDetalle[[#This Row],[UnidadesProm_Mes]])*TblDetalle[[#This Row],[Unidades]]</f>
        <v>1178.72</v>
      </c>
      <c r="H728" s="8">
        <v>20</v>
      </c>
      <c r="I728" s="9">
        <v>1473.4</v>
      </c>
      <c r="J728">
        <f>+TblDetalle[[#This Row],[Monto A Rebajhar]]/TblDetalle[[#This Row],[MontoBrutoProm_Mes]]</f>
        <v>0.79999999999999993</v>
      </c>
    </row>
    <row r="729" spans="1:10" x14ac:dyDescent="0.3">
      <c r="A729" s="7">
        <v>97</v>
      </c>
      <c r="B729" s="7" t="s">
        <v>376</v>
      </c>
      <c r="C729" s="7">
        <v>925094</v>
      </c>
      <c r="D729" s="7" t="s">
        <v>298</v>
      </c>
      <c r="E729" s="7" t="s">
        <v>220</v>
      </c>
      <c r="F729" s="7">
        <f t="shared" si="10"/>
        <v>12</v>
      </c>
      <c r="G729" s="16">
        <f>+(TblDetalle[[#This Row],[MontoBrutoProm_Mes]]/TblDetalle[[#This Row],[UnidadesProm_Mes]])*TblDetalle[[#This Row],[Unidades]]</f>
        <v>582.24</v>
      </c>
      <c r="H729" s="8">
        <v>16</v>
      </c>
      <c r="I729" s="9">
        <v>776.32</v>
      </c>
      <c r="J729">
        <f>+TblDetalle[[#This Row],[Monto A Rebajhar]]/TblDetalle[[#This Row],[MontoBrutoProm_Mes]]</f>
        <v>0.75</v>
      </c>
    </row>
    <row r="730" spans="1:10" x14ac:dyDescent="0.3">
      <c r="A730" s="7">
        <v>97</v>
      </c>
      <c r="B730" s="7" t="s">
        <v>376</v>
      </c>
      <c r="C730" s="7">
        <v>925095</v>
      </c>
      <c r="D730" s="7" t="s">
        <v>280</v>
      </c>
      <c r="E730" s="7" t="s">
        <v>220</v>
      </c>
      <c r="F730" s="7">
        <f t="shared" si="10"/>
        <v>12</v>
      </c>
      <c r="G730" s="16">
        <f>+(TblDetalle[[#This Row],[MontoBrutoProm_Mes]]/TblDetalle[[#This Row],[UnidadesProm_Mes]])*TblDetalle[[#This Row],[Unidades]]</f>
        <v>582.24</v>
      </c>
      <c r="H730" s="8">
        <v>16</v>
      </c>
      <c r="I730" s="9">
        <v>776.32</v>
      </c>
      <c r="J730">
        <f>+TblDetalle[[#This Row],[Monto A Rebajhar]]/TblDetalle[[#This Row],[MontoBrutoProm_Mes]]</f>
        <v>0.75</v>
      </c>
    </row>
    <row r="731" spans="1:10" x14ac:dyDescent="0.3">
      <c r="A731" s="7">
        <v>97</v>
      </c>
      <c r="B731" s="7" t="s">
        <v>376</v>
      </c>
      <c r="C731" s="7">
        <v>930020</v>
      </c>
      <c r="D731" s="7" t="s">
        <v>299</v>
      </c>
      <c r="E731" s="7" t="s">
        <v>243</v>
      </c>
      <c r="F731" s="7">
        <f t="shared" si="10"/>
        <v>0</v>
      </c>
      <c r="G731" s="16">
        <f>+(TblDetalle[[#This Row],[MontoBrutoProm_Mes]]/TblDetalle[[#This Row],[UnidadesProm_Mes]])*TblDetalle[[#This Row],[Unidades]]</f>
        <v>0</v>
      </c>
      <c r="H731" s="8">
        <v>0.33</v>
      </c>
      <c r="I731" s="9">
        <v>30.36</v>
      </c>
      <c r="J731">
        <f>+TblDetalle[[#This Row],[Monto A Rebajhar]]/TblDetalle[[#This Row],[MontoBrutoProm_Mes]]</f>
        <v>0</v>
      </c>
    </row>
    <row r="732" spans="1:10" x14ac:dyDescent="0.3">
      <c r="A732" s="7">
        <v>97</v>
      </c>
      <c r="B732" s="7" t="s">
        <v>376</v>
      </c>
      <c r="C732" s="7">
        <v>930025</v>
      </c>
      <c r="D732" s="7" t="s">
        <v>244</v>
      </c>
      <c r="E732" s="7" t="s">
        <v>243</v>
      </c>
      <c r="F732" s="7">
        <f t="shared" si="10"/>
        <v>1</v>
      </c>
      <c r="G732" s="16">
        <f>+(TblDetalle[[#This Row],[MontoBrutoProm_Mes]]/TblDetalle[[#This Row],[UnidadesProm_Mes]])*TblDetalle[[#This Row],[Unidades]]</f>
        <v>59.223175965665241</v>
      </c>
      <c r="H732" s="8">
        <v>2.33</v>
      </c>
      <c r="I732" s="9">
        <v>137.99</v>
      </c>
      <c r="J732">
        <f>+TblDetalle[[#This Row],[Monto A Rebajhar]]/TblDetalle[[#This Row],[MontoBrutoProm_Mes]]</f>
        <v>0.42918454935622319</v>
      </c>
    </row>
    <row r="733" spans="1:10" x14ac:dyDescent="0.3">
      <c r="A733" s="7">
        <v>97</v>
      </c>
      <c r="B733" s="7" t="s">
        <v>376</v>
      </c>
      <c r="C733" s="7">
        <v>930060</v>
      </c>
      <c r="D733" s="7" t="s">
        <v>336</v>
      </c>
      <c r="E733" s="7" t="s">
        <v>243</v>
      </c>
      <c r="F733" s="7">
        <f t="shared" si="10"/>
        <v>0</v>
      </c>
      <c r="G733" s="16">
        <f>+(TblDetalle[[#This Row],[MontoBrutoProm_Mes]]/TblDetalle[[#This Row],[UnidadesProm_Mes]])*TblDetalle[[#This Row],[Unidades]]</f>
        <v>0</v>
      </c>
      <c r="H733" s="8">
        <v>1</v>
      </c>
      <c r="I733" s="9">
        <v>161</v>
      </c>
      <c r="J733">
        <f>+TblDetalle[[#This Row],[Monto A Rebajhar]]/TblDetalle[[#This Row],[MontoBrutoProm_Mes]]</f>
        <v>0</v>
      </c>
    </row>
    <row r="734" spans="1:10" x14ac:dyDescent="0.3">
      <c r="A734" s="7">
        <v>97</v>
      </c>
      <c r="B734" s="7" t="s">
        <v>376</v>
      </c>
      <c r="C734" s="7">
        <v>930112</v>
      </c>
      <c r="D734" s="7" t="s">
        <v>310</v>
      </c>
      <c r="E734" s="7" t="s">
        <v>243</v>
      </c>
      <c r="F734" s="7">
        <f t="shared" si="10"/>
        <v>0</v>
      </c>
      <c r="G734" s="16">
        <f>+(TblDetalle[[#This Row],[MontoBrutoProm_Mes]]/TblDetalle[[#This Row],[UnidadesProm_Mes]])*TblDetalle[[#This Row],[Unidades]]</f>
        <v>0</v>
      </c>
      <c r="H734" s="8">
        <v>1</v>
      </c>
      <c r="I734" s="9">
        <v>161</v>
      </c>
      <c r="J734">
        <f>+TblDetalle[[#This Row],[Monto A Rebajhar]]/TblDetalle[[#This Row],[MontoBrutoProm_Mes]]</f>
        <v>0</v>
      </c>
    </row>
    <row r="735" spans="1:10" x14ac:dyDescent="0.3">
      <c r="A735" s="7">
        <v>97</v>
      </c>
      <c r="B735" s="7" t="s">
        <v>376</v>
      </c>
      <c r="C735" s="7">
        <v>930135</v>
      </c>
      <c r="D735" s="7" t="s">
        <v>380</v>
      </c>
      <c r="E735" s="7" t="s">
        <v>243</v>
      </c>
      <c r="F735" s="7">
        <f t="shared" si="10"/>
        <v>0</v>
      </c>
      <c r="G735" s="16">
        <f>+(TblDetalle[[#This Row],[MontoBrutoProm_Mes]]/TblDetalle[[#This Row],[UnidadesProm_Mes]])*TblDetalle[[#This Row],[Unidades]]</f>
        <v>0</v>
      </c>
      <c r="H735" s="8">
        <v>0.33</v>
      </c>
      <c r="I735" s="9">
        <v>0</v>
      </c>
      <c r="J735" t="e">
        <f>+TblDetalle[[#This Row],[Monto A Rebajhar]]/TblDetalle[[#This Row],[MontoBrutoProm_Mes]]</f>
        <v>#DIV/0!</v>
      </c>
    </row>
    <row r="736" spans="1:10" x14ac:dyDescent="0.3">
      <c r="A736" s="7">
        <v>97</v>
      </c>
      <c r="B736" s="7" t="s">
        <v>376</v>
      </c>
      <c r="C736" s="7">
        <v>930138</v>
      </c>
      <c r="D736" s="7" t="s">
        <v>312</v>
      </c>
      <c r="E736" s="7" t="s">
        <v>243</v>
      </c>
      <c r="F736" s="7">
        <f t="shared" si="10"/>
        <v>3</v>
      </c>
      <c r="G736" s="16">
        <f>+(TblDetalle[[#This Row],[MontoBrutoProm_Mes]]/TblDetalle[[#This Row],[UnidadesProm_Mes]])*TblDetalle[[#This Row],[Unidades]]</f>
        <v>85.83</v>
      </c>
      <c r="H736" s="8">
        <v>4</v>
      </c>
      <c r="I736" s="9">
        <v>114.44</v>
      </c>
      <c r="J736">
        <f>+TblDetalle[[#This Row],[Monto A Rebajhar]]/TblDetalle[[#This Row],[MontoBrutoProm_Mes]]</f>
        <v>0.75</v>
      </c>
    </row>
    <row r="737" spans="1:10" x14ac:dyDescent="0.3">
      <c r="A737" s="7">
        <v>97</v>
      </c>
      <c r="B737" s="7" t="s">
        <v>376</v>
      </c>
      <c r="C737" s="7">
        <v>930145</v>
      </c>
      <c r="D737" s="7" t="s">
        <v>316</v>
      </c>
      <c r="E737" s="7" t="s">
        <v>243</v>
      </c>
      <c r="F737" s="7">
        <f t="shared" si="10"/>
        <v>3</v>
      </c>
      <c r="G737" s="16">
        <f>+(TblDetalle[[#This Row],[MontoBrutoProm_Mes]]/TblDetalle[[#This Row],[UnidadesProm_Mes]])*TblDetalle[[#This Row],[Unidades]]</f>
        <v>85.83</v>
      </c>
      <c r="H737" s="8">
        <v>4</v>
      </c>
      <c r="I737" s="9">
        <v>114.44</v>
      </c>
      <c r="J737">
        <f>+TblDetalle[[#This Row],[Monto A Rebajhar]]/TblDetalle[[#This Row],[MontoBrutoProm_Mes]]</f>
        <v>0.75</v>
      </c>
    </row>
    <row r="738" spans="1:10" x14ac:dyDescent="0.3">
      <c r="A738" s="7">
        <v>97</v>
      </c>
      <c r="B738" s="7" t="s">
        <v>376</v>
      </c>
      <c r="C738" s="7">
        <v>930153</v>
      </c>
      <c r="D738" s="7" t="s">
        <v>282</v>
      </c>
      <c r="E738" s="7" t="s">
        <v>243</v>
      </c>
      <c r="F738" s="7">
        <f t="shared" si="10"/>
        <v>0</v>
      </c>
      <c r="G738" s="16">
        <f>+(TblDetalle[[#This Row],[MontoBrutoProm_Mes]]/TblDetalle[[#This Row],[UnidadesProm_Mes]])*TblDetalle[[#This Row],[Unidades]]</f>
        <v>0</v>
      </c>
      <c r="H738" s="8">
        <v>1</v>
      </c>
      <c r="I738" s="9">
        <v>161.02000000000001</v>
      </c>
      <c r="J738">
        <f>+TblDetalle[[#This Row],[Monto A Rebajhar]]/TblDetalle[[#This Row],[MontoBrutoProm_Mes]]</f>
        <v>0</v>
      </c>
    </row>
    <row r="739" spans="1:10" x14ac:dyDescent="0.3">
      <c r="A739" s="7">
        <v>97</v>
      </c>
      <c r="B739" s="7" t="s">
        <v>376</v>
      </c>
      <c r="C739" s="7">
        <v>930177</v>
      </c>
      <c r="D739" s="7" t="s">
        <v>317</v>
      </c>
      <c r="E739" s="7" t="s">
        <v>243</v>
      </c>
      <c r="F739" s="7">
        <f t="shared" si="10"/>
        <v>3</v>
      </c>
      <c r="G739" s="16">
        <f>+(TblDetalle[[#This Row],[MontoBrutoProm_Mes]]/TblDetalle[[#This Row],[UnidadesProm_Mes]])*TblDetalle[[#This Row],[Unidades]]</f>
        <v>85.83</v>
      </c>
      <c r="H739" s="8">
        <v>4</v>
      </c>
      <c r="I739" s="9">
        <v>114.44</v>
      </c>
      <c r="J739">
        <f>+TblDetalle[[#This Row],[Monto A Rebajhar]]/TblDetalle[[#This Row],[MontoBrutoProm_Mes]]</f>
        <v>0.75</v>
      </c>
    </row>
    <row r="740" spans="1:10" x14ac:dyDescent="0.3">
      <c r="A740" s="7">
        <v>97</v>
      </c>
      <c r="B740" s="7" t="s">
        <v>376</v>
      </c>
      <c r="C740" s="7">
        <v>930183</v>
      </c>
      <c r="D740" s="7" t="s">
        <v>381</v>
      </c>
      <c r="E740" s="7" t="s">
        <v>243</v>
      </c>
      <c r="F740" s="7">
        <f t="shared" si="10"/>
        <v>0</v>
      </c>
      <c r="G740" s="16">
        <f>+(TblDetalle[[#This Row],[MontoBrutoProm_Mes]]/TblDetalle[[#This Row],[UnidadesProm_Mes]])*TblDetalle[[#This Row],[Unidades]]</f>
        <v>0</v>
      </c>
      <c r="H740" s="8">
        <v>0.33</v>
      </c>
      <c r="I740" s="9">
        <v>0</v>
      </c>
      <c r="J740" t="e">
        <f>+TblDetalle[[#This Row],[Monto A Rebajhar]]/TblDetalle[[#This Row],[MontoBrutoProm_Mes]]</f>
        <v>#DIV/0!</v>
      </c>
    </row>
    <row r="741" spans="1:10" x14ac:dyDescent="0.3">
      <c r="A741" s="7">
        <v>100</v>
      </c>
      <c r="B741" s="7" t="s">
        <v>382</v>
      </c>
      <c r="C741" s="7">
        <v>101005</v>
      </c>
      <c r="D741" s="7" t="s">
        <v>232</v>
      </c>
      <c r="E741" s="7" t="s">
        <v>215</v>
      </c>
      <c r="F741" s="7">
        <f t="shared" si="10"/>
        <v>16</v>
      </c>
      <c r="G741" s="16">
        <f>+(TblDetalle[[#This Row],[MontoBrutoProm_Mes]]/TblDetalle[[#This Row],[UnidadesProm_Mes]])*TblDetalle[[#This Row],[Unidades]]</f>
        <v>1240.6399999999999</v>
      </c>
      <c r="H741" s="8">
        <v>20</v>
      </c>
      <c r="I741" s="9">
        <v>1550.8</v>
      </c>
      <c r="J741">
        <f>+TblDetalle[[#This Row],[Monto A Rebajhar]]/TblDetalle[[#This Row],[MontoBrutoProm_Mes]]</f>
        <v>0.79999999999999993</v>
      </c>
    </row>
    <row r="742" spans="1:10" x14ac:dyDescent="0.3">
      <c r="A742" s="7">
        <v>100</v>
      </c>
      <c r="B742" s="7" t="s">
        <v>382</v>
      </c>
      <c r="C742" s="7">
        <v>101026</v>
      </c>
      <c r="D742" s="7" t="s">
        <v>233</v>
      </c>
      <c r="E742" s="7" t="s">
        <v>215</v>
      </c>
      <c r="F742" s="7">
        <f t="shared" si="10"/>
        <v>9</v>
      </c>
      <c r="G742" s="16">
        <f>+(TblDetalle[[#This Row],[MontoBrutoProm_Mes]]/TblDetalle[[#This Row],[UnidadesProm_Mes]])*TblDetalle[[#This Row],[Unidades]]</f>
        <v>314.28000000000003</v>
      </c>
      <c r="H742" s="8">
        <v>12</v>
      </c>
      <c r="I742" s="9">
        <v>419.04</v>
      </c>
      <c r="J742">
        <f>+TblDetalle[[#This Row],[Monto A Rebajhar]]/TblDetalle[[#This Row],[MontoBrutoProm_Mes]]</f>
        <v>0.75</v>
      </c>
    </row>
    <row r="743" spans="1:10" x14ac:dyDescent="0.3">
      <c r="A743" s="7">
        <v>100</v>
      </c>
      <c r="B743" s="7" t="s">
        <v>382</v>
      </c>
      <c r="C743" s="7">
        <v>101028</v>
      </c>
      <c r="D743" s="7" t="s">
        <v>214</v>
      </c>
      <c r="E743" s="7" t="s">
        <v>215</v>
      </c>
      <c r="F743" s="7">
        <f t="shared" si="10"/>
        <v>4</v>
      </c>
      <c r="G743" s="16">
        <f>+(TblDetalle[[#This Row],[MontoBrutoProm_Mes]]/TblDetalle[[#This Row],[UnidadesProm_Mes]])*TblDetalle[[#This Row],[Unidades]]</f>
        <v>396.59999999999997</v>
      </c>
      <c r="H743" s="8">
        <v>6</v>
      </c>
      <c r="I743" s="9">
        <v>594.9</v>
      </c>
      <c r="J743">
        <f>+TblDetalle[[#This Row],[Monto A Rebajhar]]/TblDetalle[[#This Row],[MontoBrutoProm_Mes]]</f>
        <v>0.66666666666666663</v>
      </c>
    </row>
    <row r="744" spans="1:10" x14ac:dyDescent="0.3">
      <c r="A744" s="7">
        <v>100</v>
      </c>
      <c r="B744" s="7" t="s">
        <v>382</v>
      </c>
      <c r="C744" s="7">
        <v>101038</v>
      </c>
      <c r="D744" s="7" t="s">
        <v>235</v>
      </c>
      <c r="E744" s="7" t="s">
        <v>215</v>
      </c>
      <c r="F744" s="7">
        <f t="shared" si="10"/>
        <v>4</v>
      </c>
      <c r="G744" s="16">
        <f>+(TblDetalle[[#This Row],[MontoBrutoProm_Mes]]/TblDetalle[[#This Row],[UnidadesProm_Mes]])*TblDetalle[[#This Row],[Unidades]]</f>
        <v>1542.3600000000001</v>
      </c>
      <c r="H744" s="8">
        <v>5</v>
      </c>
      <c r="I744" s="9">
        <v>1927.95</v>
      </c>
      <c r="J744">
        <f>+TblDetalle[[#This Row],[Monto A Rebajhar]]/TblDetalle[[#This Row],[MontoBrutoProm_Mes]]</f>
        <v>0.8</v>
      </c>
    </row>
    <row r="745" spans="1:10" x14ac:dyDescent="0.3">
      <c r="A745" s="7">
        <v>100</v>
      </c>
      <c r="B745" s="7" t="s">
        <v>382</v>
      </c>
      <c r="C745" s="7">
        <v>501000</v>
      </c>
      <c r="D745" s="7" t="s">
        <v>237</v>
      </c>
      <c r="E745" s="7" t="s">
        <v>217</v>
      </c>
      <c r="F745" s="7">
        <f t="shared" si="10"/>
        <v>1</v>
      </c>
      <c r="G745" s="16">
        <f>+(TblDetalle[[#This Row],[MontoBrutoProm_Mes]]/TblDetalle[[#This Row],[UnidadesProm_Mes]])*TblDetalle[[#This Row],[Unidades]]</f>
        <v>123.18796992481202</v>
      </c>
      <c r="H745" s="8">
        <v>1.33</v>
      </c>
      <c r="I745" s="9">
        <v>163.84</v>
      </c>
      <c r="J745">
        <f>+TblDetalle[[#This Row],[Monto A Rebajhar]]/TblDetalle[[#This Row],[MontoBrutoProm_Mes]]</f>
        <v>0.75187969924812026</v>
      </c>
    </row>
    <row r="746" spans="1:10" x14ac:dyDescent="0.3">
      <c r="A746" s="7">
        <v>100</v>
      </c>
      <c r="B746" s="7" t="s">
        <v>382</v>
      </c>
      <c r="C746" s="7">
        <v>611053</v>
      </c>
      <c r="D746" s="7" t="s">
        <v>253</v>
      </c>
      <c r="E746" s="7" t="s">
        <v>217</v>
      </c>
      <c r="F746" s="7">
        <f t="shared" si="10"/>
        <v>6</v>
      </c>
      <c r="G746" s="16">
        <f>+(TblDetalle[[#This Row],[MontoBrutoProm_Mes]]/TblDetalle[[#This Row],[UnidadesProm_Mes]])*TblDetalle[[#This Row],[Unidades]]</f>
        <v>132.18</v>
      </c>
      <c r="H746" s="8">
        <v>8</v>
      </c>
      <c r="I746" s="9">
        <v>176.24</v>
      </c>
      <c r="J746">
        <f>+TblDetalle[[#This Row],[Monto A Rebajhar]]/TblDetalle[[#This Row],[MontoBrutoProm_Mes]]</f>
        <v>0.75</v>
      </c>
    </row>
    <row r="747" spans="1:10" x14ac:dyDescent="0.3">
      <c r="A747" s="7">
        <v>100</v>
      </c>
      <c r="B747" s="7" t="s">
        <v>382</v>
      </c>
      <c r="C747" s="7">
        <v>611055</v>
      </c>
      <c r="D747" s="7" t="s">
        <v>254</v>
      </c>
      <c r="E747" s="7" t="s">
        <v>217</v>
      </c>
      <c r="F747" s="7">
        <f t="shared" si="10"/>
        <v>11</v>
      </c>
      <c r="G747" s="16">
        <f>+(TblDetalle[[#This Row],[MontoBrutoProm_Mes]]/TblDetalle[[#This Row],[UnidadesProm_Mes]])*TblDetalle[[#This Row],[Unidades]]</f>
        <v>931.92569870483976</v>
      </c>
      <c r="H747" s="8">
        <v>14.67</v>
      </c>
      <c r="I747" s="9">
        <v>1242.8499999999999</v>
      </c>
      <c r="J747">
        <f>+TblDetalle[[#This Row],[Monto A Rebajhar]]/TblDetalle[[#This Row],[MontoBrutoProm_Mes]]</f>
        <v>0.74982958418541246</v>
      </c>
    </row>
    <row r="748" spans="1:10" x14ac:dyDescent="0.3">
      <c r="A748" s="7">
        <v>100</v>
      </c>
      <c r="B748" s="7" t="s">
        <v>382</v>
      </c>
      <c r="C748" s="7">
        <v>910100</v>
      </c>
      <c r="D748" s="7" t="s">
        <v>383</v>
      </c>
      <c r="E748" s="7" t="s">
        <v>296</v>
      </c>
      <c r="F748" s="7">
        <f t="shared" si="10"/>
        <v>19</v>
      </c>
      <c r="G748" s="16">
        <f>+(TblDetalle[[#This Row],[MontoBrutoProm_Mes]]/TblDetalle[[#This Row],[UnidadesProm_Mes]])*TblDetalle[[#This Row],[Unidades]]</f>
        <v>536.37</v>
      </c>
      <c r="H748" s="8">
        <v>24</v>
      </c>
      <c r="I748" s="9">
        <v>677.52</v>
      </c>
      <c r="J748">
        <f>+TblDetalle[[#This Row],[Monto A Rebajhar]]/TblDetalle[[#This Row],[MontoBrutoProm_Mes]]</f>
        <v>0.79166666666666674</v>
      </c>
    </row>
    <row r="749" spans="1:10" x14ac:dyDescent="0.3">
      <c r="A749" s="7">
        <v>100</v>
      </c>
      <c r="B749" s="7" t="s">
        <v>382</v>
      </c>
      <c r="C749" s="7">
        <v>910101</v>
      </c>
      <c r="D749" s="7" t="s">
        <v>377</v>
      </c>
      <c r="E749" s="7" t="s">
        <v>296</v>
      </c>
      <c r="F749" s="7">
        <f t="shared" si="10"/>
        <v>6</v>
      </c>
      <c r="G749" s="16">
        <f>+(TblDetalle[[#This Row],[MontoBrutoProm_Mes]]/TblDetalle[[#This Row],[UnidadesProm_Mes]])*TblDetalle[[#This Row],[Unidades]]</f>
        <v>169.38</v>
      </c>
      <c r="H749" s="8">
        <v>8</v>
      </c>
      <c r="I749" s="9">
        <v>225.84</v>
      </c>
      <c r="J749">
        <f>+TblDetalle[[#This Row],[Monto A Rebajhar]]/TblDetalle[[#This Row],[MontoBrutoProm_Mes]]</f>
        <v>0.75</v>
      </c>
    </row>
    <row r="750" spans="1:10" x14ac:dyDescent="0.3">
      <c r="A750" s="7">
        <v>100</v>
      </c>
      <c r="B750" s="7" t="s">
        <v>382</v>
      </c>
      <c r="C750" s="7">
        <v>910103</v>
      </c>
      <c r="D750" s="7" t="s">
        <v>295</v>
      </c>
      <c r="E750" s="7" t="s">
        <v>296</v>
      </c>
      <c r="F750" s="7">
        <f t="shared" si="10"/>
        <v>25</v>
      </c>
      <c r="G750" s="16">
        <f>+(TblDetalle[[#This Row],[MontoBrutoProm_Mes]]/TblDetalle[[#This Row],[UnidadesProm_Mes]])*TblDetalle[[#This Row],[Unidades]]</f>
        <v>705.75</v>
      </c>
      <c r="H750" s="8">
        <v>32</v>
      </c>
      <c r="I750" s="9">
        <v>903.36</v>
      </c>
      <c r="J750">
        <f>+TblDetalle[[#This Row],[Monto A Rebajhar]]/TblDetalle[[#This Row],[MontoBrutoProm_Mes]]</f>
        <v>0.78125</v>
      </c>
    </row>
    <row r="751" spans="1:10" x14ac:dyDescent="0.3">
      <c r="A751" s="7">
        <v>100</v>
      </c>
      <c r="B751" s="7" t="s">
        <v>382</v>
      </c>
      <c r="C751" s="7">
        <v>910104</v>
      </c>
      <c r="D751" s="7" t="s">
        <v>309</v>
      </c>
      <c r="E751" s="7" t="s">
        <v>296</v>
      </c>
      <c r="F751" s="7">
        <f t="shared" si="10"/>
        <v>12</v>
      </c>
      <c r="G751" s="16">
        <f>+(TblDetalle[[#This Row],[MontoBrutoProm_Mes]]/TblDetalle[[#This Row],[UnidadesProm_Mes]])*TblDetalle[[#This Row],[Unidades]]</f>
        <v>338.76</v>
      </c>
      <c r="H751" s="8">
        <v>16</v>
      </c>
      <c r="I751" s="9">
        <v>451.68</v>
      </c>
      <c r="J751">
        <f>+TblDetalle[[#This Row],[Monto A Rebajhar]]/TblDetalle[[#This Row],[MontoBrutoProm_Mes]]</f>
        <v>0.75</v>
      </c>
    </row>
    <row r="752" spans="1:10" x14ac:dyDescent="0.3">
      <c r="A752" s="7">
        <v>100</v>
      </c>
      <c r="B752" s="7" t="s">
        <v>382</v>
      </c>
      <c r="C752" s="7">
        <v>910105</v>
      </c>
      <c r="D752" s="7" t="s">
        <v>297</v>
      </c>
      <c r="E752" s="7" t="s">
        <v>296</v>
      </c>
      <c r="F752" s="7">
        <f t="shared" si="10"/>
        <v>6</v>
      </c>
      <c r="G752" s="16">
        <f>+(TblDetalle[[#This Row],[MontoBrutoProm_Mes]]/TblDetalle[[#This Row],[UnidadesProm_Mes]])*TblDetalle[[#This Row],[Unidades]]</f>
        <v>160.5</v>
      </c>
      <c r="H752" s="8">
        <v>8</v>
      </c>
      <c r="I752" s="9">
        <v>214</v>
      </c>
      <c r="J752">
        <f>+TblDetalle[[#This Row],[Monto A Rebajhar]]/TblDetalle[[#This Row],[MontoBrutoProm_Mes]]</f>
        <v>0.75</v>
      </c>
    </row>
    <row r="753" spans="1:10" x14ac:dyDescent="0.3">
      <c r="A753" s="7">
        <v>100</v>
      </c>
      <c r="B753" s="7" t="s">
        <v>382</v>
      </c>
      <c r="C753" s="7">
        <v>910122</v>
      </c>
      <c r="D753" s="7" t="s">
        <v>323</v>
      </c>
      <c r="E753" s="7" t="s">
        <v>296</v>
      </c>
      <c r="F753" s="7">
        <f t="shared" si="10"/>
        <v>12</v>
      </c>
      <c r="G753" s="16">
        <f>+(TblDetalle[[#This Row],[MontoBrutoProm_Mes]]/TblDetalle[[#This Row],[UnidadesProm_Mes]])*TblDetalle[[#This Row],[Unidades]]</f>
        <v>338.76</v>
      </c>
      <c r="H753" s="8">
        <v>16</v>
      </c>
      <c r="I753" s="9">
        <v>451.68</v>
      </c>
      <c r="J753">
        <f>+TblDetalle[[#This Row],[Monto A Rebajhar]]/TblDetalle[[#This Row],[MontoBrutoProm_Mes]]</f>
        <v>0.75</v>
      </c>
    </row>
    <row r="754" spans="1:10" x14ac:dyDescent="0.3">
      <c r="A754" s="7">
        <v>100</v>
      </c>
      <c r="B754" s="7" t="s">
        <v>382</v>
      </c>
      <c r="C754" s="7">
        <v>910123</v>
      </c>
      <c r="D754" s="7" t="s">
        <v>360</v>
      </c>
      <c r="E754" s="7" t="s">
        <v>296</v>
      </c>
      <c r="F754" s="7">
        <f t="shared" si="10"/>
        <v>12</v>
      </c>
      <c r="G754" s="16">
        <f>+(TblDetalle[[#This Row],[MontoBrutoProm_Mes]]/TblDetalle[[#This Row],[UnidadesProm_Mes]])*TblDetalle[[#This Row],[Unidades]]</f>
        <v>338.76</v>
      </c>
      <c r="H754" s="8">
        <v>16</v>
      </c>
      <c r="I754" s="9">
        <v>451.68</v>
      </c>
      <c r="J754">
        <f>+TblDetalle[[#This Row],[Monto A Rebajhar]]/TblDetalle[[#This Row],[MontoBrutoProm_Mes]]</f>
        <v>0.75</v>
      </c>
    </row>
    <row r="755" spans="1:10" x14ac:dyDescent="0.3">
      <c r="A755" s="7">
        <v>100</v>
      </c>
      <c r="B755" s="7" t="s">
        <v>382</v>
      </c>
      <c r="C755" s="7">
        <v>925050</v>
      </c>
      <c r="D755" s="7" t="s">
        <v>261</v>
      </c>
      <c r="E755" s="7" t="s">
        <v>220</v>
      </c>
      <c r="F755" s="7">
        <f t="shared" si="10"/>
        <v>12</v>
      </c>
      <c r="G755" s="16">
        <f>+(TblDetalle[[#This Row],[MontoBrutoProm_Mes]]/TblDetalle[[#This Row],[UnidadesProm_Mes]])*TblDetalle[[#This Row],[Unidades]]</f>
        <v>927.36</v>
      </c>
      <c r="H755" s="8">
        <v>16</v>
      </c>
      <c r="I755" s="9">
        <v>1236.48</v>
      </c>
      <c r="J755">
        <f>+TblDetalle[[#This Row],[Monto A Rebajhar]]/TblDetalle[[#This Row],[MontoBrutoProm_Mes]]</f>
        <v>0.75</v>
      </c>
    </row>
    <row r="756" spans="1:10" x14ac:dyDescent="0.3">
      <c r="A756" s="7">
        <v>100</v>
      </c>
      <c r="B756" s="7" t="s">
        <v>382</v>
      </c>
      <c r="C756" s="7">
        <v>925059</v>
      </c>
      <c r="D756" s="7" t="s">
        <v>262</v>
      </c>
      <c r="E756" s="7" t="s">
        <v>220</v>
      </c>
      <c r="F756" s="7">
        <f t="shared" si="10"/>
        <v>1</v>
      </c>
      <c r="G756" s="16">
        <f>+(TblDetalle[[#This Row],[MontoBrutoProm_Mes]]/TblDetalle[[#This Row],[UnidadesProm_Mes]])*TblDetalle[[#This Row],[Unidades]]</f>
        <v>7.5187969924812026E-3</v>
      </c>
      <c r="H756" s="8">
        <v>1.33</v>
      </c>
      <c r="I756" s="9">
        <v>0.01</v>
      </c>
      <c r="J756">
        <f>+TblDetalle[[#This Row],[Monto A Rebajhar]]/TblDetalle[[#This Row],[MontoBrutoProm_Mes]]</f>
        <v>0.75187969924812026</v>
      </c>
    </row>
    <row r="757" spans="1:10" x14ac:dyDescent="0.3">
      <c r="A757" s="7">
        <v>100</v>
      </c>
      <c r="B757" s="7" t="s">
        <v>382</v>
      </c>
      <c r="C757" s="7">
        <v>925064</v>
      </c>
      <c r="D757" s="7" t="s">
        <v>263</v>
      </c>
      <c r="E757" s="7" t="s">
        <v>220</v>
      </c>
      <c r="F757" s="7">
        <f t="shared" si="10"/>
        <v>13</v>
      </c>
      <c r="G757" s="16">
        <f>+(TblDetalle[[#This Row],[MontoBrutoProm_Mes]]/TblDetalle[[#This Row],[UnidadesProm_Mes]])*TblDetalle[[#This Row],[Unidades]]</f>
        <v>446.59328134373112</v>
      </c>
      <c r="H757" s="8">
        <v>16.670000000000002</v>
      </c>
      <c r="I757" s="9">
        <v>572.66999999999996</v>
      </c>
      <c r="J757">
        <f>+TblDetalle[[#This Row],[Monto A Rebajhar]]/TblDetalle[[#This Row],[MontoBrutoProm_Mes]]</f>
        <v>0.77984403119376111</v>
      </c>
    </row>
    <row r="758" spans="1:10" x14ac:dyDescent="0.3">
      <c r="A758" s="7">
        <v>100</v>
      </c>
      <c r="B758" s="7" t="s">
        <v>382</v>
      </c>
      <c r="C758" s="7">
        <v>925078</v>
      </c>
      <c r="D758" s="7" t="s">
        <v>221</v>
      </c>
      <c r="E758" s="7" t="s">
        <v>220</v>
      </c>
      <c r="F758" s="7">
        <f t="shared" ref="F758:F821" si="11">+ROUNDDOWN(H758*0.8,0)</f>
        <v>3</v>
      </c>
      <c r="G758" s="16">
        <f>+(TblDetalle[[#This Row],[MontoBrutoProm_Mes]]/TblDetalle[[#This Row],[UnidadesProm_Mes]])*TblDetalle[[#This Row],[Unidades]]</f>
        <v>221.01</v>
      </c>
      <c r="H758" s="8">
        <v>4</v>
      </c>
      <c r="I758" s="9">
        <v>294.68</v>
      </c>
      <c r="J758">
        <f>+TblDetalle[[#This Row],[Monto A Rebajhar]]/TblDetalle[[#This Row],[MontoBrutoProm_Mes]]</f>
        <v>0.75</v>
      </c>
    </row>
    <row r="759" spans="1:10" x14ac:dyDescent="0.3">
      <c r="A759" s="7">
        <v>100</v>
      </c>
      <c r="B759" s="7" t="s">
        <v>382</v>
      </c>
      <c r="C759" s="7">
        <v>925079</v>
      </c>
      <c r="D759" s="7" t="s">
        <v>279</v>
      </c>
      <c r="E759" s="7" t="s">
        <v>220</v>
      </c>
      <c r="F759" s="7">
        <f t="shared" si="11"/>
        <v>3</v>
      </c>
      <c r="G759" s="16">
        <f>+(TblDetalle[[#This Row],[MontoBrutoProm_Mes]]/TblDetalle[[#This Row],[UnidadesProm_Mes]])*TblDetalle[[#This Row],[Unidades]]</f>
        <v>221.01</v>
      </c>
      <c r="H759" s="8">
        <v>4</v>
      </c>
      <c r="I759" s="9">
        <v>294.68</v>
      </c>
      <c r="J759">
        <f>+TblDetalle[[#This Row],[Monto A Rebajhar]]/TblDetalle[[#This Row],[MontoBrutoProm_Mes]]</f>
        <v>0.75</v>
      </c>
    </row>
    <row r="760" spans="1:10" x14ac:dyDescent="0.3">
      <c r="A760" s="7">
        <v>100</v>
      </c>
      <c r="B760" s="7" t="s">
        <v>382</v>
      </c>
      <c r="C760" s="7">
        <v>925094</v>
      </c>
      <c r="D760" s="7" t="s">
        <v>298</v>
      </c>
      <c r="E760" s="7" t="s">
        <v>220</v>
      </c>
      <c r="F760" s="7">
        <f t="shared" si="11"/>
        <v>3</v>
      </c>
      <c r="G760" s="16">
        <f>+(TblDetalle[[#This Row],[MontoBrutoProm_Mes]]/TblDetalle[[#This Row],[UnidadesProm_Mes]])*TblDetalle[[#This Row],[Unidades]]</f>
        <v>145.56</v>
      </c>
      <c r="H760" s="8">
        <v>4</v>
      </c>
      <c r="I760" s="9">
        <v>194.08</v>
      </c>
      <c r="J760">
        <f>+TblDetalle[[#This Row],[Monto A Rebajhar]]/TblDetalle[[#This Row],[MontoBrutoProm_Mes]]</f>
        <v>0.75</v>
      </c>
    </row>
    <row r="761" spans="1:10" x14ac:dyDescent="0.3">
      <c r="A761" s="7">
        <v>100</v>
      </c>
      <c r="B761" s="7" t="s">
        <v>382</v>
      </c>
      <c r="C761" s="7">
        <v>930020</v>
      </c>
      <c r="D761" s="7" t="s">
        <v>299</v>
      </c>
      <c r="E761" s="7" t="s">
        <v>243</v>
      </c>
      <c r="F761" s="7">
        <f t="shared" si="11"/>
        <v>4</v>
      </c>
      <c r="G761" s="16">
        <f>+(TblDetalle[[#This Row],[MontoBrutoProm_Mes]]/TblDetalle[[#This Row],[UnidadesProm_Mes]])*TblDetalle[[#This Row],[Unidades]]</f>
        <v>373.19324577861158</v>
      </c>
      <c r="H761" s="8">
        <v>5.33</v>
      </c>
      <c r="I761" s="9">
        <v>497.28</v>
      </c>
      <c r="J761">
        <f>+TblDetalle[[#This Row],[Monto A Rebajhar]]/TblDetalle[[#This Row],[MontoBrutoProm_Mes]]</f>
        <v>0.75046904315196994</v>
      </c>
    </row>
    <row r="762" spans="1:10" x14ac:dyDescent="0.3">
      <c r="A762" s="7">
        <v>100</v>
      </c>
      <c r="B762" s="7" t="s">
        <v>382</v>
      </c>
      <c r="C762" s="7">
        <v>930022</v>
      </c>
      <c r="D762" s="7" t="s">
        <v>265</v>
      </c>
      <c r="E762" s="7" t="s">
        <v>243</v>
      </c>
      <c r="F762" s="7">
        <f t="shared" si="11"/>
        <v>4</v>
      </c>
      <c r="G762" s="16">
        <f>+(TblDetalle[[#This Row],[MontoBrutoProm_Mes]]/TblDetalle[[#This Row],[UnidadesProm_Mes]])*TblDetalle[[#This Row],[Unidades]]</f>
        <v>373.19324577861158</v>
      </c>
      <c r="H762" s="8">
        <v>5.33</v>
      </c>
      <c r="I762" s="9">
        <v>497.28</v>
      </c>
      <c r="J762">
        <f>+TblDetalle[[#This Row],[Monto A Rebajhar]]/TblDetalle[[#This Row],[MontoBrutoProm_Mes]]</f>
        <v>0.75046904315196994</v>
      </c>
    </row>
    <row r="763" spans="1:10" x14ac:dyDescent="0.3">
      <c r="A763" s="7">
        <v>100</v>
      </c>
      <c r="B763" s="7" t="s">
        <v>382</v>
      </c>
      <c r="C763" s="7">
        <v>930023</v>
      </c>
      <c r="D763" s="7" t="s">
        <v>335</v>
      </c>
      <c r="E763" s="7" t="s">
        <v>243</v>
      </c>
      <c r="F763" s="7">
        <f t="shared" si="11"/>
        <v>5</v>
      </c>
      <c r="G763" s="16">
        <f>+(TblDetalle[[#This Row],[MontoBrutoProm_Mes]]/TblDetalle[[#This Row],[UnidadesProm_Mes]])*TblDetalle[[#This Row],[Unidades]]</f>
        <v>720.14242878560719</v>
      </c>
      <c r="H763" s="8">
        <v>6.67</v>
      </c>
      <c r="I763" s="9">
        <v>960.67</v>
      </c>
      <c r="J763">
        <f>+TblDetalle[[#This Row],[Monto A Rebajhar]]/TblDetalle[[#This Row],[MontoBrutoProm_Mes]]</f>
        <v>0.74962518740629691</v>
      </c>
    </row>
    <row r="764" spans="1:10" x14ac:dyDescent="0.3">
      <c r="A764" s="7">
        <v>100</v>
      </c>
      <c r="B764" s="7" t="s">
        <v>382</v>
      </c>
      <c r="C764" s="7">
        <v>930025</v>
      </c>
      <c r="D764" s="7" t="s">
        <v>244</v>
      </c>
      <c r="E764" s="7" t="s">
        <v>243</v>
      </c>
      <c r="F764" s="7">
        <f t="shared" si="11"/>
        <v>5</v>
      </c>
      <c r="G764" s="16">
        <f>+(TblDetalle[[#This Row],[MontoBrutoProm_Mes]]/TblDetalle[[#This Row],[UnidadesProm_Mes]])*TblDetalle[[#This Row],[Unidades]]</f>
        <v>296.34932533733132</v>
      </c>
      <c r="H764" s="8">
        <v>6.67</v>
      </c>
      <c r="I764" s="9">
        <v>395.33</v>
      </c>
      <c r="J764">
        <f>+TblDetalle[[#This Row],[Monto A Rebajhar]]/TblDetalle[[#This Row],[MontoBrutoProm_Mes]]</f>
        <v>0.7496251874062968</v>
      </c>
    </row>
    <row r="765" spans="1:10" x14ac:dyDescent="0.3">
      <c r="A765" s="7">
        <v>100</v>
      </c>
      <c r="B765" s="7" t="s">
        <v>382</v>
      </c>
      <c r="C765" s="7">
        <v>930039</v>
      </c>
      <c r="D765" s="7" t="s">
        <v>281</v>
      </c>
      <c r="E765" s="7" t="s">
        <v>243</v>
      </c>
      <c r="F765" s="7">
        <f t="shared" si="11"/>
        <v>3</v>
      </c>
      <c r="G765" s="16">
        <f>+(TblDetalle[[#This Row],[MontoBrutoProm_Mes]]/TblDetalle[[#This Row],[UnidadesProm_Mes]])*TblDetalle[[#This Row],[Unidades]]</f>
        <v>317.82</v>
      </c>
      <c r="H765" s="8">
        <v>4</v>
      </c>
      <c r="I765" s="9">
        <v>423.76</v>
      </c>
      <c r="J765">
        <f>+TblDetalle[[#This Row],[Monto A Rebajhar]]/TblDetalle[[#This Row],[MontoBrutoProm_Mes]]</f>
        <v>0.75</v>
      </c>
    </row>
    <row r="766" spans="1:10" x14ac:dyDescent="0.3">
      <c r="A766" s="7">
        <v>100</v>
      </c>
      <c r="B766" s="7" t="s">
        <v>382</v>
      </c>
      <c r="C766" s="7">
        <v>930121</v>
      </c>
      <c r="D766" s="7" t="s">
        <v>304</v>
      </c>
      <c r="E766" s="7" t="s">
        <v>243</v>
      </c>
      <c r="F766" s="7">
        <f t="shared" si="11"/>
        <v>3</v>
      </c>
      <c r="G766" s="16">
        <f>+(TblDetalle[[#This Row],[MontoBrutoProm_Mes]]/TblDetalle[[#This Row],[UnidadesProm_Mes]])*TblDetalle[[#This Row],[Unidades]]</f>
        <v>177.77087794432549</v>
      </c>
      <c r="H766" s="8">
        <v>4.67</v>
      </c>
      <c r="I766" s="9">
        <v>276.73</v>
      </c>
      <c r="J766">
        <f>+TblDetalle[[#This Row],[Monto A Rebajhar]]/TblDetalle[[#This Row],[MontoBrutoProm_Mes]]</f>
        <v>0.64239828693790146</v>
      </c>
    </row>
    <row r="767" spans="1:10" x14ac:dyDescent="0.3">
      <c r="A767" s="7">
        <v>100</v>
      </c>
      <c r="B767" s="7" t="s">
        <v>382</v>
      </c>
      <c r="C767" s="7">
        <v>930137</v>
      </c>
      <c r="D767" s="7" t="s">
        <v>311</v>
      </c>
      <c r="E767" s="7" t="s">
        <v>243</v>
      </c>
      <c r="F767" s="7">
        <f t="shared" si="11"/>
        <v>3</v>
      </c>
      <c r="G767" s="16">
        <f>+(TblDetalle[[#This Row],[MontoBrutoProm_Mes]]/TblDetalle[[#This Row],[UnidadesProm_Mes]])*TblDetalle[[#This Row],[Unidades]]</f>
        <v>85.76659528907922</v>
      </c>
      <c r="H767" s="8">
        <v>4.67</v>
      </c>
      <c r="I767" s="9">
        <v>133.51</v>
      </c>
      <c r="J767">
        <f>+TblDetalle[[#This Row],[Monto A Rebajhar]]/TblDetalle[[#This Row],[MontoBrutoProm_Mes]]</f>
        <v>0.64239828693790146</v>
      </c>
    </row>
    <row r="768" spans="1:10" x14ac:dyDescent="0.3">
      <c r="A768" s="7">
        <v>100</v>
      </c>
      <c r="B768" s="7" t="s">
        <v>382</v>
      </c>
      <c r="C768" s="7">
        <v>930138</v>
      </c>
      <c r="D768" s="7" t="s">
        <v>312</v>
      </c>
      <c r="E768" s="7" t="s">
        <v>243</v>
      </c>
      <c r="F768" s="7">
        <f t="shared" si="11"/>
        <v>3</v>
      </c>
      <c r="G768" s="16">
        <f>+(TblDetalle[[#This Row],[MontoBrutoProm_Mes]]/TblDetalle[[#This Row],[UnidadesProm_Mes]])*TblDetalle[[#This Row],[Unidades]]</f>
        <v>85.76659528907922</v>
      </c>
      <c r="H768" s="8">
        <v>4.67</v>
      </c>
      <c r="I768" s="9">
        <v>133.51</v>
      </c>
      <c r="J768">
        <f>+TblDetalle[[#This Row],[Monto A Rebajhar]]/TblDetalle[[#This Row],[MontoBrutoProm_Mes]]</f>
        <v>0.64239828693790146</v>
      </c>
    </row>
    <row r="769" spans="1:10" x14ac:dyDescent="0.3">
      <c r="A769" s="7">
        <v>100</v>
      </c>
      <c r="B769" s="7" t="s">
        <v>382</v>
      </c>
      <c r="C769" s="7">
        <v>930140</v>
      </c>
      <c r="D769" s="7" t="s">
        <v>314</v>
      </c>
      <c r="E769" s="7" t="s">
        <v>243</v>
      </c>
      <c r="F769" s="7">
        <f t="shared" si="11"/>
        <v>3</v>
      </c>
      <c r="G769" s="16">
        <f>+(TblDetalle[[#This Row],[MontoBrutoProm_Mes]]/TblDetalle[[#This Row],[UnidadesProm_Mes]])*TblDetalle[[#This Row],[Unidades]]</f>
        <v>85.76659528907922</v>
      </c>
      <c r="H769" s="8">
        <v>4.67</v>
      </c>
      <c r="I769" s="9">
        <v>133.51</v>
      </c>
      <c r="J769">
        <f>+TblDetalle[[#This Row],[Monto A Rebajhar]]/TblDetalle[[#This Row],[MontoBrutoProm_Mes]]</f>
        <v>0.64239828693790146</v>
      </c>
    </row>
    <row r="770" spans="1:10" x14ac:dyDescent="0.3">
      <c r="A770" s="7">
        <v>100</v>
      </c>
      <c r="B770" s="7" t="s">
        <v>382</v>
      </c>
      <c r="C770" s="7">
        <v>930144</v>
      </c>
      <c r="D770" s="7" t="s">
        <v>315</v>
      </c>
      <c r="E770" s="7" t="s">
        <v>243</v>
      </c>
      <c r="F770" s="7">
        <f t="shared" si="11"/>
        <v>1</v>
      </c>
      <c r="G770" s="16">
        <f>+(TblDetalle[[#This Row],[MontoBrutoProm_Mes]]/TblDetalle[[#This Row],[UnidadesProm_Mes]])*TblDetalle[[#This Row],[Unidades]]</f>
        <v>28.684210526315788</v>
      </c>
      <c r="H770" s="8">
        <v>1.33</v>
      </c>
      <c r="I770" s="9">
        <v>38.15</v>
      </c>
      <c r="J770">
        <f>+TblDetalle[[#This Row],[Monto A Rebajhar]]/TblDetalle[[#This Row],[MontoBrutoProm_Mes]]</f>
        <v>0.75187969924812026</v>
      </c>
    </row>
    <row r="771" spans="1:10" x14ac:dyDescent="0.3">
      <c r="A771" s="7">
        <v>100</v>
      </c>
      <c r="B771" s="7" t="s">
        <v>382</v>
      </c>
      <c r="C771" s="7">
        <v>930145</v>
      </c>
      <c r="D771" s="7" t="s">
        <v>316</v>
      </c>
      <c r="E771" s="7" t="s">
        <v>243</v>
      </c>
      <c r="F771" s="7">
        <f t="shared" si="11"/>
        <v>3</v>
      </c>
      <c r="G771" s="16">
        <f>+(TblDetalle[[#This Row],[MontoBrutoProm_Mes]]/TblDetalle[[#This Row],[UnidadesProm_Mes]])*TblDetalle[[#This Row],[Unidades]]</f>
        <v>85.76659528907922</v>
      </c>
      <c r="H771" s="8">
        <v>4.67</v>
      </c>
      <c r="I771" s="9">
        <v>133.51</v>
      </c>
      <c r="J771">
        <f>+TblDetalle[[#This Row],[Monto A Rebajhar]]/TblDetalle[[#This Row],[MontoBrutoProm_Mes]]</f>
        <v>0.64239828693790146</v>
      </c>
    </row>
    <row r="772" spans="1:10" x14ac:dyDescent="0.3">
      <c r="A772" s="7">
        <v>100</v>
      </c>
      <c r="B772" s="7" t="s">
        <v>382</v>
      </c>
      <c r="C772" s="7">
        <v>930154</v>
      </c>
      <c r="D772" s="7" t="s">
        <v>245</v>
      </c>
      <c r="E772" s="7" t="s">
        <v>243</v>
      </c>
      <c r="F772" s="7">
        <f t="shared" si="11"/>
        <v>1</v>
      </c>
      <c r="G772" s="16">
        <f>+(TblDetalle[[#This Row],[MontoBrutoProm_Mes]]/TblDetalle[[#This Row],[UnidadesProm_Mes]])*TblDetalle[[#This Row],[Unidades]]</f>
        <v>89.225563909774436</v>
      </c>
      <c r="H772" s="8">
        <v>1.33</v>
      </c>
      <c r="I772" s="9">
        <v>118.67</v>
      </c>
      <c r="J772">
        <f>+TblDetalle[[#This Row],[Monto A Rebajhar]]/TblDetalle[[#This Row],[MontoBrutoProm_Mes]]</f>
        <v>0.75187969924812026</v>
      </c>
    </row>
    <row r="773" spans="1:10" x14ac:dyDescent="0.3">
      <c r="A773" s="7">
        <v>100</v>
      </c>
      <c r="B773" s="7" t="s">
        <v>382</v>
      </c>
      <c r="C773" s="7">
        <v>930168</v>
      </c>
      <c r="D773" s="7" t="s">
        <v>337</v>
      </c>
      <c r="E773" s="7" t="s">
        <v>243</v>
      </c>
      <c r="F773" s="7">
        <f t="shared" si="11"/>
        <v>3</v>
      </c>
      <c r="G773" s="16">
        <f>+(TblDetalle[[#This Row],[MontoBrutoProm_Mes]]/TblDetalle[[#This Row],[UnidadesProm_Mes]])*TblDetalle[[#This Row],[Unidades]]</f>
        <v>71.13</v>
      </c>
      <c r="H773" s="8">
        <v>4</v>
      </c>
      <c r="I773" s="9">
        <v>94.84</v>
      </c>
      <c r="J773">
        <f>+TblDetalle[[#This Row],[Monto A Rebajhar]]/TblDetalle[[#This Row],[MontoBrutoProm_Mes]]</f>
        <v>0.74999999999999989</v>
      </c>
    </row>
    <row r="774" spans="1:10" x14ac:dyDescent="0.3">
      <c r="A774" s="7">
        <v>100</v>
      </c>
      <c r="B774" s="7" t="s">
        <v>382</v>
      </c>
      <c r="C774" s="7">
        <v>930177</v>
      </c>
      <c r="D774" s="7" t="s">
        <v>317</v>
      </c>
      <c r="E774" s="7" t="s">
        <v>243</v>
      </c>
      <c r="F774" s="7">
        <f t="shared" si="11"/>
        <v>3</v>
      </c>
      <c r="G774" s="16">
        <f>+(TblDetalle[[#This Row],[MontoBrutoProm_Mes]]/TblDetalle[[#This Row],[UnidadesProm_Mes]])*TblDetalle[[#This Row],[Unidades]]</f>
        <v>85.76659528907922</v>
      </c>
      <c r="H774" s="8">
        <v>4.67</v>
      </c>
      <c r="I774" s="9">
        <v>133.51</v>
      </c>
      <c r="J774">
        <f>+TblDetalle[[#This Row],[Monto A Rebajhar]]/TblDetalle[[#This Row],[MontoBrutoProm_Mes]]</f>
        <v>0.64239828693790146</v>
      </c>
    </row>
    <row r="775" spans="1:10" x14ac:dyDescent="0.3">
      <c r="A775" s="7">
        <v>100</v>
      </c>
      <c r="B775" s="7" t="s">
        <v>382</v>
      </c>
      <c r="C775" s="7">
        <v>930178</v>
      </c>
      <c r="D775" s="7" t="s">
        <v>267</v>
      </c>
      <c r="E775" s="7" t="s">
        <v>243</v>
      </c>
      <c r="F775" s="7">
        <f t="shared" si="11"/>
        <v>4</v>
      </c>
      <c r="G775" s="16">
        <f>+(TblDetalle[[#This Row],[MontoBrutoProm_Mes]]/TblDetalle[[#This Row],[UnidadesProm_Mes]])*TblDetalle[[#This Row],[Unidades]]</f>
        <v>114.44</v>
      </c>
      <c r="H775" s="8">
        <v>6</v>
      </c>
      <c r="I775" s="9">
        <v>171.66</v>
      </c>
      <c r="J775">
        <f>+TblDetalle[[#This Row],[Monto A Rebajhar]]/TblDetalle[[#This Row],[MontoBrutoProm_Mes]]</f>
        <v>0.66666666666666663</v>
      </c>
    </row>
    <row r="776" spans="1:10" x14ac:dyDescent="0.3">
      <c r="A776" s="7">
        <v>102</v>
      </c>
      <c r="B776" s="7" t="s">
        <v>384</v>
      </c>
      <c r="C776" s="7">
        <v>101005</v>
      </c>
      <c r="D776" s="7" t="s">
        <v>232</v>
      </c>
      <c r="E776" s="7" t="s">
        <v>215</v>
      </c>
      <c r="F776" s="7">
        <f t="shared" si="11"/>
        <v>32</v>
      </c>
      <c r="G776" s="16">
        <f>+(TblDetalle[[#This Row],[MontoBrutoProm_Mes]]/TblDetalle[[#This Row],[UnidadesProm_Mes]])*TblDetalle[[#This Row],[Unidades]]</f>
        <v>2481.2799999999997</v>
      </c>
      <c r="H776" s="8">
        <v>40</v>
      </c>
      <c r="I776" s="9">
        <v>3101.6</v>
      </c>
      <c r="J776">
        <f>+TblDetalle[[#This Row],[Monto A Rebajhar]]/TblDetalle[[#This Row],[MontoBrutoProm_Mes]]</f>
        <v>0.79999999999999993</v>
      </c>
    </row>
    <row r="777" spans="1:10" x14ac:dyDescent="0.3">
      <c r="A777" s="7">
        <v>102</v>
      </c>
      <c r="B777" s="7" t="s">
        <v>384</v>
      </c>
      <c r="C777" s="7">
        <v>101018</v>
      </c>
      <c r="D777" s="7" t="s">
        <v>321</v>
      </c>
      <c r="E777" s="7" t="s">
        <v>215</v>
      </c>
      <c r="F777" s="7">
        <f t="shared" si="11"/>
        <v>41</v>
      </c>
      <c r="G777" s="16">
        <f>+(TblDetalle[[#This Row],[MontoBrutoProm_Mes]]/TblDetalle[[#This Row],[UnidadesProm_Mes]])*TblDetalle[[#This Row],[Unidades]]</f>
        <v>719.95999999999992</v>
      </c>
      <c r="H777" s="8">
        <v>52</v>
      </c>
      <c r="I777" s="9">
        <v>913.12</v>
      </c>
      <c r="J777">
        <f>+TblDetalle[[#This Row],[Monto A Rebajhar]]/TblDetalle[[#This Row],[MontoBrutoProm_Mes]]</f>
        <v>0.78846153846153832</v>
      </c>
    </row>
    <row r="778" spans="1:10" x14ac:dyDescent="0.3">
      <c r="A778" s="7">
        <v>102</v>
      </c>
      <c r="B778" s="7" t="s">
        <v>384</v>
      </c>
      <c r="C778" s="7">
        <v>101026</v>
      </c>
      <c r="D778" s="7" t="s">
        <v>233</v>
      </c>
      <c r="E778" s="7" t="s">
        <v>215</v>
      </c>
      <c r="F778" s="7">
        <f t="shared" si="11"/>
        <v>33</v>
      </c>
      <c r="G778" s="16">
        <f>+(TblDetalle[[#This Row],[MontoBrutoProm_Mes]]/TblDetalle[[#This Row],[UnidadesProm_Mes]])*TblDetalle[[#This Row],[Unidades]]</f>
        <v>1152.3600000000001</v>
      </c>
      <c r="H778" s="8">
        <v>42</v>
      </c>
      <c r="I778" s="9">
        <v>1466.64</v>
      </c>
      <c r="J778">
        <f>+TblDetalle[[#This Row],[Monto A Rebajhar]]/TblDetalle[[#This Row],[MontoBrutoProm_Mes]]</f>
        <v>0.7857142857142857</v>
      </c>
    </row>
    <row r="779" spans="1:10" x14ac:dyDescent="0.3">
      <c r="A779" s="7">
        <v>102</v>
      </c>
      <c r="B779" s="7" t="s">
        <v>384</v>
      </c>
      <c r="C779" s="7">
        <v>101027</v>
      </c>
      <c r="D779" s="7" t="s">
        <v>234</v>
      </c>
      <c r="E779" s="7" t="s">
        <v>215</v>
      </c>
      <c r="F779" s="7">
        <f t="shared" si="11"/>
        <v>28</v>
      </c>
      <c r="G779" s="16">
        <f>+(TblDetalle[[#This Row],[MontoBrutoProm_Mes]]/TblDetalle[[#This Row],[UnidadesProm_Mes]])*TblDetalle[[#This Row],[Unidades]]</f>
        <v>2171.1200000000003</v>
      </c>
      <c r="H779" s="8">
        <v>36</v>
      </c>
      <c r="I779" s="9">
        <v>2791.44</v>
      </c>
      <c r="J779">
        <f>+TblDetalle[[#This Row],[Monto A Rebajhar]]/TblDetalle[[#This Row],[MontoBrutoProm_Mes]]</f>
        <v>0.7777777777777779</v>
      </c>
    </row>
    <row r="780" spans="1:10" x14ac:dyDescent="0.3">
      <c r="A780" s="7">
        <v>102</v>
      </c>
      <c r="B780" s="7" t="s">
        <v>384</v>
      </c>
      <c r="C780" s="7">
        <v>101028</v>
      </c>
      <c r="D780" s="7" t="s">
        <v>214</v>
      </c>
      <c r="E780" s="7" t="s">
        <v>215</v>
      </c>
      <c r="F780" s="7">
        <f t="shared" si="11"/>
        <v>38</v>
      </c>
      <c r="G780" s="16">
        <f>+(TblDetalle[[#This Row],[MontoBrutoProm_Mes]]/TblDetalle[[#This Row],[UnidadesProm_Mes]])*TblDetalle[[#This Row],[Unidades]]</f>
        <v>3767.7</v>
      </c>
      <c r="H780" s="8">
        <v>48</v>
      </c>
      <c r="I780" s="9">
        <v>4759.2</v>
      </c>
      <c r="J780">
        <f>+TblDetalle[[#This Row],[Monto A Rebajhar]]/TblDetalle[[#This Row],[MontoBrutoProm_Mes]]</f>
        <v>0.79166666666666663</v>
      </c>
    </row>
    <row r="781" spans="1:10" x14ac:dyDescent="0.3">
      <c r="A781" s="7">
        <v>102</v>
      </c>
      <c r="B781" s="7" t="s">
        <v>384</v>
      </c>
      <c r="C781" s="7">
        <v>101034</v>
      </c>
      <c r="D781" s="7" t="s">
        <v>272</v>
      </c>
      <c r="E781" s="7" t="s">
        <v>215</v>
      </c>
      <c r="F781" s="7">
        <f t="shared" si="11"/>
        <v>0</v>
      </c>
      <c r="G781" s="16">
        <f>+(TblDetalle[[#This Row],[MontoBrutoProm_Mes]]/TblDetalle[[#This Row],[UnidadesProm_Mes]])*TblDetalle[[#This Row],[Unidades]]</f>
        <v>0</v>
      </c>
      <c r="H781" s="8">
        <v>0.67</v>
      </c>
      <c r="I781" s="9">
        <v>163.84</v>
      </c>
      <c r="J781">
        <f>+TblDetalle[[#This Row],[Monto A Rebajhar]]/TblDetalle[[#This Row],[MontoBrutoProm_Mes]]</f>
        <v>0</v>
      </c>
    </row>
    <row r="782" spans="1:10" x14ac:dyDescent="0.3">
      <c r="A782" s="7">
        <v>102</v>
      </c>
      <c r="B782" s="7" t="s">
        <v>384</v>
      </c>
      <c r="C782" s="7">
        <v>101038</v>
      </c>
      <c r="D782" s="7" t="s">
        <v>235</v>
      </c>
      <c r="E782" s="7" t="s">
        <v>215</v>
      </c>
      <c r="F782" s="7">
        <f t="shared" si="11"/>
        <v>7</v>
      </c>
      <c r="G782" s="16">
        <f>+(TblDetalle[[#This Row],[MontoBrutoProm_Mes]]/TblDetalle[[#This Row],[UnidadesProm_Mes]])*TblDetalle[[#This Row],[Unidades]]</f>
        <v>2698.1995863495349</v>
      </c>
      <c r="H782" s="8">
        <v>9.67</v>
      </c>
      <c r="I782" s="9">
        <v>3727.37</v>
      </c>
      <c r="J782">
        <f>+TblDetalle[[#This Row],[Monto A Rebajhar]]/TblDetalle[[#This Row],[MontoBrutoProm_Mes]]</f>
        <v>0.72388831437435375</v>
      </c>
    </row>
    <row r="783" spans="1:10" x14ac:dyDescent="0.3">
      <c r="A783" s="7">
        <v>102</v>
      </c>
      <c r="B783" s="7" t="s">
        <v>384</v>
      </c>
      <c r="C783" s="7">
        <v>101072</v>
      </c>
      <c r="D783" s="7" t="s">
        <v>273</v>
      </c>
      <c r="E783" s="7" t="s">
        <v>215</v>
      </c>
      <c r="F783" s="7">
        <f t="shared" si="11"/>
        <v>6</v>
      </c>
      <c r="G783" s="16">
        <f>+(TblDetalle[[#This Row],[MontoBrutoProm_Mes]]/TblDetalle[[#This Row],[UnidadesProm_Mes]])*TblDetalle[[#This Row],[Unidades]]</f>
        <v>261.29999999999995</v>
      </c>
      <c r="H783" s="8">
        <v>8</v>
      </c>
      <c r="I783" s="9">
        <v>348.4</v>
      </c>
      <c r="J783">
        <f>+TblDetalle[[#This Row],[Monto A Rebajhar]]/TblDetalle[[#This Row],[MontoBrutoProm_Mes]]</f>
        <v>0.74999999999999989</v>
      </c>
    </row>
    <row r="784" spans="1:10" x14ac:dyDescent="0.3">
      <c r="A784" s="7">
        <v>102</v>
      </c>
      <c r="B784" s="7" t="s">
        <v>384</v>
      </c>
      <c r="C784" s="7">
        <v>101124</v>
      </c>
      <c r="D784" s="7" t="s">
        <v>322</v>
      </c>
      <c r="E784" s="7" t="s">
        <v>215</v>
      </c>
      <c r="F784" s="7">
        <f t="shared" si="11"/>
        <v>6</v>
      </c>
      <c r="G784" s="16">
        <f>+(TblDetalle[[#This Row],[MontoBrutoProm_Mes]]/TblDetalle[[#This Row],[UnidadesProm_Mes]])*TblDetalle[[#This Row],[Unidades]]</f>
        <v>442.20000000000005</v>
      </c>
      <c r="H784" s="8">
        <v>8</v>
      </c>
      <c r="I784" s="9">
        <v>589.6</v>
      </c>
      <c r="J784">
        <f>+TblDetalle[[#This Row],[Monto A Rebajhar]]/TblDetalle[[#This Row],[MontoBrutoProm_Mes]]</f>
        <v>0.75</v>
      </c>
    </row>
    <row r="785" spans="1:10" x14ac:dyDescent="0.3">
      <c r="A785" s="7">
        <v>102</v>
      </c>
      <c r="B785" s="7" t="s">
        <v>384</v>
      </c>
      <c r="C785" s="7">
        <v>101130</v>
      </c>
      <c r="D785" s="7" t="s">
        <v>247</v>
      </c>
      <c r="E785" s="7" t="s">
        <v>215</v>
      </c>
      <c r="F785" s="7">
        <f t="shared" si="11"/>
        <v>9</v>
      </c>
      <c r="G785" s="16">
        <f>+(TblDetalle[[#This Row],[MontoBrutoProm_Mes]]/TblDetalle[[#This Row],[UnidadesProm_Mes]])*TblDetalle[[#This Row],[Unidades]]</f>
        <v>0.09</v>
      </c>
      <c r="H785" s="8">
        <v>12</v>
      </c>
      <c r="I785" s="9">
        <v>0.12</v>
      </c>
      <c r="J785">
        <f>+TblDetalle[[#This Row],[Monto A Rebajhar]]/TblDetalle[[#This Row],[MontoBrutoProm_Mes]]</f>
        <v>0.75</v>
      </c>
    </row>
    <row r="786" spans="1:10" x14ac:dyDescent="0.3">
      <c r="A786" s="7">
        <v>102</v>
      </c>
      <c r="B786" s="7" t="s">
        <v>384</v>
      </c>
      <c r="C786" s="7">
        <v>103001</v>
      </c>
      <c r="D786" s="7" t="s">
        <v>248</v>
      </c>
      <c r="E786" s="7" t="s">
        <v>215</v>
      </c>
      <c r="F786" s="7">
        <f t="shared" si="11"/>
        <v>44</v>
      </c>
      <c r="G786" s="16">
        <f>+(TblDetalle[[#This Row],[MontoBrutoProm_Mes]]/TblDetalle[[#This Row],[UnidadesProm_Mes]])*TblDetalle[[#This Row],[Unidades]]</f>
        <v>971.96</v>
      </c>
      <c r="H786" s="8">
        <v>56</v>
      </c>
      <c r="I786" s="9">
        <v>1237.04</v>
      </c>
      <c r="J786">
        <f>+TblDetalle[[#This Row],[Monto A Rebajhar]]/TblDetalle[[#This Row],[MontoBrutoProm_Mes]]</f>
        <v>0.78571428571428581</v>
      </c>
    </row>
    <row r="787" spans="1:10" x14ac:dyDescent="0.3">
      <c r="A787" s="7">
        <v>102</v>
      </c>
      <c r="B787" s="7" t="s">
        <v>384</v>
      </c>
      <c r="C787" s="7">
        <v>201001</v>
      </c>
      <c r="D787" s="7" t="s">
        <v>216</v>
      </c>
      <c r="E787" s="7" t="s">
        <v>217</v>
      </c>
      <c r="F787" s="7">
        <f t="shared" si="11"/>
        <v>8</v>
      </c>
      <c r="G787" s="16">
        <f>+(TblDetalle[[#This Row],[MontoBrutoProm_Mes]]/TblDetalle[[#This Row],[UnidadesProm_Mes]])*TblDetalle[[#This Row],[Unidades]]</f>
        <v>1903.68</v>
      </c>
      <c r="H787" s="8">
        <v>11</v>
      </c>
      <c r="I787" s="9">
        <v>2617.56</v>
      </c>
      <c r="J787">
        <f>+TblDetalle[[#This Row],[Monto A Rebajhar]]/TblDetalle[[#This Row],[MontoBrutoProm_Mes]]</f>
        <v>0.72727272727272729</v>
      </c>
    </row>
    <row r="788" spans="1:10" x14ac:dyDescent="0.3">
      <c r="A788" s="7">
        <v>102</v>
      </c>
      <c r="B788" s="7" t="s">
        <v>384</v>
      </c>
      <c r="C788" s="7">
        <v>220006</v>
      </c>
      <c r="D788" s="7" t="s">
        <v>342</v>
      </c>
      <c r="E788" s="7" t="s">
        <v>220</v>
      </c>
      <c r="F788" s="7">
        <f t="shared" si="11"/>
        <v>0</v>
      </c>
      <c r="G788" s="16">
        <f>+(TblDetalle[[#This Row],[MontoBrutoProm_Mes]]/TblDetalle[[#This Row],[UnidadesProm_Mes]])*TblDetalle[[#This Row],[Unidades]]</f>
        <v>0</v>
      </c>
      <c r="H788" s="8">
        <v>0.33</v>
      </c>
      <c r="I788" s="9">
        <v>53.78</v>
      </c>
      <c r="J788">
        <f>+TblDetalle[[#This Row],[Monto A Rebajhar]]/TblDetalle[[#This Row],[MontoBrutoProm_Mes]]</f>
        <v>0</v>
      </c>
    </row>
    <row r="789" spans="1:10" x14ac:dyDescent="0.3">
      <c r="A789" s="7">
        <v>102</v>
      </c>
      <c r="B789" s="7" t="s">
        <v>384</v>
      </c>
      <c r="C789" s="7">
        <v>220007</v>
      </c>
      <c r="D789" s="7" t="s">
        <v>343</v>
      </c>
      <c r="E789" s="7" t="s">
        <v>220</v>
      </c>
      <c r="F789" s="7">
        <f t="shared" si="11"/>
        <v>0</v>
      </c>
      <c r="G789" s="16">
        <f>+(TblDetalle[[#This Row],[MontoBrutoProm_Mes]]/TblDetalle[[#This Row],[UnidadesProm_Mes]])*TblDetalle[[#This Row],[Unidades]]</f>
        <v>0</v>
      </c>
      <c r="H789" s="8">
        <v>0.33</v>
      </c>
      <c r="I789" s="9">
        <v>53.78</v>
      </c>
      <c r="J789">
        <f>+TblDetalle[[#This Row],[Monto A Rebajhar]]/TblDetalle[[#This Row],[MontoBrutoProm_Mes]]</f>
        <v>0</v>
      </c>
    </row>
    <row r="790" spans="1:10" x14ac:dyDescent="0.3">
      <c r="A790" s="7">
        <v>102</v>
      </c>
      <c r="B790" s="7" t="s">
        <v>384</v>
      </c>
      <c r="C790" s="7">
        <v>220008</v>
      </c>
      <c r="D790" s="7" t="s">
        <v>344</v>
      </c>
      <c r="E790" s="7" t="s">
        <v>220</v>
      </c>
      <c r="F790" s="7">
        <f t="shared" si="11"/>
        <v>0</v>
      </c>
      <c r="G790" s="16">
        <f>+(TblDetalle[[#This Row],[MontoBrutoProm_Mes]]/TblDetalle[[#This Row],[UnidadesProm_Mes]])*TblDetalle[[#This Row],[Unidades]]</f>
        <v>0</v>
      </c>
      <c r="H790" s="8">
        <v>0.33</v>
      </c>
      <c r="I790" s="9">
        <v>53.78</v>
      </c>
      <c r="J790">
        <f>+TblDetalle[[#This Row],[Monto A Rebajhar]]/TblDetalle[[#This Row],[MontoBrutoProm_Mes]]</f>
        <v>0</v>
      </c>
    </row>
    <row r="791" spans="1:10" x14ac:dyDescent="0.3">
      <c r="A791" s="7">
        <v>102</v>
      </c>
      <c r="B791" s="7" t="s">
        <v>384</v>
      </c>
      <c r="C791" s="7">
        <v>611049</v>
      </c>
      <c r="D791" s="7" t="s">
        <v>251</v>
      </c>
      <c r="E791" s="7" t="s">
        <v>217</v>
      </c>
      <c r="F791" s="7">
        <f t="shared" si="11"/>
        <v>19</v>
      </c>
      <c r="G791" s="16">
        <f>+(TblDetalle[[#This Row],[MontoBrutoProm_Mes]]/TblDetalle[[#This Row],[UnidadesProm_Mes]])*TblDetalle[[#This Row],[Unidades]]</f>
        <v>569.2399999999999</v>
      </c>
      <c r="H791" s="8">
        <v>24</v>
      </c>
      <c r="I791" s="9">
        <v>719.04</v>
      </c>
      <c r="J791">
        <f>+TblDetalle[[#This Row],[Monto A Rebajhar]]/TblDetalle[[#This Row],[MontoBrutoProm_Mes]]</f>
        <v>0.79166666666666652</v>
      </c>
    </row>
    <row r="792" spans="1:10" x14ac:dyDescent="0.3">
      <c r="A792" s="7">
        <v>102</v>
      </c>
      <c r="B792" s="7" t="s">
        <v>384</v>
      </c>
      <c r="C792" s="7">
        <v>611053</v>
      </c>
      <c r="D792" s="7" t="s">
        <v>253</v>
      </c>
      <c r="E792" s="7" t="s">
        <v>217</v>
      </c>
      <c r="F792" s="7">
        <f t="shared" si="11"/>
        <v>12</v>
      </c>
      <c r="G792" s="16">
        <f>+(TblDetalle[[#This Row],[MontoBrutoProm_Mes]]/TblDetalle[[#This Row],[UnidadesProm_Mes]])*TblDetalle[[#This Row],[Unidades]]</f>
        <v>264.36</v>
      </c>
      <c r="H792" s="8">
        <v>16</v>
      </c>
      <c r="I792" s="9">
        <v>352.48</v>
      </c>
      <c r="J792">
        <f>+TblDetalle[[#This Row],[Monto A Rebajhar]]/TblDetalle[[#This Row],[MontoBrutoProm_Mes]]</f>
        <v>0.75</v>
      </c>
    </row>
    <row r="793" spans="1:10" x14ac:dyDescent="0.3">
      <c r="A793" s="7">
        <v>102</v>
      </c>
      <c r="B793" s="7" t="s">
        <v>384</v>
      </c>
      <c r="C793" s="7">
        <v>611055</v>
      </c>
      <c r="D793" s="7" t="s">
        <v>254</v>
      </c>
      <c r="E793" s="7" t="s">
        <v>217</v>
      </c>
      <c r="F793" s="7">
        <f t="shared" si="11"/>
        <v>2</v>
      </c>
      <c r="G793" s="16">
        <f>+(TblDetalle[[#This Row],[MontoBrutoProm_Mes]]/TblDetalle[[#This Row],[UnidadesProm_Mes]])*TblDetalle[[#This Row],[Unidades]]</f>
        <v>169.26591760299627</v>
      </c>
      <c r="H793" s="8">
        <v>2.67</v>
      </c>
      <c r="I793" s="9">
        <v>225.97</v>
      </c>
      <c r="J793">
        <f>+TblDetalle[[#This Row],[Monto A Rebajhar]]/TblDetalle[[#This Row],[MontoBrutoProm_Mes]]</f>
        <v>0.74906367041198507</v>
      </c>
    </row>
    <row r="794" spans="1:10" x14ac:dyDescent="0.3">
      <c r="A794" s="7">
        <v>102</v>
      </c>
      <c r="B794" s="7" t="s">
        <v>384</v>
      </c>
      <c r="C794" s="7">
        <v>611221</v>
      </c>
      <c r="D794" s="7" t="s">
        <v>293</v>
      </c>
      <c r="E794" s="7" t="s">
        <v>294</v>
      </c>
      <c r="F794" s="7">
        <f t="shared" si="11"/>
        <v>0</v>
      </c>
      <c r="G794" s="16">
        <f>+(TblDetalle[[#This Row],[MontoBrutoProm_Mes]]/TblDetalle[[#This Row],[UnidadesProm_Mes]])*TblDetalle[[#This Row],[Unidades]]</f>
        <v>0</v>
      </c>
      <c r="H794" s="8">
        <v>0.33</v>
      </c>
      <c r="I794" s="9">
        <v>67.8</v>
      </c>
      <c r="J794">
        <f>+TblDetalle[[#This Row],[Monto A Rebajhar]]/TblDetalle[[#This Row],[MontoBrutoProm_Mes]]</f>
        <v>0</v>
      </c>
    </row>
    <row r="795" spans="1:10" x14ac:dyDescent="0.3">
      <c r="A795" s="7">
        <v>102</v>
      </c>
      <c r="B795" s="7" t="s">
        <v>384</v>
      </c>
      <c r="C795" s="7">
        <v>621043</v>
      </c>
      <c r="D795" s="7" t="s">
        <v>257</v>
      </c>
      <c r="E795" s="7" t="s">
        <v>239</v>
      </c>
      <c r="F795" s="7">
        <f t="shared" si="11"/>
        <v>1</v>
      </c>
      <c r="G795" s="16">
        <f>+(TblDetalle[[#This Row],[MontoBrutoProm_Mes]]/TblDetalle[[#This Row],[UnidadesProm_Mes]])*TblDetalle[[#This Row],[Unidades]]</f>
        <v>7.5187969924812026E-3</v>
      </c>
      <c r="H795" s="8">
        <v>1.33</v>
      </c>
      <c r="I795" s="9">
        <v>0.01</v>
      </c>
      <c r="J795">
        <f>+TblDetalle[[#This Row],[Monto A Rebajhar]]/TblDetalle[[#This Row],[MontoBrutoProm_Mes]]</f>
        <v>0.75187969924812026</v>
      </c>
    </row>
    <row r="796" spans="1:10" x14ac:dyDescent="0.3">
      <c r="A796" s="7">
        <v>102</v>
      </c>
      <c r="B796" s="7" t="s">
        <v>384</v>
      </c>
      <c r="C796" s="7">
        <v>621045</v>
      </c>
      <c r="D796" s="7" t="s">
        <v>238</v>
      </c>
      <c r="E796" s="7" t="s">
        <v>239</v>
      </c>
      <c r="F796" s="7">
        <f t="shared" si="11"/>
        <v>6</v>
      </c>
      <c r="G796" s="16">
        <f>+(TblDetalle[[#This Row],[MontoBrutoProm_Mes]]/TblDetalle[[#This Row],[UnidadesProm_Mes]])*TblDetalle[[#This Row],[Unidades]]</f>
        <v>1018.74</v>
      </c>
      <c r="H796" s="8">
        <v>8</v>
      </c>
      <c r="I796" s="9">
        <v>1358.32</v>
      </c>
      <c r="J796">
        <f>+TblDetalle[[#This Row],[Monto A Rebajhar]]/TblDetalle[[#This Row],[MontoBrutoProm_Mes]]</f>
        <v>0.75</v>
      </c>
    </row>
    <row r="797" spans="1:10" x14ac:dyDescent="0.3">
      <c r="A797" s="7">
        <v>102</v>
      </c>
      <c r="B797" s="7" t="s">
        <v>384</v>
      </c>
      <c r="C797" s="7">
        <v>800088</v>
      </c>
      <c r="D797" s="7" t="s">
        <v>240</v>
      </c>
      <c r="E797" s="7" t="s">
        <v>215</v>
      </c>
      <c r="F797" s="7">
        <f t="shared" si="11"/>
        <v>2</v>
      </c>
      <c r="G797" s="16">
        <f>+(TblDetalle[[#This Row],[MontoBrutoProm_Mes]]/TblDetalle[[#This Row],[UnidadesProm_Mes]])*TblDetalle[[#This Row],[Unidades]]</f>
        <v>762.69999999999993</v>
      </c>
      <c r="H797" s="8">
        <v>3</v>
      </c>
      <c r="I797" s="9">
        <v>1144.05</v>
      </c>
      <c r="J797">
        <f>+TblDetalle[[#This Row],[Monto A Rebajhar]]/TblDetalle[[#This Row],[MontoBrutoProm_Mes]]</f>
        <v>0.66666666666666663</v>
      </c>
    </row>
    <row r="798" spans="1:10" x14ac:dyDescent="0.3">
      <c r="A798" s="7">
        <v>102</v>
      </c>
      <c r="B798" s="7" t="s">
        <v>384</v>
      </c>
      <c r="C798" s="7">
        <v>800089</v>
      </c>
      <c r="D798" s="7" t="s">
        <v>241</v>
      </c>
      <c r="E798" s="7" t="s">
        <v>215</v>
      </c>
      <c r="F798" s="7">
        <f t="shared" si="11"/>
        <v>0</v>
      </c>
      <c r="G798" s="16">
        <f>+(TblDetalle[[#This Row],[MontoBrutoProm_Mes]]/TblDetalle[[#This Row],[UnidadesProm_Mes]])*TblDetalle[[#This Row],[Unidades]]</f>
        <v>0</v>
      </c>
      <c r="H798" s="8">
        <v>0.67</v>
      </c>
      <c r="I798" s="9">
        <v>254.23</v>
      </c>
      <c r="J798">
        <f>+TblDetalle[[#This Row],[Monto A Rebajhar]]/TblDetalle[[#This Row],[MontoBrutoProm_Mes]]</f>
        <v>0</v>
      </c>
    </row>
    <row r="799" spans="1:10" x14ac:dyDescent="0.3">
      <c r="A799" s="7">
        <v>102</v>
      </c>
      <c r="B799" s="7" t="s">
        <v>384</v>
      </c>
      <c r="C799" s="7">
        <v>800791</v>
      </c>
      <c r="D799" s="7" t="s">
        <v>259</v>
      </c>
      <c r="E799" s="7" t="s">
        <v>243</v>
      </c>
      <c r="F799" s="7">
        <f t="shared" si="11"/>
        <v>1</v>
      </c>
      <c r="G799" s="16">
        <f>+(TblDetalle[[#This Row],[MontoBrutoProm_Mes]]/TblDetalle[[#This Row],[UnidadesProm_Mes]])*TblDetalle[[#This Row],[Unidades]]</f>
        <v>161.02000000000001</v>
      </c>
      <c r="H799" s="8">
        <v>2</v>
      </c>
      <c r="I799" s="9">
        <v>322.04000000000002</v>
      </c>
      <c r="J799">
        <f>+TblDetalle[[#This Row],[Monto A Rebajhar]]/TblDetalle[[#This Row],[MontoBrutoProm_Mes]]</f>
        <v>0.5</v>
      </c>
    </row>
    <row r="800" spans="1:10" x14ac:dyDescent="0.3">
      <c r="A800" s="7">
        <v>102</v>
      </c>
      <c r="B800" s="7" t="s">
        <v>384</v>
      </c>
      <c r="C800" s="7">
        <v>800792</v>
      </c>
      <c r="D800" s="7" t="s">
        <v>242</v>
      </c>
      <c r="E800" s="7" t="s">
        <v>243</v>
      </c>
      <c r="F800" s="7">
        <f t="shared" si="11"/>
        <v>1</v>
      </c>
      <c r="G800" s="16">
        <f>+(TblDetalle[[#This Row],[MontoBrutoProm_Mes]]/TblDetalle[[#This Row],[UnidadesProm_Mes]])*TblDetalle[[#This Row],[Unidades]]</f>
        <v>161.24892703862659</v>
      </c>
      <c r="H800" s="8">
        <v>2.33</v>
      </c>
      <c r="I800" s="9">
        <v>375.71</v>
      </c>
      <c r="J800">
        <f>+TblDetalle[[#This Row],[Monto A Rebajhar]]/TblDetalle[[#This Row],[MontoBrutoProm_Mes]]</f>
        <v>0.42918454935622313</v>
      </c>
    </row>
    <row r="801" spans="1:10" x14ac:dyDescent="0.3">
      <c r="A801" s="7">
        <v>102</v>
      </c>
      <c r="B801" s="7" t="s">
        <v>384</v>
      </c>
      <c r="C801" s="7">
        <v>800793</v>
      </c>
      <c r="D801" s="7" t="s">
        <v>260</v>
      </c>
      <c r="E801" s="7" t="s">
        <v>243</v>
      </c>
      <c r="F801" s="7">
        <f t="shared" si="11"/>
        <v>1</v>
      </c>
      <c r="G801" s="16">
        <f>+(TblDetalle[[#This Row],[MontoBrutoProm_Mes]]/TblDetalle[[#This Row],[UnidadesProm_Mes]])*TblDetalle[[#This Row],[Unidades]]</f>
        <v>160.70059880239521</v>
      </c>
      <c r="H801" s="8">
        <v>1.67</v>
      </c>
      <c r="I801" s="9">
        <v>268.37</v>
      </c>
      <c r="J801">
        <f>+TblDetalle[[#This Row],[Monto A Rebajhar]]/TblDetalle[[#This Row],[MontoBrutoProm_Mes]]</f>
        <v>0.59880239520958078</v>
      </c>
    </row>
    <row r="802" spans="1:10" x14ac:dyDescent="0.3">
      <c r="A802" s="7">
        <v>102</v>
      </c>
      <c r="B802" s="7" t="s">
        <v>384</v>
      </c>
      <c r="C802" s="7">
        <v>800796</v>
      </c>
      <c r="D802" s="7" t="s">
        <v>276</v>
      </c>
      <c r="E802" s="7" t="s">
        <v>243</v>
      </c>
      <c r="F802" s="7">
        <f t="shared" si="11"/>
        <v>0</v>
      </c>
      <c r="G802" s="16">
        <f>+(TblDetalle[[#This Row],[MontoBrutoProm_Mes]]/TblDetalle[[#This Row],[UnidadesProm_Mes]])*TblDetalle[[#This Row],[Unidades]]</f>
        <v>0</v>
      </c>
      <c r="H802" s="8">
        <v>1</v>
      </c>
      <c r="I802" s="9">
        <v>161.02000000000001</v>
      </c>
      <c r="J802">
        <f>+TblDetalle[[#This Row],[Monto A Rebajhar]]/TblDetalle[[#This Row],[MontoBrutoProm_Mes]]</f>
        <v>0</v>
      </c>
    </row>
    <row r="803" spans="1:10" x14ac:dyDescent="0.3">
      <c r="A803" s="7">
        <v>102</v>
      </c>
      <c r="B803" s="7" t="s">
        <v>384</v>
      </c>
      <c r="C803" s="7">
        <v>925050</v>
      </c>
      <c r="D803" s="7" t="s">
        <v>261</v>
      </c>
      <c r="E803" s="7" t="s">
        <v>220</v>
      </c>
      <c r="F803" s="7">
        <f t="shared" si="11"/>
        <v>1</v>
      </c>
      <c r="G803" s="16">
        <f>+(TblDetalle[[#This Row],[MontoBrutoProm_Mes]]/TblDetalle[[#This Row],[UnidadesProm_Mes]])*TblDetalle[[#This Row],[Unidades]]</f>
        <v>77.125748502994028</v>
      </c>
      <c r="H803" s="8">
        <v>1.67</v>
      </c>
      <c r="I803" s="9">
        <v>128.80000000000001</v>
      </c>
      <c r="J803">
        <f>+TblDetalle[[#This Row],[Monto A Rebajhar]]/TblDetalle[[#This Row],[MontoBrutoProm_Mes]]</f>
        <v>0.5988023952095809</v>
      </c>
    </row>
    <row r="804" spans="1:10" x14ac:dyDescent="0.3">
      <c r="A804" s="7">
        <v>102</v>
      </c>
      <c r="B804" s="7" t="s">
        <v>384</v>
      </c>
      <c r="C804" s="7">
        <v>925059</v>
      </c>
      <c r="D804" s="7" t="s">
        <v>262</v>
      </c>
      <c r="E804" s="7" t="s">
        <v>220</v>
      </c>
      <c r="F804" s="7">
        <f t="shared" si="11"/>
        <v>1</v>
      </c>
      <c r="G804" s="16">
        <f>+(TblDetalle[[#This Row],[MontoBrutoProm_Mes]]/TblDetalle[[#This Row],[UnidadesProm_Mes]])*TblDetalle[[#This Row],[Unidades]]</f>
        <v>0.01</v>
      </c>
      <c r="H804" s="8">
        <v>2</v>
      </c>
      <c r="I804" s="9">
        <v>0.02</v>
      </c>
      <c r="J804">
        <f>+TblDetalle[[#This Row],[Monto A Rebajhar]]/TblDetalle[[#This Row],[MontoBrutoProm_Mes]]</f>
        <v>0.5</v>
      </c>
    </row>
    <row r="805" spans="1:10" x14ac:dyDescent="0.3">
      <c r="A805" s="7">
        <v>102</v>
      </c>
      <c r="B805" s="7" t="s">
        <v>384</v>
      </c>
      <c r="C805" s="7">
        <v>925064</v>
      </c>
      <c r="D805" s="7" t="s">
        <v>263</v>
      </c>
      <c r="E805" s="7" t="s">
        <v>220</v>
      </c>
      <c r="F805" s="7">
        <f t="shared" si="11"/>
        <v>40</v>
      </c>
      <c r="G805" s="16">
        <f>+(TblDetalle[[#This Row],[MontoBrutoProm_Mes]]/TblDetalle[[#This Row],[UnidadesProm_Mes]])*TblDetalle[[#This Row],[Unidades]]</f>
        <v>1374.4</v>
      </c>
      <c r="H805" s="8">
        <v>50</v>
      </c>
      <c r="I805" s="9">
        <v>1718</v>
      </c>
      <c r="J805">
        <f>+TblDetalle[[#This Row],[Monto A Rebajhar]]/TblDetalle[[#This Row],[MontoBrutoProm_Mes]]</f>
        <v>0.8</v>
      </c>
    </row>
    <row r="806" spans="1:10" x14ac:dyDescent="0.3">
      <c r="A806" s="7">
        <v>102</v>
      </c>
      <c r="B806" s="7" t="s">
        <v>384</v>
      </c>
      <c r="C806" s="7">
        <v>925078</v>
      </c>
      <c r="D806" s="7" t="s">
        <v>221</v>
      </c>
      <c r="E806" s="7" t="s">
        <v>220</v>
      </c>
      <c r="F806" s="7">
        <f t="shared" si="11"/>
        <v>16</v>
      </c>
      <c r="G806" s="16">
        <f>+(TblDetalle[[#This Row],[MontoBrutoProm_Mes]]/TblDetalle[[#This Row],[UnidadesProm_Mes]])*TblDetalle[[#This Row],[Unidades]]</f>
        <v>1178.72</v>
      </c>
      <c r="H806" s="8">
        <v>20</v>
      </c>
      <c r="I806" s="9">
        <v>1473.4</v>
      </c>
      <c r="J806">
        <f>+TblDetalle[[#This Row],[Monto A Rebajhar]]/TblDetalle[[#This Row],[MontoBrutoProm_Mes]]</f>
        <v>0.79999999999999993</v>
      </c>
    </row>
    <row r="807" spans="1:10" x14ac:dyDescent="0.3">
      <c r="A807" s="7">
        <v>102</v>
      </c>
      <c r="B807" s="7" t="s">
        <v>384</v>
      </c>
      <c r="C807" s="7">
        <v>925079</v>
      </c>
      <c r="D807" s="7" t="s">
        <v>279</v>
      </c>
      <c r="E807" s="7" t="s">
        <v>220</v>
      </c>
      <c r="F807" s="7">
        <f t="shared" si="11"/>
        <v>25</v>
      </c>
      <c r="G807" s="16">
        <f>+(TblDetalle[[#This Row],[MontoBrutoProm_Mes]]/TblDetalle[[#This Row],[UnidadesProm_Mes]])*TblDetalle[[#This Row],[Unidades]]</f>
        <v>1841.75</v>
      </c>
      <c r="H807" s="8">
        <v>32</v>
      </c>
      <c r="I807" s="9">
        <v>2357.44</v>
      </c>
      <c r="J807">
        <f>+TblDetalle[[#This Row],[Monto A Rebajhar]]/TblDetalle[[#This Row],[MontoBrutoProm_Mes]]</f>
        <v>0.78125</v>
      </c>
    </row>
    <row r="808" spans="1:10" x14ac:dyDescent="0.3">
      <c r="A808" s="7">
        <v>102</v>
      </c>
      <c r="B808" s="7" t="s">
        <v>384</v>
      </c>
      <c r="C808" s="7">
        <v>925094</v>
      </c>
      <c r="D808" s="7" t="s">
        <v>298</v>
      </c>
      <c r="E808" s="7" t="s">
        <v>220</v>
      </c>
      <c r="F808" s="7">
        <f t="shared" si="11"/>
        <v>12</v>
      </c>
      <c r="G808" s="16">
        <f>+(TblDetalle[[#This Row],[MontoBrutoProm_Mes]]/TblDetalle[[#This Row],[UnidadesProm_Mes]])*TblDetalle[[#This Row],[Unidades]]</f>
        <v>582.11869814932993</v>
      </c>
      <c r="H808" s="8">
        <v>15.67</v>
      </c>
      <c r="I808" s="9">
        <v>760.15</v>
      </c>
      <c r="J808">
        <f>+TblDetalle[[#This Row],[Monto A Rebajhar]]/TblDetalle[[#This Row],[MontoBrutoProm_Mes]]</f>
        <v>0.76579451180599878</v>
      </c>
    </row>
    <row r="809" spans="1:10" x14ac:dyDescent="0.3">
      <c r="A809" s="7">
        <v>102</v>
      </c>
      <c r="B809" s="7" t="s">
        <v>384</v>
      </c>
      <c r="C809" s="7">
        <v>925095</v>
      </c>
      <c r="D809" s="7" t="s">
        <v>280</v>
      </c>
      <c r="E809" s="7" t="s">
        <v>220</v>
      </c>
      <c r="F809" s="7">
        <f t="shared" si="11"/>
        <v>13</v>
      </c>
      <c r="G809" s="16">
        <f>+(TblDetalle[[#This Row],[MontoBrutoProm_Mes]]/TblDetalle[[#This Row],[UnidadesProm_Mes]])*TblDetalle[[#This Row],[Unidades]]</f>
        <v>630.76</v>
      </c>
      <c r="H809" s="8">
        <v>17</v>
      </c>
      <c r="I809" s="9">
        <v>824.84</v>
      </c>
      <c r="J809">
        <f>+TblDetalle[[#This Row],[Monto A Rebajhar]]/TblDetalle[[#This Row],[MontoBrutoProm_Mes]]</f>
        <v>0.76470588235294112</v>
      </c>
    </row>
    <row r="810" spans="1:10" x14ac:dyDescent="0.3">
      <c r="A810" s="7">
        <v>102</v>
      </c>
      <c r="B810" s="7" t="s">
        <v>384</v>
      </c>
      <c r="C810" s="7">
        <v>925105</v>
      </c>
      <c r="D810" s="7" t="s">
        <v>290</v>
      </c>
      <c r="E810" s="7" t="s">
        <v>220</v>
      </c>
      <c r="F810" s="7">
        <f t="shared" si="11"/>
        <v>1</v>
      </c>
      <c r="G810" s="16">
        <f>+(TblDetalle[[#This Row],[MontoBrutoProm_Mes]]/TblDetalle[[#This Row],[UnidadesProm_Mes]])*TblDetalle[[#This Row],[Unidades]]</f>
        <v>8.5836909871244635E-3</v>
      </c>
      <c r="H810" s="8">
        <v>2.33</v>
      </c>
      <c r="I810" s="9">
        <v>0.02</v>
      </c>
      <c r="J810">
        <f>+TblDetalle[[#This Row],[Monto A Rebajhar]]/TblDetalle[[#This Row],[MontoBrutoProm_Mes]]</f>
        <v>0.42918454935622319</v>
      </c>
    </row>
    <row r="811" spans="1:10" x14ac:dyDescent="0.3">
      <c r="A811" s="7">
        <v>102</v>
      </c>
      <c r="B811" s="7" t="s">
        <v>384</v>
      </c>
      <c r="C811" s="7">
        <v>930012</v>
      </c>
      <c r="D811" s="7" t="s">
        <v>264</v>
      </c>
      <c r="E811" s="7" t="s">
        <v>243</v>
      </c>
      <c r="F811" s="7">
        <f t="shared" si="11"/>
        <v>1</v>
      </c>
      <c r="G811" s="16">
        <f>+(TblDetalle[[#This Row],[MontoBrutoProm_Mes]]/TblDetalle[[#This Row],[UnidadesProm_Mes]])*TblDetalle[[#This Row],[Unidades]]</f>
        <v>93.053892215568865</v>
      </c>
      <c r="H811" s="8">
        <v>1.67</v>
      </c>
      <c r="I811" s="9">
        <v>155.4</v>
      </c>
      <c r="J811">
        <f>+TblDetalle[[#This Row],[Monto A Rebajhar]]/TblDetalle[[#This Row],[MontoBrutoProm_Mes]]</f>
        <v>0.59880239520958078</v>
      </c>
    </row>
    <row r="812" spans="1:10" x14ac:dyDescent="0.3">
      <c r="A812" s="7">
        <v>102</v>
      </c>
      <c r="B812" s="7" t="s">
        <v>384</v>
      </c>
      <c r="C812" s="7">
        <v>930016</v>
      </c>
      <c r="D812" s="7" t="s">
        <v>385</v>
      </c>
      <c r="E812" s="7" t="s">
        <v>243</v>
      </c>
      <c r="F812" s="7">
        <f t="shared" si="11"/>
        <v>0</v>
      </c>
      <c r="G812" s="16">
        <f>+(TblDetalle[[#This Row],[MontoBrutoProm_Mes]]/TblDetalle[[#This Row],[UnidadesProm_Mes]])*TblDetalle[[#This Row],[Unidades]]</f>
        <v>0</v>
      </c>
      <c r="H812" s="8">
        <v>0.67</v>
      </c>
      <c r="I812" s="9">
        <v>73.47</v>
      </c>
      <c r="J812">
        <f>+TblDetalle[[#This Row],[Monto A Rebajhar]]/TblDetalle[[#This Row],[MontoBrutoProm_Mes]]</f>
        <v>0</v>
      </c>
    </row>
    <row r="813" spans="1:10" x14ac:dyDescent="0.3">
      <c r="A813" s="7">
        <v>102</v>
      </c>
      <c r="B813" s="7" t="s">
        <v>384</v>
      </c>
      <c r="C813" s="7">
        <v>930017</v>
      </c>
      <c r="D813" s="7" t="s">
        <v>386</v>
      </c>
      <c r="E813" s="7" t="s">
        <v>243</v>
      </c>
      <c r="F813" s="7">
        <f t="shared" si="11"/>
        <v>0</v>
      </c>
      <c r="G813" s="16">
        <f>+(TblDetalle[[#This Row],[MontoBrutoProm_Mes]]/TblDetalle[[#This Row],[UnidadesProm_Mes]])*TblDetalle[[#This Row],[Unidades]]</f>
        <v>0</v>
      </c>
      <c r="H813" s="8">
        <v>0.67</v>
      </c>
      <c r="I813" s="9">
        <v>62.16</v>
      </c>
      <c r="J813">
        <f>+TblDetalle[[#This Row],[Monto A Rebajhar]]/TblDetalle[[#This Row],[MontoBrutoProm_Mes]]</f>
        <v>0</v>
      </c>
    </row>
    <row r="814" spans="1:10" x14ac:dyDescent="0.3">
      <c r="A814" s="7">
        <v>102</v>
      </c>
      <c r="B814" s="7" t="s">
        <v>384</v>
      </c>
      <c r="C814" s="7">
        <v>930020</v>
      </c>
      <c r="D814" s="7" t="s">
        <v>299</v>
      </c>
      <c r="E814" s="7" t="s">
        <v>243</v>
      </c>
      <c r="F814" s="7">
        <f t="shared" si="11"/>
        <v>0</v>
      </c>
      <c r="G814" s="16">
        <f>+(TblDetalle[[#This Row],[MontoBrutoProm_Mes]]/TblDetalle[[#This Row],[UnidadesProm_Mes]])*TblDetalle[[#This Row],[Unidades]]</f>
        <v>0</v>
      </c>
      <c r="H814" s="8">
        <v>0.67</v>
      </c>
      <c r="I814" s="9">
        <v>62.16</v>
      </c>
      <c r="J814">
        <f>+TblDetalle[[#This Row],[Monto A Rebajhar]]/TblDetalle[[#This Row],[MontoBrutoProm_Mes]]</f>
        <v>0</v>
      </c>
    </row>
    <row r="815" spans="1:10" x14ac:dyDescent="0.3">
      <c r="A815" s="7">
        <v>102</v>
      </c>
      <c r="B815" s="7" t="s">
        <v>384</v>
      </c>
      <c r="C815" s="7">
        <v>930021</v>
      </c>
      <c r="D815" s="7" t="s">
        <v>300</v>
      </c>
      <c r="E815" s="7" t="s">
        <v>243</v>
      </c>
      <c r="F815" s="7">
        <f t="shared" si="11"/>
        <v>0</v>
      </c>
      <c r="G815" s="16">
        <f>+(TblDetalle[[#This Row],[MontoBrutoProm_Mes]]/TblDetalle[[#This Row],[UnidadesProm_Mes]])*TblDetalle[[#This Row],[Unidades]]</f>
        <v>0</v>
      </c>
      <c r="H815" s="8">
        <v>1</v>
      </c>
      <c r="I815" s="9">
        <v>93.24</v>
      </c>
      <c r="J815">
        <f>+TblDetalle[[#This Row],[Monto A Rebajhar]]/TblDetalle[[#This Row],[MontoBrutoProm_Mes]]</f>
        <v>0</v>
      </c>
    </row>
    <row r="816" spans="1:10" x14ac:dyDescent="0.3">
      <c r="A816" s="7">
        <v>102</v>
      </c>
      <c r="B816" s="7" t="s">
        <v>384</v>
      </c>
      <c r="C816" s="7">
        <v>930022</v>
      </c>
      <c r="D816" s="7" t="s">
        <v>265</v>
      </c>
      <c r="E816" s="7" t="s">
        <v>243</v>
      </c>
      <c r="F816" s="7">
        <f t="shared" si="11"/>
        <v>0</v>
      </c>
      <c r="G816" s="16">
        <f>+(TblDetalle[[#This Row],[MontoBrutoProm_Mes]]/TblDetalle[[#This Row],[UnidadesProm_Mes]])*TblDetalle[[#This Row],[Unidades]]</f>
        <v>0</v>
      </c>
      <c r="H816" s="8">
        <v>0.67</v>
      </c>
      <c r="I816" s="9">
        <v>62.16</v>
      </c>
      <c r="J816">
        <f>+TblDetalle[[#This Row],[Monto A Rebajhar]]/TblDetalle[[#This Row],[MontoBrutoProm_Mes]]</f>
        <v>0</v>
      </c>
    </row>
    <row r="817" spans="1:10" x14ac:dyDescent="0.3">
      <c r="A817" s="7">
        <v>102</v>
      </c>
      <c r="B817" s="7" t="s">
        <v>384</v>
      </c>
      <c r="C817" s="7">
        <v>930023</v>
      </c>
      <c r="D817" s="7" t="s">
        <v>335</v>
      </c>
      <c r="E817" s="7" t="s">
        <v>243</v>
      </c>
      <c r="F817" s="7">
        <f t="shared" si="11"/>
        <v>0</v>
      </c>
      <c r="G817" s="16">
        <f>+(TblDetalle[[#This Row],[MontoBrutoProm_Mes]]/TblDetalle[[#This Row],[UnidadesProm_Mes]])*TblDetalle[[#This Row],[Unidades]]</f>
        <v>0</v>
      </c>
      <c r="H817" s="8">
        <v>0.67</v>
      </c>
      <c r="I817" s="9">
        <v>96.07</v>
      </c>
      <c r="J817">
        <f>+TblDetalle[[#This Row],[Monto A Rebajhar]]/TblDetalle[[#This Row],[MontoBrutoProm_Mes]]</f>
        <v>0</v>
      </c>
    </row>
    <row r="818" spans="1:10" x14ac:dyDescent="0.3">
      <c r="A818" s="7">
        <v>102</v>
      </c>
      <c r="B818" s="7" t="s">
        <v>384</v>
      </c>
      <c r="C818" s="7">
        <v>930025</v>
      </c>
      <c r="D818" s="7" t="s">
        <v>244</v>
      </c>
      <c r="E818" s="7" t="s">
        <v>243</v>
      </c>
      <c r="F818" s="7">
        <f t="shared" si="11"/>
        <v>0</v>
      </c>
      <c r="G818" s="16">
        <f>+(TblDetalle[[#This Row],[MontoBrutoProm_Mes]]/TblDetalle[[#This Row],[UnidadesProm_Mes]])*TblDetalle[[#This Row],[Unidades]]</f>
        <v>0</v>
      </c>
      <c r="H818" s="8">
        <v>1</v>
      </c>
      <c r="I818" s="9">
        <v>59.3</v>
      </c>
      <c r="J818">
        <f>+TblDetalle[[#This Row],[Monto A Rebajhar]]/TblDetalle[[#This Row],[MontoBrutoProm_Mes]]</f>
        <v>0</v>
      </c>
    </row>
    <row r="819" spans="1:10" x14ac:dyDescent="0.3">
      <c r="A819" s="7">
        <v>102</v>
      </c>
      <c r="B819" s="7" t="s">
        <v>384</v>
      </c>
      <c r="C819" s="7">
        <v>930026</v>
      </c>
      <c r="D819" s="7" t="s">
        <v>301</v>
      </c>
      <c r="E819" s="7" t="s">
        <v>243</v>
      </c>
      <c r="F819" s="7">
        <f t="shared" si="11"/>
        <v>0</v>
      </c>
      <c r="G819" s="16">
        <f>+(TblDetalle[[#This Row],[MontoBrutoProm_Mes]]/TblDetalle[[#This Row],[UnidadesProm_Mes]])*TblDetalle[[#This Row],[Unidades]]</f>
        <v>0</v>
      </c>
      <c r="H819" s="8">
        <v>0.67</v>
      </c>
      <c r="I819" s="9">
        <v>39.53</v>
      </c>
      <c r="J819">
        <f>+TblDetalle[[#This Row],[Monto A Rebajhar]]/TblDetalle[[#This Row],[MontoBrutoProm_Mes]]</f>
        <v>0</v>
      </c>
    </row>
    <row r="820" spans="1:10" x14ac:dyDescent="0.3">
      <c r="A820" s="7">
        <v>102</v>
      </c>
      <c r="B820" s="7" t="s">
        <v>384</v>
      </c>
      <c r="C820" s="7">
        <v>930028</v>
      </c>
      <c r="D820" s="7" t="s">
        <v>302</v>
      </c>
      <c r="E820" s="7" t="s">
        <v>243</v>
      </c>
      <c r="F820" s="7">
        <f t="shared" si="11"/>
        <v>0</v>
      </c>
      <c r="G820" s="16">
        <f>+(TblDetalle[[#This Row],[MontoBrutoProm_Mes]]/TblDetalle[[#This Row],[UnidadesProm_Mes]])*TblDetalle[[#This Row],[Unidades]]</f>
        <v>0</v>
      </c>
      <c r="H820" s="8">
        <v>0.67</v>
      </c>
      <c r="I820" s="9">
        <v>62.15</v>
      </c>
      <c r="J820">
        <f>+TblDetalle[[#This Row],[Monto A Rebajhar]]/TblDetalle[[#This Row],[MontoBrutoProm_Mes]]</f>
        <v>0</v>
      </c>
    </row>
    <row r="821" spans="1:10" x14ac:dyDescent="0.3">
      <c r="A821" s="7">
        <v>102</v>
      </c>
      <c r="B821" s="7" t="s">
        <v>384</v>
      </c>
      <c r="C821" s="7">
        <v>930034</v>
      </c>
      <c r="D821" s="7" t="s">
        <v>266</v>
      </c>
      <c r="E821" s="7" t="s">
        <v>243</v>
      </c>
      <c r="F821" s="7">
        <f t="shared" si="11"/>
        <v>1</v>
      </c>
      <c r="G821" s="16">
        <f>+(TblDetalle[[#This Row],[MontoBrutoProm_Mes]]/TblDetalle[[#This Row],[UnidadesProm_Mes]])*TblDetalle[[#This Row],[Unidades]]</f>
        <v>89.225563909774436</v>
      </c>
      <c r="H821" s="8">
        <v>1.33</v>
      </c>
      <c r="I821" s="9">
        <v>118.67</v>
      </c>
      <c r="J821">
        <f>+TblDetalle[[#This Row],[Monto A Rebajhar]]/TblDetalle[[#This Row],[MontoBrutoProm_Mes]]</f>
        <v>0.75187969924812026</v>
      </c>
    </row>
    <row r="822" spans="1:10" x14ac:dyDescent="0.3">
      <c r="A822" s="7">
        <v>102</v>
      </c>
      <c r="B822" s="7" t="s">
        <v>384</v>
      </c>
      <c r="C822" s="7">
        <v>930104</v>
      </c>
      <c r="D822" s="7" t="s">
        <v>328</v>
      </c>
      <c r="E822" s="7" t="s">
        <v>243</v>
      </c>
      <c r="F822" s="7">
        <f t="shared" ref="F822:F885" si="12">+ROUNDDOWN(H822*0.8,0)</f>
        <v>0</v>
      </c>
      <c r="G822" s="16">
        <f>+(TblDetalle[[#This Row],[MontoBrutoProm_Mes]]/TblDetalle[[#This Row],[UnidadesProm_Mes]])*TblDetalle[[#This Row],[Unidades]]</f>
        <v>0</v>
      </c>
      <c r="H822" s="8">
        <v>1</v>
      </c>
      <c r="I822" s="9">
        <v>89</v>
      </c>
      <c r="J822">
        <f>+TblDetalle[[#This Row],[Monto A Rebajhar]]/TblDetalle[[#This Row],[MontoBrutoProm_Mes]]</f>
        <v>0</v>
      </c>
    </row>
    <row r="823" spans="1:10" x14ac:dyDescent="0.3">
      <c r="A823" s="7">
        <v>102</v>
      </c>
      <c r="B823" s="7" t="s">
        <v>384</v>
      </c>
      <c r="C823" s="7">
        <v>930113</v>
      </c>
      <c r="D823" s="7" t="s">
        <v>303</v>
      </c>
      <c r="E823" s="7" t="s">
        <v>243</v>
      </c>
      <c r="F823" s="7">
        <f t="shared" si="12"/>
        <v>0</v>
      </c>
      <c r="G823" s="16">
        <f>+(TblDetalle[[#This Row],[MontoBrutoProm_Mes]]/TblDetalle[[#This Row],[UnidadesProm_Mes]])*TblDetalle[[#This Row],[Unidades]]</f>
        <v>0</v>
      </c>
      <c r="H823" s="8">
        <v>1</v>
      </c>
      <c r="I823" s="9">
        <v>161</v>
      </c>
      <c r="J823">
        <f>+TblDetalle[[#This Row],[Monto A Rebajhar]]/TblDetalle[[#This Row],[MontoBrutoProm_Mes]]</f>
        <v>0</v>
      </c>
    </row>
    <row r="824" spans="1:10" x14ac:dyDescent="0.3">
      <c r="A824" s="7">
        <v>102</v>
      </c>
      <c r="B824" s="7" t="s">
        <v>384</v>
      </c>
      <c r="C824" s="7">
        <v>930121</v>
      </c>
      <c r="D824" s="7" t="s">
        <v>304</v>
      </c>
      <c r="E824" s="7" t="s">
        <v>243</v>
      </c>
      <c r="F824" s="7">
        <f t="shared" si="12"/>
        <v>0</v>
      </c>
      <c r="G824" s="16">
        <f>+(TblDetalle[[#This Row],[MontoBrutoProm_Mes]]/TblDetalle[[#This Row],[UnidadesProm_Mes]])*TblDetalle[[#This Row],[Unidades]]</f>
        <v>0</v>
      </c>
      <c r="H824" s="8">
        <v>0.67</v>
      </c>
      <c r="I824" s="9">
        <v>39.53</v>
      </c>
      <c r="J824">
        <f>+TblDetalle[[#This Row],[Monto A Rebajhar]]/TblDetalle[[#This Row],[MontoBrutoProm_Mes]]</f>
        <v>0</v>
      </c>
    </row>
    <row r="825" spans="1:10" x14ac:dyDescent="0.3">
      <c r="A825" s="7">
        <v>102</v>
      </c>
      <c r="B825" s="7" t="s">
        <v>384</v>
      </c>
      <c r="C825" s="7">
        <v>930153</v>
      </c>
      <c r="D825" s="7" t="s">
        <v>282</v>
      </c>
      <c r="E825" s="7" t="s">
        <v>243</v>
      </c>
      <c r="F825" s="7">
        <f t="shared" si="12"/>
        <v>0</v>
      </c>
      <c r="G825" s="16">
        <f>+(TblDetalle[[#This Row],[MontoBrutoProm_Mes]]/TblDetalle[[#This Row],[UnidadesProm_Mes]])*TblDetalle[[#This Row],[Unidades]]</f>
        <v>0</v>
      </c>
      <c r="H825" s="8">
        <v>0.67</v>
      </c>
      <c r="I825" s="9">
        <v>107.35</v>
      </c>
      <c r="J825">
        <f>+TblDetalle[[#This Row],[Monto A Rebajhar]]/TblDetalle[[#This Row],[MontoBrutoProm_Mes]]</f>
        <v>0</v>
      </c>
    </row>
    <row r="826" spans="1:10" x14ac:dyDescent="0.3">
      <c r="A826" s="7">
        <v>102</v>
      </c>
      <c r="B826" s="7" t="s">
        <v>384</v>
      </c>
      <c r="C826" s="7">
        <v>930154</v>
      </c>
      <c r="D826" s="7" t="s">
        <v>245</v>
      </c>
      <c r="E826" s="7" t="s">
        <v>243</v>
      </c>
      <c r="F826" s="7">
        <f t="shared" si="12"/>
        <v>2</v>
      </c>
      <c r="G826" s="16">
        <f>+(TblDetalle[[#This Row],[MontoBrutoProm_Mes]]/TblDetalle[[#This Row],[UnidadesProm_Mes]])*TblDetalle[[#This Row],[Unidades]]</f>
        <v>178</v>
      </c>
      <c r="H826" s="8">
        <v>3</v>
      </c>
      <c r="I826" s="9">
        <v>267</v>
      </c>
      <c r="J826">
        <f>+TblDetalle[[#This Row],[Monto A Rebajhar]]/TblDetalle[[#This Row],[MontoBrutoProm_Mes]]</f>
        <v>0.66666666666666663</v>
      </c>
    </row>
    <row r="827" spans="1:10" x14ac:dyDescent="0.3">
      <c r="A827" s="7">
        <v>102</v>
      </c>
      <c r="B827" s="7" t="s">
        <v>384</v>
      </c>
      <c r="C827" s="7">
        <v>982005</v>
      </c>
      <c r="D827" s="7" t="s">
        <v>285</v>
      </c>
      <c r="E827" s="7" t="s">
        <v>270</v>
      </c>
      <c r="F827" s="7">
        <f t="shared" si="12"/>
        <v>6</v>
      </c>
      <c r="G827" s="16">
        <f>+(TblDetalle[[#This Row],[MontoBrutoProm_Mes]]/TblDetalle[[#This Row],[UnidadesProm_Mes]])*TblDetalle[[#This Row],[Unidades]]</f>
        <v>922.09908735332465</v>
      </c>
      <c r="H827" s="8">
        <v>7.67</v>
      </c>
      <c r="I827" s="9">
        <v>1178.75</v>
      </c>
      <c r="J827">
        <f>+TblDetalle[[#This Row],[Monto A Rebajhar]]/TblDetalle[[#This Row],[MontoBrutoProm_Mes]]</f>
        <v>0.78226857887874834</v>
      </c>
    </row>
    <row r="828" spans="1:10" x14ac:dyDescent="0.3">
      <c r="A828" s="7">
        <v>104</v>
      </c>
      <c r="B828" s="7" t="s">
        <v>387</v>
      </c>
      <c r="C828" s="7">
        <v>101026</v>
      </c>
      <c r="D828" s="7" t="s">
        <v>233</v>
      </c>
      <c r="E828" s="7" t="s">
        <v>215</v>
      </c>
      <c r="F828" s="7">
        <f t="shared" si="12"/>
        <v>9</v>
      </c>
      <c r="G828" s="16">
        <f>+(TblDetalle[[#This Row],[MontoBrutoProm_Mes]]/TblDetalle[[#This Row],[UnidadesProm_Mes]])*TblDetalle[[#This Row],[Unidades]]</f>
        <v>297.54000000000002</v>
      </c>
      <c r="H828" s="8">
        <v>12</v>
      </c>
      <c r="I828" s="9">
        <v>396.72</v>
      </c>
      <c r="J828">
        <f>+TblDetalle[[#This Row],[Monto A Rebajhar]]/TblDetalle[[#This Row],[MontoBrutoProm_Mes]]</f>
        <v>0.75</v>
      </c>
    </row>
    <row r="829" spans="1:10" x14ac:dyDescent="0.3">
      <c r="A829" s="7">
        <v>104</v>
      </c>
      <c r="B829" s="7" t="s">
        <v>387</v>
      </c>
      <c r="C829" s="7">
        <v>101028</v>
      </c>
      <c r="D829" s="7" t="s">
        <v>214</v>
      </c>
      <c r="E829" s="7" t="s">
        <v>215</v>
      </c>
      <c r="F829" s="7">
        <f t="shared" si="12"/>
        <v>9</v>
      </c>
      <c r="G829" s="16">
        <f>+(TblDetalle[[#This Row],[MontoBrutoProm_Mes]]/TblDetalle[[#This Row],[UnidadesProm_Mes]])*TblDetalle[[#This Row],[Unidades]]</f>
        <v>885.59999999999991</v>
      </c>
      <c r="H829" s="8">
        <v>12</v>
      </c>
      <c r="I829" s="9">
        <v>1180.8</v>
      </c>
      <c r="J829">
        <f>+TblDetalle[[#This Row],[Monto A Rebajhar]]/TblDetalle[[#This Row],[MontoBrutoProm_Mes]]</f>
        <v>0.75</v>
      </c>
    </row>
    <row r="830" spans="1:10" x14ac:dyDescent="0.3">
      <c r="A830" s="7">
        <v>106</v>
      </c>
      <c r="B830" s="7" t="s">
        <v>388</v>
      </c>
      <c r="C830" s="7">
        <v>101005</v>
      </c>
      <c r="D830" s="7" t="s">
        <v>232</v>
      </c>
      <c r="E830" s="7" t="s">
        <v>215</v>
      </c>
      <c r="F830" s="7">
        <f t="shared" si="12"/>
        <v>8</v>
      </c>
      <c r="G830" s="16">
        <f>+(TblDetalle[[#This Row],[MontoBrutoProm_Mes]]/TblDetalle[[#This Row],[UnidadesProm_Mes]])*TblDetalle[[#This Row],[Unidades]]</f>
        <v>575.52</v>
      </c>
      <c r="H830" s="8">
        <v>10</v>
      </c>
      <c r="I830" s="9">
        <v>719.4</v>
      </c>
      <c r="J830">
        <f>+TblDetalle[[#This Row],[Monto A Rebajhar]]/TblDetalle[[#This Row],[MontoBrutoProm_Mes]]</f>
        <v>0.8</v>
      </c>
    </row>
    <row r="831" spans="1:10" x14ac:dyDescent="0.3">
      <c r="A831" s="7">
        <v>106</v>
      </c>
      <c r="B831" s="7" t="s">
        <v>388</v>
      </c>
      <c r="C831" s="7">
        <v>101027</v>
      </c>
      <c r="D831" s="7" t="s">
        <v>234</v>
      </c>
      <c r="E831" s="7" t="s">
        <v>215</v>
      </c>
      <c r="F831" s="7">
        <f t="shared" si="12"/>
        <v>6</v>
      </c>
      <c r="G831" s="16">
        <f>+(TblDetalle[[#This Row],[MontoBrutoProm_Mes]]/TblDetalle[[#This Row],[UnidadesProm_Mes]])*TblDetalle[[#This Row],[Unidades]]</f>
        <v>431.64</v>
      </c>
      <c r="H831" s="8">
        <v>8</v>
      </c>
      <c r="I831" s="9">
        <v>575.52</v>
      </c>
      <c r="J831">
        <f>+TblDetalle[[#This Row],[Monto A Rebajhar]]/TblDetalle[[#This Row],[MontoBrutoProm_Mes]]</f>
        <v>0.75</v>
      </c>
    </row>
    <row r="832" spans="1:10" x14ac:dyDescent="0.3">
      <c r="A832" s="7">
        <v>106</v>
      </c>
      <c r="B832" s="7" t="s">
        <v>388</v>
      </c>
      <c r="C832" s="7">
        <v>101028</v>
      </c>
      <c r="D832" s="7" t="s">
        <v>214</v>
      </c>
      <c r="E832" s="7" t="s">
        <v>215</v>
      </c>
      <c r="F832" s="7">
        <f t="shared" si="12"/>
        <v>4</v>
      </c>
      <c r="G832" s="16">
        <f>+(TblDetalle[[#This Row],[MontoBrutoProm_Mes]]/TblDetalle[[#This Row],[UnidadesProm_Mes]])*TblDetalle[[#This Row],[Unidades]]</f>
        <v>385.72</v>
      </c>
      <c r="H832" s="8">
        <v>6</v>
      </c>
      <c r="I832" s="9">
        <v>578.58000000000004</v>
      </c>
      <c r="J832">
        <f>+TblDetalle[[#This Row],[Monto A Rebajhar]]/TblDetalle[[#This Row],[MontoBrutoProm_Mes]]</f>
        <v>0.66666666666666663</v>
      </c>
    </row>
    <row r="833" spans="1:10" x14ac:dyDescent="0.3">
      <c r="A833" s="7">
        <v>106</v>
      </c>
      <c r="B833" s="7" t="s">
        <v>388</v>
      </c>
      <c r="C833" s="7">
        <v>101038</v>
      </c>
      <c r="D833" s="7" t="s">
        <v>235</v>
      </c>
      <c r="E833" s="7" t="s">
        <v>215</v>
      </c>
      <c r="F833" s="7">
        <f t="shared" si="12"/>
        <v>2</v>
      </c>
      <c r="G833" s="16">
        <f>+(TblDetalle[[#This Row],[MontoBrutoProm_Mes]]/TblDetalle[[#This Row],[UnidadesProm_Mes]])*TblDetalle[[#This Row],[Unidades]]</f>
        <v>720.70270270270271</v>
      </c>
      <c r="H833" s="8">
        <v>3.33</v>
      </c>
      <c r="I833" s="9">
        <v>1199.97</v>
      </c>
      <c r="J833">
        <f>+TblDetalle[[#This Row],[Monto A Rebajhar]]/TblDetalle[[#This Row],[MontoBrutoProm_Mes]]</f>
        <v>0.60060060060060061</v>
      </c>
    </row>
    <row r="834" spans="1:10" x14ac:dyDescent="0.3">
      <c r="A834" s="7">
        <v>128</v>
      </c>
      <c r="B834" s="7" t="s">
        <v>389</v>
      </c>
      <c r="C834" s="7">
        <v>101038</v>
      </c>
      <c r="D834" s="7" t="s">
        <v>235</v>
      </c>
      <c r="E834" s="7" t="s">
        <v>215</v>
      </c>
      <c r="F834" s="7">
        <f t="shared" si="12"/>
        <v>0</v>
      </c>
      <c r="G834" s="16">
        <f>+(TblDetalle[[#This Row],[MontoBrutoProm_Mes]]/TblDetalle[[#This Row],[UnidadesProm_Mes]])*TblDetalle[[#This Row],[Unidades]]</f>
        <v>0</v>
      </c>
      <c r="H834" s="8">
        <v>0.67</v>
      </c>
      <c r="I834" s="9">
        <v>257.06</v>
      </c>
      <c r="J834">
        <f>+TblDetalle[[#This Row],[Monto A Rebajhar]]/TblDetalle[[#This Row],[MontoBrutoProm_Mes]]</f>
        <v>0</v>
      </c>
    </row>
    <row r="835" spans="1:10" x14ac:dyDescent="0.3">
      <c r="A835" s="7">
        <v>128</v>
      </c>
      <c r="B835" s="7" t="s">
        <v>389</v>
      </c>
      <c r="C835" s="7">
        <v>103001</v>
      </c>
      <c r="D835" s="7" t="s">
        <v>248</v>
      </c>
      <c r="E835" s="7" t="s">
        <v>215</v>
      </c>
      <c r="F835" s="7">
        <f t="shared" si="12"/>
        <v>15</v>
      </c>
      <c r="G835" s="16">
        <f>+(TblDetalle[[#This Row],[MontoBrutoProm_Mes]]/TblDetalle[[#This Row],[UnidadesProm_Mes]])*TblDetalle[[#This Row],[Unidades]]</f>
        <v>331.35</v>
      </c>
      <c r="H835" s="8">
        <v>19</v>
      </c>
      <c r="I835" s="9">
        <v>419.71</v>
      </c>
      <c r="J835">
        <f>+TblDetalle[[#This Row],[Monto A Rebajhar]]/TblDetalle[[#This Row],[MontoBrutoProm_Mes]]</f>
        <v>0.78947368421052644</v>
      </c>
    </row>
    <row r="836" spans="1:10" x14ac:dyDescent="0.3">
      <c r="A836" s="7">
        <v>128</v>
      </c>
      <c r="B836" s="7" t="s">
        <v>389</v>
      </c>
      <c r="C836" s="7">
        <v>201001</v>
      </c>
      <c r="D836" s="7" t="s">
        <v>216</v>
      </c>
      <c r="E836" s="7" t="s">
        <v>217</v>
      </c>
      <c r="F836" s="7">
        <f t="shared" si="12"/>
        <v>1</v>
      </c>
      <c r="G836" s="16">
        <f>+(TblDetalle[[#This Row],[MontoBrutoProm_Mes]]/TblDetalle[[#This Row],[UnidadesProm_Mes]])*TblDetalle[[#This Row],[Unidades]]</f>
        <v>238.55639097744358</v>
      </c>
      <c r="H836" s="8">
        <v>1.33</v>
      </c>
      <c r="I836" s="9">
        <v>317.27999999999997</v>
      </c>
      <c r="J836">
        <f>+TblDetalle[[#This Row],[Monto A Rebajhar]]/TblDetalle[[#This Row],[MontoBrutoProm_Mes]]</f>
        <v>0.75187969924812026</v>
      </c>
    </row>
    <row r="837" spans="1:10" x14ac:dyDescent="0.3">
      <c r="A837" s="7">
        <v>128</v>
      </c>
      <c r="B837" s="7" t="s">
        <v>389</v>
      </c>
      <c r="C837" s="7">
        <v>501000</v>
      </c>
      <c r="D837" s="7" t="s">
        <v>237</v>
      </c>
      <c r="E837" s="7" t="s">
        <v>217</v>
      </c>
      <c r="F837" s="7">
        <f t="shared" si="12"/>
        <v>0</v>
      </c>
      <c r="G837" s="16">
        <f>+(TblDetalle[[#This Row],[MontoBrutoProm_Mes]]/TblDetalle[[#This Row],[UnidadesProm_Mes]])*TblDetalle[[#This Row],[Unidades]]</f>
        <v>0</v>
      </c>
      <c r="H837" s="8">
        <v>1</v>
      </c>
      <c r="I837" s="9">
        <v>122.88</v>
      </c>
      <c r="J837">
        <f>+TblDetalle[[#This Row],[Monto A Rebajhar]]/TblDetalle[[#This Row],[MontoBrutoProm_Mes]]</f>
        <v>0</v>
      </c>
    </row>
    <row r="838" spans="1:10" x14ac:dyDescent="0.3">
      <c r="A838" s="7">
        <v>128</v>
      </c>
      <c r="B838" s="7" t="s">
        <v>389</v>
      </c>
      <c r="C838" s="7">
        <v>611092</v>
      </c>
      <c r="D838" s="7" t="s">
        <v>348</v>
      </c>
      <c r="E838" s="7" t="s">
        <v>294</v>
      </c>
      <c r="F838" s="7">
        <f t="shared" si="12"/>
        <v>0</v>
      </c>
      <c r="G838" s="16">
        <f>+(TblDetalle[[#This Row],[MontoBrutoProm_Mes]]/TblDetalle[[#This Row],[UnidadesProm_Mes]])*TblDetalle[[#This Row],[Unidades]]</f>
        <v>0</v>
      </c>
      <c r="H838" s="8">
        <v>0.33</v>
      </c>
      <c r="I838" s="9">
        <v>67.8</v>
      </c>
      <c r="J838">
        <f>+TblDetalle[[#This Row],[Monto A Rebajhar]]/TblDetalle[[#This Row],[MontoBrutoProm_Mes]]</f>
        <v>0</v>
      </c>
    </row>
    <row r="839" spans="1:10" x14ac:dyDescent="0.3">
      <c r="A839" s="7">
        <v>128</v>
      </c>
      <c r="B839" s="7" t="s">
        <v>389</v>
      </c>
      <c r="C839" s="7">
        <v>800088</v>
      </c>
      <c r="D839" s="7" t="s">
        <v>240</v>
      </c>
      <c r="E839" s="7" t="s">
        <v>215</v>
      </c>
      <c r="F839" s="7">
        <f t="shared" si="12"/>
        <v>0</v>
      </c>
      <c r="G839" s="16">
        <f>+(TblDetalle[[#This Row],[MontoBrutoProm_Mes]]/TblDetalle[[#This Row],[UnidadesProm_Mes]])*TblDetalle[[#This Row],[Unidades]]</f>
        <v>0</v>
      </c>
      <c r="H839" s="8">
        <v>0.33</v>
      </c>
      <c r="I839" s="9">
        <v>127.12</v>
      </c>
      <c r="J839">
        <f>+TblDetalle[[#This Row],[Monto A Rebajhar]]/TblDetalle[[#This Row],[MontoBrutoProm_Mes]]</f>
        <v>0</v>
      </c>
    </row>
    <row r="840" spans="1:10" x14ac:dyDescent="0.3">
      <c r="A840" s="7">
        <v>128</v>
      </c>
      <c r="B840" s="7" t="s">
        <v>389</v>
      </c>
      <c r="C840" s="7">
        <v>800089</v>
      </c>
      <c r="D840" s="7" t="s">
        <v>241</v>
      </c>
      <c r="E840" s="7" t="s">
        <v>215</v>
      </c>
      <c r="F840" s="7">
        <f t="shared" si="12"/>
        <v>0</v>
      </c>
      <c r="G840" s="16">
        <f>+(TblDetalle[[#This Row],[MontoBrutoProm_Mes]]/TblDetalle[[#This Row],[UnidadesProm_Mes]])*TblDetalle[[#This Row],[Unidades]]</f>
        <v>0</v>
      </c>
      <c r="H840" s="8">
        <v>0.33</v>
      </c>
      <c r="I840" s="9">
        <v>127.12</v>
      </c>
      <c r="J840">
        <f>+TblDetalle[[#This Row],[Monto A Rebajhar]]/TblDetalle[[#This Row],[MontoBrutoProm_Mes]]</f>
        <v>0</v>
      </c>
    </row>
    <row r="841" spans="1:10" x14ac:dyDescent="0.3">
      <c r="A841" s="7">
        <v>198</v>
      </c>
      <c r="B841" s="7" t="s">
        <v>390</v>
      </c>
      <c r="C841" s="7">
        <v>101005</v>
      </c>
      <c r="D841" s="7" t="s">
        <v>232</v>
      </c>
      <c r="E841" s="7" t="s">
        <v>215</v>
      </c>
      <c r="F841" s="7">
        <f t="shared" si="12"/>
        <v>8</v>
      </c>
      <c r="G841" s="16">
        <f>+(TblDetalle[[#This Row],[MontoBrutoProm_Mes]]/TblDetalle[[#This Row],[UnidadesProm_Mes]])*TblDetalle[[#This Row],[Unidades]]</f>
        <v>620.31999999999994</v>
      </c>
      <c r="H841" s="8">
        <v>10</v>
      </c>
      <c r="I841" s="9">
        <v>775.4</v>
      </c>
      <c r="J841">
        <f>+TblDetalle[[#This Row],[Monto A Rebajhar]]/TblDetalle[[#This Row],[MontoBrutoProm_Mes]]</f>
        <v>0.79999999999999993</v>
      </c>
    </row>
    <row r="842" spans="1:10" x14ac:dyDescent="0.3">
      <c r="A842" s="7">
        <v>198</v>
      </c>
      <c r="B842" s="7" t="s">
        <v>390</v>
      </c>
      <c r="C842" s="7">
        <v>101026</v>
      </c>
      <c r="D842" s="7" t="s">
        <v>233</v>
      </c>
      <c r="E842" s="7" t="s">
        <v>215</v>
      </c>
      <c r="F842" s="7">
        <f t="shared" si="12"/>
        <v>19</v>
      </c>
      <c r="G842" s="16">
        <f>+(TblDetalle[[#This Row],[MontoBrutoProm_Mes]]/TblDetalle[[#This Row],[UnidadesProm_Mes]])*TblDetalle[[#This Row],[Unidades]]</f>
        <v>663.48</v>
      </c>
      <c r="H842" s="8">
        <v>24</v>
      </c>
      <c r="I842" s="9">
        <v>838.08</v>
      </c>
      <c r="J842">
        <f>+TblDetalle[[#This Row],[Monto A Rebajhar]]/TblDetalle[[#This Row],[MontoBrutoProm_Mes]]</f>
        <v>0.79166666666666663</v>
      </c>
    </row>
    <row r="843" spans="1:10" x14ac:dyDescent="0.3">
      <c r="A843" s="7">
        <v>198</v>
      </c>
      <c r="B843" s="7" t="s">
        <v>390</v>
      </c>
      <c r="C843" s="7">
        <v>101027</v>
      </c>
      <c r="D843" s="7" t="s">
        <v>234</v>
      </c>
      <c r="E843" s="7" t="s">
        <v>215</v>
      </c>
      <c r="F843" s="7">
        <f t="shared" si="12"/>
        <v>6</v>
      </c>
      <c r="G843" s="16">
        <f>+(TblDetalle[[#This Row],[MontoBrutoProm_Mes]]/TblDetalle[[#This Row],[UnidadesProm_Mes]])*TblDetalle[[#This Row],[Unidades]]</f>
        <v>465.24</v>
      </c>
      <c r="H843" s="8">
        <v>8</v>
      </c>
      <c r="I843" s="9">
        <v>620.32000000000005</v>
      </c>
      <c r="J843">
        <f>+TblDetalle[[#This Row],[Monto A Rebajhar]]/TblDetalle[[#This Row],[MontoBrutoProm_Mes]]</f>
        <v>0.75</v>
      </c>
    </row>
    <row r="844" spans="1:10" x14ac:dyDescent="0.3">
      <c r="A844" s="7">
        <v>198</v>
      </c>
      <c r="B844" s="7" t="s">
        <v>390</v>
      </c>
      <c r="C844" s="7">
        <v>101028</v>
      </c>
      <c r="D844" s="7" t="s">
        <v>214</v>
      </c>
      <c r="E844" s="7" t="s">
        <v>215</v>
      </c>
      <c r="F844" s="7">
        <f t="shared" si="12"/>
        <v>9</v>
      </c>
      <c r="G844" s="16">
        <f>+(TblDetalle[[#This Row],[MontoBrutoProm_Mes]]/TblDetalle[[#This Row],[UnidadesProm_Mes]])*TblDetalle[[#This Row],[Unidades]]</f>
        <v>892.34999999999991</v>
      </c>
      <c r="H844" s="8">
        <v>12</v>
      </c>
      <c r="I844" s="9">
        <v>1189.8</v>
      </c>
      <c r="J844">
        <f>+TblDetalle[[#This Row],[Monto A Rebajhar]]/TblDetalle[[#This Row],[MontoBrutoProm_Mes]]</f>
        <v>0.75</v>
      </c>
    </row>
    <row r="845" spans="1:10" x14ac:dyDescent="0.3">
      <c r="A845" s="7">
        <v>198</v>
      </c>
      <c r="B845" s="7" t="s">
        <v>390</v>
      </c>
      <c r="C845" s="7">
        <v>201001</v>
      </c>
      <c r="D845" s="7" t="s">
        <v>216</v>
      </c>
      <c r="E845" s="7" t="s">
        <v>217</v>
      </c>
      <c r="F845" s="7">
        <f t="shared" si="12"/>
        <v>0</v>
      </c>
      <c r="G845" s="16">
        <f>+(TblDetalle[[#This Row],[MontoBrutoProm_Mes]]/TblDetalle[[#This Row],[UnidadesProm_Mes]])*TblDetalle[[#This Row],[Unidades]]</f>
        <v>0</v>
      </c>
      <c r="H845" s="8">
        <v>0.67</v>
      </c>
      <c r="I845" s="9">
        <v>158.63999999999999</v>
      </c>
      <c r="J845">
        <f>+TblDetalle[[#This Row],[Monto A Rebajhar]]/TblDetalle[[#This Row],[MontoBrutoProm_Mes]]</f>
        <v>0</v>
      </c>
    </row>
    <row r="846" spans="1:10" x14ac:dyDescent="0.3">
      <c r="A846" s="7">
        <v>198</v>
      </c>
      <c r="B846" s="7" t="s">
        <v>390</v>
      </c>
      <c r="C846" s="7">
        <v>611048</v>
      </c>
      <c r="D846" s="7" t="s">
        <v>250</v>
      </c>
      <c r="E846" s="7" t="s">
        <v>217</v>
      </c>
      <c r="F846" s="7">
        <f t="shared" si="12"/>
        <v>13</v>
      </c>
      <c r="G846" s="16">
        <f>+(TblDetalle[[#This Row],[MontoBrutoProm_Mes]]/TblDetalle[[#This Row],[UnidadesProm_Mes]])*TblDetalle[[#This Row],[Unidades]]</f>
        <v>203.14937012597477</v>
      </c>
      <c r="H846" s="8">
        <v>16.670000000000002</v>
      </c>
      <c r="I846" s="9">
        <v>260.5</v>
      </c>
      <c r="J846">
        <f>+TblDetalle[[#This Row],[Monto A Rebajhar]]/TblDetalle[[#This Row],[MontoBrutoProm_Mes]]</f>
        <v>0.77984403119376111</v>
      </c>
    </row>
    <row r="847" spans="1:10" x14ac:dyDescent="0.3">
      <c r="A847" s="7">
        <v>198</v>
      </c>
      <c r="B847" s="7" t="s">
        <v>390</v>
      </c>
      <c r="C847" s="7">
        <v>611052</v>
      </c>
      <c r="D847" s="7" t="s">
        <v>252</v>
      </c>
      <c r="E847" s="7" t="s">
        <v>217</v>
      </c>
      <c r="F847" s="7">
        <f t="shared" si="12"/>
        <v>6</v>
      </c>
      <c r="G847" s="16">
        <f>+(TblDetalle[[#This Row],[MontoBrutoProm_Mes]]/TblDetalle[[#This Row],[UnidadesProm_Mes]])*TblDetalle[[#This Row],[Unidades]]</f>
        <v>132.18</v>
      </c>
      <c r="H847" s="8">
        <v>8</v>
      </c>
      <c r="I847" s="9">
        <v>176.24</v>
      </c>
      <c r="J847">
        <f>+TblDetalle[[#This Row],[Monto A Rebajhar]]/TblDetalle[[#This Row],[MontoBrutoProm_Mes]]</f>
        <v>0.75</v>
      </c>
    </row>
    <row r="848" spans="1:10" x14ac:dyDescent="0.3">
      <c r="A848" s="7">
        <v>198</v>
      </c>
      <c r="B848" s="7" t="s">
        <v>390</v>
      </c>
      <c r="C848" s="7">
        <v>611053</v>
      </c>
      <c r="D848" s="7" t="s">
        <v>253</v>
      </c>
      <c r="E848" s="7" t="s">
        <v>217</v>
      </c>
      <c r="F848" s="7">
        <f t="shared" si="12"/>
        <v>12</v>
      </c>
      <c r="G848" s="16">
        <f>+(TblDetalle[[#This Row],[MontoBrutoProm_Mes]]/TblDetalle[[#This Row],[UnidadesProm_Mes]])*TblDetalle[[#This Row],[Unidades]]</f>
        <v>264.36</v>
      </c>
      <c r="H848" s="8">
        <v>16</v>
      </c>
      <c r="I848" s="9">
        <v>352.48</v>
      </c>
      <c r="J848">
        <f>+TblDetalle[[#This Row],[Monto A Rebajhar]]/TblDetalle[[#This Row],[MontoBrutoProm_Mes]]</f>
        <v>0.75</v>
      </c>
    </row>
    <row r="849" spans="1:10" x14ac:dyDescent="0.3">
      <c r="A849" s="7">
        <v>198</v>
      </c>
      <c r="B849" s="7" t="s">
        <v>390</v>
      </c>
      <c r="C849" s="7">
        <v>611055</v>
      </c>
      <c r="D849" s="7" t="s">
        <v>254</v>
      </c>
      <c r="E849" s="7" t="s">
        <v>217</v>
      </c>
      <c r="F849" s="7">
        <f t="shared" si="12"/>
        <v>8</v>
      </c>
      <c r="G849" s="16">
        <f>+(TblDetalle[[#This Row],[MontoBrutoProm_Mes]]/TblDetalle[[#This Row],[UnidadesProm_Mes]])*TblDetalle[[#This Row],[Unidades]]</f>
        <v>677.70571696344894</v>
      </c>
      <c r="H849" s="8">
        <v>10.67</v>
      </c>
      <c r="I849" s="9">
        <v>903.89</v>
      </c>
      <c r="J849">
        <f>+TblDetalle[[#This Row],[Monto A Rebajhar]]/TblDetalle[[#This Row],[MontoBrutoProm_Mes]]</f>
        <v>0.7497656982193065</v>
      </c>
    </row>
    <row r="850" spans="1:10" x14ac:dyDescent="0.3">
      <c r="A850" s="7">
        <v>198</v>
      </c>
      <c r="B850" s="7" t="s">
        <v>390</v>
      </c>
      <c r="C850" s="7">
        <v>621045</v>
      </c>
      <c r="D850" s="7" t="s">
        <v>238</v>
      </c>
      <c r="E850" s="7" t="s">
        <v>239</v>
      </c>
      <c r="F850" s="7">
        <f t="shared" si="12"/>
        <v>3</v>
      </c>
      <c r="G850" s="16">
        <f>+(TblDetalle[[#This Row],[MontoBrutoProm_Mes]]/TblDetalle[[#This Row],[UnidadesProm_Mes]])*TblDetalle[[#This Row],[Unidades]]</f>
        <v>509.37</v>
      </c>
      <c r="H850" s="8">
        <v>4</v>
      </c>
      <c r="I850" s="9">
        <v>679.16</v>
      </c>
      <c r="J850">
        <f>+TblDetalle[[#This Row],[Monto A Rebajhar]]/TblDetalle[[#This Row],[MontoBrutoProm_Mes]]</f>
        <v>0.75</v>
      </c>
    </row>
    <row r="851" spans="1:10" x14ac:dyDescent="0.3">
      <c r="A851" s="7">
        <v>198</v>
      </c>
      <c r="B851" s="7" t="s">
        <v>390</v>
      </c>
      <c r="C851" s="7">
        <v>930028</v>
      </c>
      <c r="D851" s="7" t="s">
        <v>302</v>
      </c>
      <c r="E851" s="7" t="s">
        <v>243</v>
      </c>
      <c r="F851" s="7">
        <f t="shared" si="12"/>
        <v>0</v>
      </c>
      <c r="G851" s="16">
        <f>+(TblDetalle[[#This Row],[MontoBrutoProm_Mes]]/TblDetalle[[#This Row],[UnidadesProm_Mes]])*TblDetalle[[#This Row],[Unidades]]</f>
        <v>0</v>
      </c>
      <c r="H851" s="8">
        <v>1</v>
      </c>
      <c r="I851" s="9">
        <v>93.22</v>
      </c>
      <c r="J851">
        <f>+TblDetalle[[#This Row],[Monto A Rebajhar]]/TblDetalle[[#This Row],[MontoBrutoProm_Mes]]</f>
        <v>0</v>
      </c>
    </row>
    <row r="852" spans="1:10" x14ac:dyDescent="0.3">
      <c r="A852" s="7">
        <v>198</v>
      </c>
      <c r="B852" s="7" t="s">
        <v>390</v>
      </c>
      <c r="C852" s="7">
        <v>930137</v>
      </c>
      <c r="D852" s="7" t="s">
        <v>311</v>
      </c>
      <c r="E852" s="7" t="s">
        <v>243</v>
      </c>
      <c r="F852" s="7">
        <f t="shared" si="12"/>
        <v>1</v>
      </c>
      <c r="G852" s="16">
        <f>+(TblDetalle[[#This Row],[MontoBrutoProm_Mes]]/TblDetalle[[#This Row],[UnidadesProm_Mes]])*TblDetalle[[#This Row],[Unidades]]</f>
        <v>28.684210526315788</v>
      </c>
      <c r="H852" s="8">
        <v>1.33</v>
      </c>
      <c r="I852" s="9">
        <v>38.15</v>
      </c>
      <c r="J852">
        <f>+TblDetalle[[#This Row],[Monto A Rebajhar]]/TblDetalle[[#This Row],[MontoBrutoProm_Mes]]</f>
        <v>0.75187969924812026</v>
      </c>
    </row>
    <row r="853" spans="1:10" x14ac:dyDescent="0.3">
      <c r="A853" s="7">
        <v>198</v>
      </c>
      <c r="B853" s="7" t="s">
        <v>390</v>
      </c>
      <c r="C853" s="7">
        <v>930138</v>
      </c>
      <c r="D853" s="7" t="s">
        <v>312</v>
      </c>
      <c r="E853" s="7" t="s">
        <v>243</v>
      </c>
      <c r="F853" s="7">
        <f t="shared" si="12"/>
        <v>1</v>
      </c>
      <c r="G853" s="16">
        <f>+(TblDetalle[[#This Row],[MontoBrutoProm_Mes]]/TblDetalle[[#This Row],[UnidadesProm_Mes]])*TblDetalle[[#This Row],[Unidades]]</f>
        <v>28.684210526315788</v>
      </c>
      <c r="H853" s="8">
        <v>1.33</v>
      </c>
      <c r="I853" s="9">
        <v>38.15</v>
      </c>
      <c r="J853">
        <f>+TblDetalle[[#This Row],[Monto A Rebajhar]]/TblDetalle[[#This Row],[MontoBrutoProm_Mes]]</f>
        <v>0.75187969924812026</v>
      </c>
    </row>
    <row r="854" spans="1:10" x14ac:dyDescent="0.3">
      <c r="A854" s="7">
        <v>198</v>
      </c>
      <c r="B854" s="7" t="s">
        <v>390</v>
      </c>
      <c r="C854" s="7">
        <v>930140</v>
      </c>
      <c r="D854" s="7" t="s">
        <v>314</v>
      </c>
      <c r="E854" s="7" t="s">
        <v>243</v>
      </c>
      <c r="F854" s="7">
        <f t="shared" si="12"/>
        <v>1</v>
      </c>
      <c r="G854" s="16">
        <f>+(TblDetalle[[#This Row],[MontoBrutoProm_Mes]]/TblDetalle[[#This Row],[UnidadesProm_Mes]])*TblDetalle[[#This Row],[Unidades]]</f>
        <v>28.684210526315788</v>
      </c>
      <c r="H854" s="8">
        <v>1.33</v>
      </c>
      <c r="I854" s="9">
        <v>38.15</v>
      </c>
      <c r="J854">
        <f>+TblDetalle[[#This Row],[Monto A Rebajhar]]/TblDetalle[[#This Row],[MontoBrutoProm_Mes]]</f>
        <v>0.75187969924812026</v>
      </c>
    </row>
    <row r="855" spans="1:10" x14ac:dyDescent="0.3">
      <c r="A855" s="7">
        <v>198</v>
      </c>
      <c r="B855" s="7" t="s">
        <v>390</v>
      </c>
      <c r="C855" s="7">
        <v>930144</v>
      </c>
      <c r="D855" s="7" t="s">
        <v>315</v>
      </c>
      <c r="E855" s="7" t="s">
        <v>243</v>
      </c>
      <c r="F855" s="7">
        <f t="shared" si="12"/>
        <v>1</v>
      </c>
      <c r="G855" s="16">
        <f>+(TblDetalle[[#This Row],[MontoBrutoProm_Mes]]/TblDetalle[[#This Row],[UnidadesProm_Mes]])*TblDetalle[[#This Row],[Unidades]]</f>
        <v>28.684210526315788</v>
      </c>
      <c r="H855" s="8">
        <v>1.33</v>
      </c>
      <c r="I855" s="9">
        <v>38.15</v>
      </c>
      <c r="J855">
        <f>+TblDetalle[[#This Row],[Monto A Rebajhar]]/TblDetalle[[#This Row],[MontoBrutoProm_Mes]]</f>
        <v>0.75187969924812026</v>
      </c>
    </row>
    <row r="856" spans="1:10" x14ac:dyDescent="0.3">
      <c r="A856" s="7">
        <v>198</v>
      </c>
      <c r="B856" s="7" t="s">
        <v>390</v>
      </c>
      <c r="C856" s="7">
        <v>930145</v>
      </c>
      <c r="D856" s="7" t="s">
        <v>316</v>
      </c>
      <c r="E856" s="7" t="s">
        <v>243</v>
      </c>
      <c r="F856" s="7">
        <f t="shared" si="12"/>
        <v>1</v>
      </c>
      <c r="G856" s="16">
        <f>+(TblDetalle[[#This Row],[MontoBrutoProm_Mes]]/TblDetalle[[#This Row],[UnidadesProm_Mes]])*TblDetalle[[#This Row],[Unidades]]</f>
        <v>28.684210526315788</v>
      </c>
      <c r="H856" s="8">
        <v>1.33</v>
      </c>
      <c r="I856" s="9">
        <v>38.15</v>
      </c>
      <c r="J856">
        <f>+TblDetalle[[#This Row],[Monto A Rebajhar]]/TblDetalle[[#This Row],[MontoBrutoProm_Mes]]</f>
        <v>0.75187969924812026</v>
      </c>
    </row>
    <row r="857" spans="1:10" x14ac:dyDescent="0.3">
      <c r="A857" s="7">
        <v>198</v>
      </c>
      <c r="B857" s="7" t="s">
        <v>390</v>
      </c>
      <c r="C857" s="7">
        <v>930177</v>
      </c>
      <c r="D857" s="7" t="s">
        <v>317</v>
      </c>
      <c r="E857" s="7" t="s">
        <v>243</v>
      </c>
      <c r="F857" s="7">
        <f t="shared" si="12"/>
        <v>2</v>
      </c>
      <c r="G857" s="16">
        <f>+(TblDetalle[[#This Row],[MontoBrutoProm_Mes]]/TblDetalle[[#This Row],[UnidadesProm_Mes]])*TblDetalle[[#This Row],[Unidades]]</f>
        <v>57.146067415730343</v>
      </c>
      <c r="H857" s="8">
        <v>2.67</v>
      </c>
      <c r="I857" s="9">
        <v>76.290000000000006</v>
      </c>
      <c r="J857">
        <f>+TblDetalle[[#This Row],[Monto A Rebajhar]]/TblDetalle[[#This Row],[MontoBrutoProm_Mes]]</f>
        <v>0.74906367041198507</v>
      </c>
    </row>
    <row r="858" spans="1:10" x14ac:dyDescent="0.3">
      <c r="A858" s="7">
        <v>198</v>
      </c>
      <c r="B858" s="7" t="s">
        <v>390</v>
      </c>
      <c r="C858" s="7">
        <v>930178</v>
      </c>
      <c r="D858" s="7" t="s">
        <v>267</v>
      </c>
      <c r="E858" s="7" t="s">
        <v>243</v>
      </c>
      <c r="F858" s="7">
        <f t="shared" si="12"/>
        <v>2</v>
      </c>
      <c r="G858" s="16">
        <f>+(TblDetalle[[#This Row],[MontoBrutoProm_Mes]]/TblDetalle[[#This Row],[UnidadesProm_Mes]])*TblDetalle[[#This Row],[Unidades]]</f>
        <v>57.166212534059952</v>
      </c>
      <c r="H858" s="8">
        <v>3.67</v>
      </c>
      <c r="I858" s="9">
        <v>104.9</v>
      </c>
      <c r="J858">
        <f>+TblDetalle[[#This Row],[Monto A Rebajhar]]/TblDetalle[[#This Row],[MontoBrutoProm_Mes]]</f>
        <v>0.54495912806539515</v>
      </c>
    </row>
    <row r="859" spans="1:10" x14ac:dyDescent="0.3">
      <c r="A859" s="7">
        <v>199</v>
      </c>
      <c r="B859" s="7" t="s">
        <v>391</v>
      </c>
      <c r="C859" s="7">
        <v>101005</v>
      </c>
      <c r="D859" s="7" t="s">
        <v>232</v>
      </c>
      <c r="E859" s="7" t="s">
        <v>215</v>
      </c>
      <c r="F859" s="7">
        <f t="shared" si="12"/>
        <v>27</v>
      </c>
      <c r="G859" s="16">
        <f>+(TblDetalle[[#This Row],[MontoBrutoProm_Mes]]/TblDetalle[[#This Row],[UnidadesProm_Mes]])*TblDetalle[[#This Row],[Unidades]]</f>
        <v>1982.07</v>
      </c>
      <c r="H859" s="8">
        <v>34</v>
      </c>
      <c r="I859" s="9">
        <v>2495.94</v>
      </c>
      <c r="J859">
        <f>+TblDetalle[[#This Row],[Monto A Rebajhar]]/TblDetalle[[#This Row],[MontoBrutoProm_Mes]]</f>
        <v>0.79411764705882348</v>
      </c>
    </row>
    <row r="860" spans="1:10" x14ac:dyDescent="0.3">
      <c r="A860" s="7">
        <v>199</v>
      </c>
      <c r="B860" s="7" t="s">
        <v>391</v>
      </c>
      <c r="C860" s="7">
        <v>101026</v>
      </c>
      <c r="D860" s="7" t="s">
        <v>233</v>
      </c>
      <c r="E860" s="7" t="s">
        <v>215</v>
      </c>
      <c r="F860" s="7">
        <f t="shared" si="12"/>
        <v>20</v>
      </c>
      <c r="G860" s="16">
        <f>+(TblDetalle[[#This Row],[MontoBrutoProm_Mes]]/TblDetalle[[#This Row],[UnidadesProm_Mes]])*TblDetalle[[#This Row],[Unidades]]</f>
        <v>681.23076923076928</v>
      </c>
      <c r="H860" s="8">
        <v>26</v>
      </c>
      <c r="I860" s="9">
        <v>885.6</v>
      </c>
      <c r="J860">
        <f>+TblDetalle[[#This Row],[Monto A Rebajhar]]/TblDetalle[[#This Row],[MontoBrutoProm_Mes]]</f>
        <v>0.76923076923076927</v>
      </c>
    </row>
    <row r="861" spans="1:10" x14ac:dyDescent="0.3">
      <c r="A861" s="7">
        <v>199</v>
      </c>
      <c r="B861" s="7" t="s">
        <v>391</v>
      </c>
      <c r="C861" s="7">
        <v>101027</v>
      </c>
      <c r="D861" s="7" t="s">
        <v>234</v>
      </c>
      <c r="E861" s="7" t="s">
        <v>215</v>
      </c>
      <c r="F861" s="7">
        <f t="shared" si="12"/>
        <v>47</v>
      </c>
      <c r="G861" s="16">
        <f>+(TblDetalle[[#This Row],[MontoBrutoProm_Mes]]/TblDetalle[[#This Row],[UnidadesProm_Mes]])*TblDetalle[[#This Row],[Unidades]]</f>
        <v>3487.5457609978089</v>
      </c>
      <c r="H861" s="8">
        <v>59.33</v>
      </c>
      <c r="I861" s="9">
        <v>4402.47</v>
      </c>
      <c r="J861">
        <f>+TblDetalle[[#This Row],[Monto A Rebajhar]]/TblDetalle[[#This Row],[MontoBrutoProm_Mes]]</f>
        <v>0.79217933591774814</v>
      </c>
    </row>
    <row r="862" spans="1:10" x14ac:dyDescent="0.3">
      <c r="A862" s="7">
        <v>199</v>
      </c>
      <c r="B862" s="7" t="s">
        <v>391</v>
      </c>
      <c r="C862" s="7">
        <v>101028</v>
      </c>
      <c r="D862" s="7" t="s">
        <v>214</v>
      </c>
      <c r="E862" s="7" t="s">
        <v>215</v>
      </c>
      <c r="F862" s="7">
        <f t="shared" si="12"/>
        <v>55</v>
      </c>
      <c r="G862" s="16">
        <f>+(TblDetalle[[#This Row],[MontoBrutoProm_Mes]]/TblDetalle[[#This Row],[UnidadesProm_Mes]])*TblDetalle[[#This Row],[Unidades]]</f>
        <v>5420.5899322082796</v>
      </c>
      <c r="H862" s="8">
        <v>69.33</v>
      </c>
      <c r="I862" s="9">
        <v>6832.9</v>
      </c>
      <c r="J862">
        <f>+TblDetalle[[#This Row],[Monto A Rebajhar]]/TblDetalle[[#This Row],[MontoBrutoProm_Mes]]</f>
        <v>0.79330737054666101</v>
      </c>
    </row>
    <row r="863" spans="1:10" x14ac:dyDescent="0.3">
      <c r="A863" s="7">
        <v>199</v>
      </c>
      <c r="B863" s="7" t="s">
        <v>391</v>
      </c>
      <c r="C863" s="7">
        <v>101034</v>
      </c>
      <c r="D863" s="7" t="s">
        <v>272</v>
      </c>
      <c r="E863" s="7" t="s">
        <v>215</v>
      </c>
      <c r="F863" s="7">
        <f t="shared" si="12"/>
        <v>6</v>
      </c>
      <c r="G863" s="16">
        <f>+(TblDetalle[[#This Row],[MontoBrutoProm_Mes]]/TblDetalle[[#This Row],[UnidadesProm_Mes]])*TblDetalle[[#This Row],[Unidades]]</f>
        <v>1397.7647058823529</v>
      </c>
      <c r="H863" s="8">
        <v>8.67</v>
      </c>
      <c r="I863" s="9">
        <v>2019.77</v>
      </c>
      <c r="J863">
        <f>+TblDetalle[[#This Row],[Monto A Rebajhar]]/TblDetalle[[#This Row],[MontoBrutoProm_Mes]]</f>
        <v>0.69204152249134943</v>
      </c>
    </row>
    <row r="864" spans="1:10" x14ac:dyDescent="0.3">
      <c r="A864" s="7">
        <v>199</v>
      </c>
      <c r="B864" s="7" t="s">
        <v>391</v>
      </c>
      <c r="C864" s="7">
        <v>101038</v>
      </c>
      <c r="D864" s="7" t="s">
        <v>235</v>
      </c>
      <c r="E864" s="7" t="s">
        <v>215</v>
      </c>
      <c r="F864" s="7">
        <f t="shared" si="12"/>
        <v>70</v>
      </c>
      <c r="G864" s="16">
        <f>+(TblDetalle[[#This Row],[MontoBrutoProm_Mes]]/TblDetalle[[#This Row],[UnidadesProm_Mes]])*TblDetalle[[#This Row],[Unidades]]</f>
        <v>25541.552412455803</v>
      </c>
      <c r="H864" s="8">
        <v>87.67</v>
      </c>
      <c r="I864" s="9">
        <v>31988.97</v>
      </c>
      <c r="J864">
        <f>+TblDetalle[[#This Row],[Monto A Rebajhar]]/TblDetalle[[#This Row],[MontoBrutoProm_Mes]]</f>
        <v>0.79844872818524015</v>
      </c>
    </row>
    <row r="865" spans="1:10" x14ac:dyDescent="0.3">
      <c r="A865" s="7">
        <v>199</v>
      </c>
      <c r="B865" s="7" t="s">
        <v>391</v>
      </c>
      <c r="C865" s="7">
        <v>101124</v>
      </c>
      <c r="D865" s="7" t="s">
        <v>322</v>
      </c>
      <c r="E865" s="7" t="s">
        <v>215</v>
      </c>
      <c r="F865" s="7">
        <f t="shared" si="12"/>
        <v>3</v>
      </c>
      <c r="G865" s="16">
        <f>+(TblDetalle[[#This Row],[MontoBrutoProm_Mes]]/TblDetalle[[#This Row],[UnidadesProm_Mes]])*TblDetalle[[#This Row],[Unidades]]</f>
        <v>221.10000000000002</v>
      </c>
      <c r="H865" s="8">
        <v>4</v>
      </c>
      <c r="I865" s="9">
        <v>294.8</v>
      </c>
      <c r="J865">
        <f>+TblDetalle[[#This Row],[Monto A Rebajhar]]/TblDetalle[[#This Row],[MontoBrutoProm_Mes]]</f>
        <v>0.75</v>
      </c>
    </row>
    <row r="866" spans="1:10" x14ac:dyDescent="0.3">
      <c r="A866" s="7">
        <v>199</v>
      </c>
      <c r="B866" s="7" t="s">
        <v>391</v>
      </c>
      <c r="C866" s="7">
        <v>101130</v>
      </c>
      <c r="D866" s="7" t="s">
        <v>247</v>
      </c>
      <c r="E866" s="7" t="s">
        <v>215</v>
      </c>
      <c r="F866" s="7">
        <f t="shared" si="12"/>
        <v>2</v>
      </c>
      <c r="G866" s="16">
        <f>+(TblDetalle[[#This Row],[MontoBrutoProm_Mes]]/TblDetalle[[#This Row],[UnidadesProm_Mes]])*TblDetalle[[#This Row],[Unidades]]</f>
        <v>2.247191011235955E-2</v>
      </c>
      <c r="H866" s="8">
        <v>2.67</v>
      </c>
      <c r="I866" s="9">
        <v>0.03</v>
      </c>
      <c r="J866">
        <f>+TblDetalle[[#This Row],[Monto A Rebajhar]]/TblDetalle[[#This Row],[MontoBrutoProm_Mes]]</f>
        <v>0.74906367041198507</v>
      </c>
    </row>
    <row r="867" spans="1:10" x14ac:dyDescent="0.3">
      <c r="A867" s="7">
        <v>199</v>
      </c>
      <c r="B867" s="7" t="s">
        <v>391</v>
      </c>
      <c r="C867" s="7">
        <v>103001</v>
      </c>
      <c r="D867" s="7" t="s">
        <v>248</v>
      </c>
      <c r="E867" s="7" t="s">
        <v>215</v>
      </c>
      <c r="F867" s="7">
        <f t="shared" si="12"/>
        <v>164</v>
      </c>
      <c r="G867" s="16">
        <f>+(TblDetalle[[#This Row],[MontoBrutoProm_Mes]]/TblDetalle[[#This Row],[UnidadesProm_Mes]])*TblDetalle[[#This Row],[Unidades]]</f>
        <v>3523.5718446601941</v>
      </c>
      <c r="H867" s="8">
        <v>206</v>
      </c>
      <c r="I867" s="9">
        <v>4425.95</v>
      </c>
      <c r="J867">
        <f>+TblDetalle[[#This Row],[Monto A Rebajhar]]/TblDetalle[[#This Row],[MontoBrutoProm_Mes]]</f>
        <v>0.79611650485436891</v>
      </c>
    </row>
    <row r="868" spans="1:10" x14ac:dyDescent="0.3">
      <c r="A868" s="7">
        <v>199</v>
      </c>
      <c r="B868" s="7" t="s">
        <v>391</v>
      </c>
      <c r="C868" s="7">
        <v>103202</v>
      </c>
      <c r="D868" s="7" t="s">
        <v>287</v>
      </c>
      <c r="E868" s="7" t="s">
        <v>215</v>
      </c>
      <c r="F868" s="7">
        <f t="shared" si="12"/>
        <v>3</v>
      </c>
      <c r="G868" s="16">
        <f>+(TblDetalle[[#This Row],[MontoBrutoProm_Mes]]/TblDetalle[[#This Row],[UnidadesProm_Mes]])*TblDetalle[[#This Row],[Unidades]]</f>
        <v>293.21999999999997</v>
      </c>
      <c r="H868" s="8">
        <v>4</v>
      </c>
      <c r="I868" s="9">
        <v>390.96</v>
      </c>
      <c r="J868">
        <f>+TblDetalle[[#This Row],[Monto A Rebajhar]]/TblDetalle[[#This Row],[MontoBrutoProm_Mes]]</f>
        <v>0.75</v>
      </c>
    </row>
    <row r="869" spans="1:10" x14ac:dyDescent="0.3">
      <c r="A869" s="7">
        <v>199</v>
      </c>
      <c r="B869" s="7" t="s">
        <v>391</v>
      </c>
      <c r="C869" s="7">
        <v>103208</v>
      </c>
      <c r="D869" s="7" t="s">
        <v>236</v>
      </c>
      <c r="E869" s="7" t="s">
        <v>215</v>
      </c>
      <c r="F869" s="7">
        <f t="shared" si="12"/>
        <v>7</v>
      </c>
      <c r="G869" s="16">
        <f>+(TblDetalle[[#This Row],[MontoBrutoProm_Mes]]/TblDetalle[[#This Row],[UnidadesProm_Mes]])*TblDetalle[[#This Row],[Unidades]]</f>
        <v>538.23</v>
      </c>
      <c r="H869" s="8">
        <v>9</v>
      </c>
      <c r="I869" s="9">
        <v>692.01</v>
      </c>
      <c r="J869">
        <f>+TblDetalle[[#This Row],[Monto A Rebajhar]]/TblDetalle[[#This Row],[MontoBrutoProm_Mes]]</f>
        <v>0.77777777777777779</v>
      </c>
    </row>
    <row r="870" spans="1:10" x14ac:dyDescent="0.3">
      <c r="A870" s="7">
        <v>199</v>
      </c>
      <c r="B870" s="7" t="s">
        <v>391</v>
      </c>
      <c r="C870" s="7">
        <v>201001</v>
      </c>
      <c r="D870" s="7" t="s">
        <v>216</v>
      </c>
      <c r="E870" s="7" t="s">
        <v>217</v>
      </c>
      <c r="F870" s="7">
        <f t="shared" si="12"/>
        <v>228</v>
      </c>
      <c r="G870" s="16">
        <f>+(TblDetalle[[#This Row],[MontoBrutoProm_Mes]]/TblDetalle[[#This Row],[UnidadesProm_Mes]])*TblDetalle[[#This Row],[Unidades]]</f>
        <v>50684.997902097901</v>
      </c>
      <c r="H870" s="8">
        <v>286</v>
      </c>
      <c r="I870" s="9">
        <v>63578.55</v>
      </c>
      <c r="J870">
        <f>+TblDetalle[[#This Row],[Monto A Rebajhar]]/TblDetalle[[#This Row],[MontoBrutoProm_Mes]]</f>
        <v>0.79720279720279719</v>
      </c>
    </row>
    <row r="871" spans="1:10" x14ac:dyDescent="0.3">
      <c r="A871" s="7">
        <v>199</v>
      </c>
      <c r="B871" s="7" t="s">
        <v>391</v>
      </c>
      <c r="C871" s="7">
        <v>220002</v>
      </c>
      <c r="D871" s="7" t="s">
        <v>358</v>
      </c>
      <c r="E871" s="7" t="s">
        <v>220</v>
      </c>
      <c r="F871" s="7">
        <f t="shared" si="12"/>
        <v>1</v>
      </c>
      <c r="G871" s="16">
        <f>+(TblDetalle[[#This Row],[MontoBrutoProm_Mes]]/TblDetalle[[#This Row],[UnidadesProm_Mes]])*TblDetalle[[#This Row],[Unidades]]</f>
        <v>256.89999999999998</v>
      </c>
      <c r="H871" s="8">
        <v>2</v>
      </c>
      <c r="I871" s="9">
        <v>513.79999999999995</v>
      </c>
      <c r="J871">
        <f>+TblDetalle[[#This Row],[Monto A Rebajhar]]/TblDetalle[[#This Row],[MontoBrutoProm_Mes]]</f>
        <v>0.5</v>
      </c>
    </row>
    <row r="872" spans="1:10" x14ac:dyDescent="0.3">
      <c r="A872" s="7">
        <v>199</v>
      </c>
      <c r="B872" s="7" t="s">
        <v>391</v>
      </c>
      <c r="C872" s="7">
        <v>220003</v>
      </c>
      <c r="D872" s="7" t="s">
        <v>359</v>
      </c>
      <c r="E872" s="7" t="s">
        <v>220</v>
      </c>
      <c r="F872" s="7">
        <f t="shared" si="12"/>
        <v>2</v>
      </c>
      <c r="G872" s="16">
        <f>+(TblDetalle[[#This Row],[MontoBrutoProm_Mes]]/TblDetalle[[#This Row],[UnidadesProm_Mes]])*TblDetalle[[#This Row],[Unidades]]</f>
        <v>524.80653950953683</v>
      </c>
      <c r="H872" s="8">
        <v>3.67</v>
      </c>
      <c r="I872" s="9">
        <v>963.02</v>
      </c>
      <c r="J872">
        <f>+TblDetalle[[#This Row],[Monto A Rebajhar]]/TblDetalle[[#This Row],[MontoBrutoProm_Mes]]</f>
        <v>0.54495912806539515</v>
      </c>
    </row>
    <row r="873" spans="1:10" x14ac:dyDescent="0.3">
      <c r="A873" s="7">
        <v>199</v>
      </c>
      <c r="B873" s="7" t="s">
        <v>391</v>
      </c>
      <c r="C873" s="7">
        <v>220004</v>
      </c>
      <c r="D873" s="7" t="s">
        <v>219</v>
      </c>
      <c r="E873" s="7" t="s">
        <v>220</v>
      </c>
      <c r="F873" s="7">
        <f t="shared" si="12"/>
        <v>2</v>
      </c>
      <c r="G873" s="16">
        <f>+(TblDetalle[[#This Row],[MontoBrutoProm_Mes]]/TblDetalle[[#This Row],[UnidadesProm_Mes]])*TblDetalle[[#This Row],[Unidades]]</f>
        <v>522.22</v>
      </c>
      <c r="H873" s="8">
        <v>3</v>
      </c>
      <c r="I873" s="9">
        <v>783.33</v>
      </c>
      <c r="J873">
        <f>+TblDetalle[[#This Row],[Monto A Rebajhar]]/TblDetalle[[#This Row],[MontoBrutoProm_Mes]]</f>
        <v>0.66666666666666663</v>
      </c>
    </row>
    <row r="874" spans="1:10" x14ac:dyDescent="0.3">
      <c r="A874" s="7">
        <v>199</v>
      </c>
      <c r="B874" s="7" t="s">
        <v>391</v>
      </c>
      <c r="C874" s="7">
        <v>501000</v>
      </c>
      <c r="D874" s="7" t="s">
        <v>237</v>
      </c>
      <c r="E874" s="7" t="s">
        <v>217</v>
      </c>
      <c r="F874" s="7">
        <f t="shared" si="12"/>
        <v>4</v>
      </c>
      <c r="G874" s="16">
        <f>+(TblDetalle[[#This Row],[MontoBrutoProm_Mes]]/TblDetalle[[#This Row],[UnidadesProm_Mes]])*TblDetalle[[#This Row],[Unidades]]</f>
        <v>461.36666666666662</v>
      </c>
      <c r="H874" s="8">
        <v>6</v>
      </c>
      <c r="I874" s="9">
        <v>692.05</v>
      </c>
      <c r="J874">
        <f>+TblDetalle[[#This Row],[Monto A Rebajhar]]/TblDetalle[[#This Row],[MontoBrutoProm_Mes]]</f>
        <v>0.66666666666666663</v>
      </c>
    </row>
    <row r="875" spans="1:10" x14ac:dyDescent="0.3">
      <c r="A875" s="7">
        <v>199</v>
      </c>
      <c r="B875" s="7" t="s">
        <v>391</v>
      </c>
      <c r="C875" s="7">
        <v>501137</v>
      </c>
      <c r="D875" s="7" t="s">
        <v>392</v>
      </c>
      <c r="E875" s="7" t="s">
        <v>393</v>
      </c>
      <c r="F875" s="7">
        <f t="shared" si="12"/>
        <v>12</v>
      </c>
      <c r="G875" s="16">
        <f>+(TblDetalle[[#This Row],[MontoBrutoProm_Mes]]/TblDetalle[[#This Row],[UnidadesProm_Mes]])*TblDetalle[[#This Row],[Unidades]]</f>
        <v>151.80000000000001</v>
      </c>
      <c r="H875" s="8">
        <v>16</v>
      </c>
      <c r="I875" s="9">
        <v>202.4</v>
      </c>
      <c r="J875">
        <f>+TblDetalle[[#This Row],[Monto A Rebajhar]]/TblDetalle[[#This Row],[MontoBrutoProm_Mes]]</f>
        <v>0.75</v>
      </c>
    </row>
    <row r="876" spans="1:10" x14ac:dyDescent="0.3">
      <c r="A876" s="7">
        <v>199</v>
      </c>
      <c r="B876" s="7" t="s">
        <v>391</v>
      </c>
      <c r="C876" s="7">
        <v>501138</v>
      </c>
      <c r="D876" s="7" t="s">
        <v>394</v>
      </c>
      <c r="E876" s="7" t="s">
        <v>393</v>
      </c>
      <c r="F876" s="7">
        <f t="shared" si="12"/>
        <v>0</v>
      </c>
      <c r="G876" s="16">
        <f>+(TblDetalle[[#This Row],[MontoBrutoProm_Mes]]/TblDetalle[[#This Row],[UnidadesProm_Mes]])*TblDetalle[[#This Row],[Unidades]]</f>
        <v>0</v>
      </c>
      <c r="H876" s="8">
        <v>0.33</v>
      </c>
      <c r="I876" s="9">
        <v>78.23</v>
      </c>
      <c r="J876">
        <f>+TblDetalle[[#This Row],[Monto A Rebajhar]]/TblDetalle[[#This Row],[MontoBrutoProm_Mes]]</f>
        <v>0</v>
      </c>
    </row>
    <row r="877" spans="1:10" x14ac:dyDescent="0.3">
      <c r="A877" s="7">
        <v>199</v>
      </c>
      <c r="B877" s="7" t="s">
        <v>391</v>
      </c>
      <c r="C877" s="7">
        <v>511005</v>
      </c>
      <c r="D877" s="7" t="s">
        <v>249</v>
      </c>
      <c r="E877" s="7" t="s">
        <v>217</v>
      </c>
      <c r="F877" s="7">
        <f t="shared" si="12"/>
        <v>1</v>
      </c>
      <c r="G877" s="16">
        <f>+(TblDetalle[[#This Row],[MontoBrutoProm_Mes]]/TblDetalle[[#This Row],[UnidadesProm_Mes]])*TblDetalle[[#This Row],[Unidades]]</f>
        <v>64.44</v>
      </c>
      <c r="H877" s="8">
        <v>2</v>
      </c>
      <c r="I877" s="9">
        <v>128.88</v>
      </c>
      <c r="J877">
        <f>+TblDetalle[[#This Row],[Monto A Rebajhar]]/TblDetalle[[#This Row],[MontoBrutoProm_Mes]]</f>
        <v>0.5</v>
      </c>
    </row>
    <row r="878" spans="1:10" x14ac:dyDescent="0.3">
      <c r="A878" s="7">
        <v>199</v>
      </c>
      <c r="B878" s="7" t="s">
        <v>391</v>
      </c>
      <c r="C878" s="7">
        <v>611049</v>
      </c>
      <c r="D878" s="7" t="s">
        <v>251</v>
      </c>
      <c r="E878" s="7" t="s">
        <v>217</v>
      </c>
      <c r="F878" s="7">
        <f t="shared" si="12"/>
        <v>3</v>
      </c>
      <c r="G878" s="16">
        <f>+(TblDetalle[[#This Row],[MontoBrutoProm_Mes]]/TblDetalle[[#This Row],[UnidadesProm_Mes]])*TblDetalle[[#This Row],[Unidades]]</f>
        <v>89.88</v>
      </c>
      <c r="H878" s="8">
        <v>4</v>
      </c>
      <c r="I878" s="9">
        <v>119.84</v>
      </c>
      <c r="J878">
        <f>+TblDetalle[[#This Row],[Monto A Rebajhar]]/TblDetalle[[#This Row],[MontoBrutoProm_Mes]]</f>
        <v>0.74999999999999989</v>
      </c>
    </row>
    <row r="879" spans="1:10" x14ac:dyDescent="0.3">
      <c r="A879" s="7">
        <v>199</v>
      </c>
      <c r="B879" s="7" t="s">
        <v>391</v>
      </c>
      <c r="C879" s="7">
        <v>611052</v>
      </c>
      <c r="D879" s="7" t="s">
        <v>252</v>
      </c>
      <c r="E879" s="7" t="s">
        <v>217</v>
      </c>
      <c r="F879" s="7">
        <f t="shared" si="12"/>
        <v>3</v>
      </c>
      <c r="G879" s="16">
        <f>+(TblDetalle[[#This Row],[MontoBrutoProm_Mes]]/TblDetalle[[#This Row],[UnidadesProm_Mes]])*TblDetalle[[#This Row],[Unidades]]</f>
        <v>60</v>
      </c>
      <c r="H879" s="8">
        <v>4</v>
      </c>
      <c r="I879" s="9">
        <v>80</v>
      </c>
      <c r="J879">
        <f>+TblDetalle[[#This Row],[Monto A Rebajhar]]/TblDetalle[[#This Row],[MontoBrutoProm_Mes]]</f>
        <v>0.75</v>
      </c>
    </row>
    <row r="880" spans="1:10" x14ac:dyDescent="0.3">
      <c r="A880" s="7">
        <v>199</v>
      </c>
      <c r="B880" s="7" t="s">
        <v>391</v>
      </c>
      <c r="C880" s="7">
        <v>611053</v>
      </c>
      <c r="D880" s="7" t="s">
        <v>253</v>
      </c>
      <c r="E880" s="7" t="s">
        <v>217</v>
      </c>
      <c r="F880" s="7">
        <f t="shared" si="12"/>
        <v>12</v>
      </c>
      <c r="G880" s="16">
        <f>+(TblDetalle[[#This Row],[MontoBrutoProm_Mes]]/TblDetalle[[#This Row],[UnidadesProm_Mes]])*TblDetalle[[#This Row],[Unidades]]</f>
        <v>252.18</v>
      </c>
      <c r="H880" s="8">
        <v>16</v>
      </c>
      <c r="I880" s="9">
        <v>336.24</v>
      </c>
      <c r="J880">
        <f>+TblDetalle[[#This Row],[Monto A Rebajhar]]/TblDetalle[[#This Row],[MontoBrutoProm_Mes]]</f>
        <v>0.75</v>
      </c>
    </row>
    <row r="881" spans="1:10" x14ac:dyDescent="0.3">
      <c r="A881" s="7">
        <v>199</v>
      </c>
      <c r="B881" s="7" t="s">
        <v>391</v>
      </c>
      <c r="C881" s="7">
        <v>611055</v>
      </c>
      <c r="D881" s="7" t="s">
        <v>254</v>
      </c>
      <c r="E881" s="7" t="s">
        <v>217</v>
      </c>
      <c r="F881" s="7">
        <f t="shared" si="12"/>
        <v>6</v>
      </c>
      <c r="G881" s="16">
        <f>+(TblDetalle[[#This Row],[MontoBrutoProm_Mes]]/TblDetalle[[#This Row],[UnidadesProm_Mes]])*TblDetalle[[#This Row],[Unidades]]</f>
        <v>482.76</v>
      </c>
      <c r="H881" s="8">
        <v>8</v>
      </c>
      <c r="I881" s="9">
        <v>643.67999999999995</v>
      </c>
      <c r="J881">
        <f>+TblDetalle[[#This Row],[Monto A Rebajhar]]/TblDetalle[[#This Row],[MontoBrutoProm_Mes]]</f>
        <v>0.75</v>
      </c>
    </row>
    <row r="882" spans="1:10" x14ac:dyDescent="0.3">
      <c r="A882" s="7">
        <v>199</v>
      </c>
      <c r="B882" s="7" t="s">
        <v>391</v>
      </c>
      <c r="C882" s="7">
        <v>611092</v>
      </c>
      <c r="D882" s="7" t="s">
        <v>348</v>
      </c>
      <c r="E882" s="7" t="s">
        <v>294</v>
      </c>
      <c r="F882" s="7">
        <f t="shared" si="12"/>
        <v>0</v>
      </c>
      <c r="G882" s="16">
        <f>+(TblDetalle[[#This Row],[MontoBrutoProm_Mes]]/TblDetalle[[#This Row],[UnidadesProm_Mes]])*TblDetalle[[#This Row],[Unidades]]</f>
        <v>0</v>
      </c>
      <c r="H882" s="8">
        <v>1</v>
      </c>
      <c r="I882" s="9">
        <v>194.92</v>
      </c>
      <c r="J882">
        <f>+TblDetalle[[#This Row],[Monto A Rebajhar]]/TblDetalle[[#This Row],[MontoBrutoProm_Mes]]</f>
        <v>0</v>
      </c>
    </row>
    <row r="883" spans="1:10" x14ac:dyDescent="0.3">
      <c r="A883" s="7">
        <v>199</v>
      </c>
      <c r="B883" s="7" t="s">
        <v>391</v>
      </c>
      <c r="C883" s="7">
        <v>611221</v>
      </c>
      <c r="D883" s="7" t="s">
        <v>293</v>
      </c>
      <c r="E883" s="7" t="s">
        <v>294</v>
      </c>
      <c r="F883" s="7">
        <f t="shared" si="12"/>
        <v>0</v>
      </c>
      <c r="G883" s="16">
        <f>+(TblDetalle[[#This Row],[MontoBrutoProm_Mes]]/TblDetalle[[#This Row],[UnidadesProm_Mes]])*TblDetalle[[#This Row],[Unidades]]</f>
        <v>0</v>
      </c>
      <c r="H883" s="8">
        <v>1</v>
      </c>
      <c r="I883" s="9">
        <v>194.92</v>
      </c>
      <c r="J883">
        <f>+TblDetalle[[#This Row],[Monto A Rebajhar]]/TblDetalle[[#This Row],[MontoBrutoProm_Mes]]</f>
        <v>0</v>
      </c>
    </row>
    <row r="884" spans="1:10" x14ac:dyDescent="0.3">
      <c r="A884" s="7">
        <v>199</v>
      </c>
      <c r="B884" s="7" t="s">
        <v>391</v>
      </c>
      <c r="C884" s="7">
        <v>621004</v>
      </c>
      <c r="D884" s="7" t="s">
        <v>256</v>
      </c>
      <c r="E884" s="7" t="s">
        <v>239</v>
      </c>
      <c r="F884" s="7">
        <f t="shared" si="12"/>
        <v>6</v>
      </c>
      <c r="G884" s="16">
        <f>+(TblDetalle[[#This Row],[MontoBrutoProm_Mes]]/TblDetalle[[#This Row],[UnidadesProm_Mes]])*TblDetalle[[#This Row],[Unidades]]</f>
        <v>1708.92</v>
      </c>
      <c r="H884" s="8">
        <v>8</v>
      </c>
      <c r="I884" s="9">
        <v>2278.56</v>
      </c>
      <c r="J884">
        <f>+TblDetalle[[#This Row],[Monto A Rebajhar]]/TblDetalle[[#This Row],[MontoBrutoProm_Mes]]</f>
        <v>0.75</v>
      </c>
    </row>
    <row r="885" spans="1:10" x14ac:dyDescent="0.3">
      <c r="A885" s="7">
        <v>199</v>
      </c>
      <c r="B885" s="7" t="s">
        <v>391</v>
      </c>
      <c r="C885" s="7">
        <v>621006</v>
      </c>
      <c r="D885" s="7" t="s">
        <v>288</v>
      </c>
      <c r="E885" s="7" t="s">
        <v>239</v>
      </c>
      <c r="F885" s="7">
        <f t="shared" si="12"/>
        <v>6</v>
      </c>
      <c r="G885" s="16">
        <f>+(TblDetalle[[#This Row],[MontoBrutoProm_Mes]]/TblDetalle[[#This Row],[UnidadesProm_Mes]])*TblDetalle[[#This Row],[Unidades]]</f>
        <v>1121.22</v>
      </c>
      <c r="H885" s="8">
        <v>8</v>
      </c>
      <c r="I885" s="9">
        <v>1494.96</v>
      </c>
      <c r="J885">
        <f>+TblDetalle[[#This Row],[Monto A Rebajhar]]/TblDetalle[[#This Row],[MontoBrutoProm_Mes]]</f>
        <v>0.75</v>
      </c>
    </row>
    <row r="886" spans="1:10" x14ac:dyDescent="0.3">
      <c r="A886" s="7">
        <v>199</v>
      </c>
      <c r="B886" s="7" t="s">
        <v>391</v>
      </c>
      <c r="C886" s="7">
        <v>621008</v>
      </c>
      <c r="D886" s="7" t="s">
        <v>289</v>
      </c>
      <c r="E886" s="7" t="s">
        <v>239</v>
      </c>
      <c r="F886" s="7">
        <f t="shared" ref="F886:F949" si="13">+ROUNDDOWN(H886*0.8,0)</f>
        <v>6</v>
      </c>
      <c r="G886" s="16">
        <f>+(TblDetalle[[#This Row],[MontoBrutoProm_Mes]]/TblDetalle[[#This Row],[UnidadesProm_Mes]])*TblDetalle[[#This Row],[Unidades]]</f>
        <v>1121.22</v>
      </c>
      <c r="H886" s="8">
        <v>8</v>
      </c>
      <c r="I886" s="9">
        <v>1494.96</v>
      </c>
      <c r="J886">
        <f>+TblDetalle[[#This Row],[Monto A Rebajhar]]/TblDetalle[[#This Row],[MontoBrutoProm_Mes]]</f>
        <v>0.75</v>
      </c>
    </row>
    <row r="887" spans="1:10" x14ac:dyDescent="0.3">
      <c r="A887" s="7">
        <v>199</v>
      </c>
      <c r="B887" s="7" t="s">
        <v>391</v>
      </c>
      <c r="C887" s="7">
        <v>621043</v>
      </c>
      <c r="D887" s="7" t="s">
        <v>257</v>
      </c>
      <c r="E887" s="7" t="s">
        <v>239</v>
      </c>
      <c r="F887" s="7">
        <f t="shared" si="13"/>
        <v>2</v>
      </c>
      <c r="G887" s="16">
        <f>+(TblDetalle[[#This Row],[MontoBrutoProm_Mes]]/TblDetalle[[#This Row],[UnidadesProm_Mes]])*TblDetalle[[#This Row],[Unidades]]</f>
        <v>0</v>
      </c>
      <c r="H887" s="8">
        <v>2.67</v>
      </c>
      <c r="I887" s="9">
        <v>0</v>
      </c>
      <c r="J887" t="e">
        <f>+TblDetalle[[#This Row],[Monto A Rebajhar]]/TblDetalle[[#This Row],[MontoBrutoProm_Mes]]</f>
        <v>#DIV/0!</v>
      </c>
    </row>
    <row r="888" spans="1:10" x14ac:dyDescent="0.3">
      <c r="A888" s="7">
        <v>199</v>
      </c>
      <c r="B888" s="7" t="s">
        <v>391</v>
      </c>
      <c r="C888" s="7">
        <v>621045</v>
      </c>
      <c r="D888" s="7" t="s">
        <v>238</v>
      </c>
      <c r="E888" s="7" t="s">
        <v>239</v>
      </c>
      <c r="F888" s="7">
        <f t="shared" si="13"/>
        <v>25</v>
      </c>
      <c r="G888" s="16">
        <f>+(TblDetalle[[#This Row],[MontoBrutoProm_Mes]]/TblDetalle[[#This Row],[UnidadesProm_Mes]])*TblDetalle[[#This Row],[Unidades]]</f>
        <v>4122.25</v>
      </c>
      <c r="H888" s="8">
        <v>32</v>
      </c>
      <c r="I888" s="9">
        <v>5276.48</v>
      </c>
      <c r="J888">
        <f>+TblDetalle[[#This Row],[Monto A Rebajhar]]/TblDetalle[[#This Row],[MontoBrutoProm_Mes]]</f>
        <v>0.78125000000000011</v>
      </c>
    </row>
    <row r="889" spans="1:10" x14ac:dyDescent="0.3">
      <c r="A889" s="7">
        <v>199</v>
      </c>
      <c r="B889" s="7" t="s">
        <v>391</v>
      </c>
      <c r="C889" s="7">
        <v>621055</v>
      </c>
      <c r="D889" s="7" t="s">
        <v>365</v>
      </c>
      <c r="E889" s="7" t="s">
        <v>239</v>
      </c>
      <c r="F889" s="7">
        <f t="shared" si="13"/>
        <v>0</v>
      </c>
      <c r="G889" s="16">
        <f>+(TblDetalle[[#This Row],[MontoBrutoProm_Mes]]/TblDetalle[[#This Row],[UnidadesProm_Mes]])*TblDetalle[[#This Row],[Unidades]]</f>
        <v>0</v>
      </c>
      <c r="H889" s="8">
        <v>1</v>
      </c>
      <c r="I889" s="9">
        <v>139.08000000000001</v>
      </c>
      <c r="J889">
        <f>+TblDetalle[[#This Row],[Monto A Rebajhar]]/TblDetalle[[#This Row],[MontoBrutoProm_Mes]]</f>
        <v>0</v>
      </c>
    </row>
    <row r="890" spans="1:10" x14ac:dyDescent="0.3">
      <c r="A890" s="7">
        <v>199</v>
      </c>
      <c r="B890" s="7" t="s">
        <v>391</v>
      </c>
      <c r="C890" s="7">
        <v>621057</v>
      </c>
      <c r="D890" s="7" t="s">
        <v>367</v>
      </c>
      <c r="E890" s="7" t="s">
        <v>239</v>
      </c>
      <c r="F890" s="7">
        <f t="shared" si="13"/>
        <v>0</v>
      </c>
      <c r="G890" s="16">
        <f>+(TblDetalle[[#This Row],[MontoBrutoProm_Mes]]/TblDetalle[[#This Row],[UnidadesProm_Mes]])*TblDetalle[[#This Row],[Unidades]]</f>
        <v>0</v>
      </c>
      <c r="H890" s="8">
        <v>1</v>
      </c>
      <c r="I890" s="9">
        <v>139.08000000000001</v>
      </c>
      <c r="J890">
        <f>+TblDetalle[[#This Row],[Monto A Rebajhar]]/TblDetalle[[#This Row],[MontoBrutoProm_Mes]]</f>
        <v>0</v>
      </c>
    </row>
    <row r="891" spans="1:10" x14ac:dyDescent="0.3">
      <c r="A891" s="7">
        <v>199</v>
      </c>
      <c r="B891" s="7" t="s">
        <v>391</v>
      </c>
      <c r="C891" s="7">
        <v>621058</v>
      </c>
      <c r="D891" s="7" t="s">
        <v>371</v>
      </c>
      <c r="E891" s="7" t="s">
        <v>239</v>
      </c>
      <c r="F891" s="7">
        <f t="shared" si="13"/>
        <v>1</v>
      </c>
      <c r="G891" s="16">
        <f>+(TblDetalle[[#This Row],[MontoBrutoProm_Mes]]/TblDetalle[[#This Row],[UnidadesProm_Mes]])*TblDetalle[[#This Row],[Unidades]]</f>
        <v>139.08000000000001</v>
      </c>
      <c r="H891" s="8">
        <v>2</v>
      </c>
      <c r="I891" s="9">
        <v>278.16000000000003</v>
      </c>
      <c r="J891">
        <f>+TblDetalle[[#This Row],[Monto A Rebajhar]]/TblDetalle[[#This Row],[MontoBrutoProm_Mes]]</f>
        <v>0.5</v>
      </c>
    </row>
    <row r="892" spans="1:10" x14ac:dyDescent="0.3">
      <c r="A892" s="7">
        <v>199</v>
      </c>
      <c r="B892" s="7" t="s">
        <v>391</v>
      </c>
      <c r="C892" s="7">
        <v>621059</v>
      </c>
      <c r="D892" s="7" t="s">
        <v>372</v>
      </c>
      <c r="E892" s="7" t="s">
        <v>239</v>
      </c>
      <c r="F892" s="7">
        <f t="shared" si="13"/>
        <v>1</v>
      </c>
      <c r="G892" s="16">
        <f>+(TblDetalle[[#This Row],[MontoBrutoProm_Mes]]/TblDetalle[[#This Row],[UnidadesProm_Mes]])*TblDetalle[[#This Row],[Unidades]]</f>
        <v>139.08000000000001</v>
      </c>
      <c r="H892" s="8">
        <v>2</v>
      </c>
      <c r="I892" s="9">
        <v>278.16000000000003</v>
      </c>
      <c r="J892">
        <f>+TblDetalle[[#This Row],[Monto A Rebajhar]]/TblDetalle[[#This Row],[MontoBrutoProm_Mes]]</f>
        <v>0.5</v>
      </c>
    </row>
    <row r="893" spans="1:10" x14ac:dyDescent="0.3">
      <c r="A893" s="7">
        <v>199</v>
      </c>
      <c r="B893" s="7" t="s">
        <v>391</v>
      </c>
      <c r="C893" s="7">
        <v>800088</v>
      </c>
      <c r="D893" s="7" t="s">
        <v>240</v>
      </c>
      <c r="E893" s="7" t="s">
        <v>215</v>
      </c>
      <c r="F893" s="7">
        <f t="shared" si="13"/>
        <v>17</v>
      </c>
      <c r="G893" s="16">
        <f>+(TblDetalle[[#This Row],[MontoBrutoProm_Mes]]/TblDetalle[[#This Row],[UnidadesProm_Mes]])*TblDetalle[[#This Row],[Unidades]]</f>
        <v>6195.9381153305212</v>
      </c>
      <c r="H893" s="8">
        <v>21.33</v>
      </c>
      <c r="I893" s="9">
        <v>7774.08</v>
      </c>
      <c r="J893">
        <f>+TblDetalle[[#This Row],[Monto A Rebajhar]]/TblDetalle[[#This Row],[MontoBrutoProm_Mes]]</f>
        <v>0.79699953117674649</v>
      </c>
    </row>
    <row r="894" spans="1:10" x14ac:dyDescent="0.3">
      <c r="A894" s="7">
        <v>199</v>
      </c>
      <c r="B894" s="7" t="s">
        <v>391</v>
      </c>
      <c r="C894" s="7">
        <v>800089</v>
      </c>
      <c r="D894" s="7" t="s">
        <v>241</v>
      </c>
      <c r="E894" s="7" t="s">
        <v>215</v>
      </c>
      <c r="F894" s="7">
        <f t="shared" si="13"/>
        <v>25</v>
      </c>
      <c r="G894" s="16">
        <f>+(TblDetalle[[#This Row],[MontoBrutoProm_Mes]]/TblDetalle[[#This Row],[UnidadesProm_Mes]])*TblDetalle[[#This Row],[Unidades]]</f>
        <v>9124.7366741142687</v>
      </c>
      <c r="H894" s="8">
        <v>31.33</v>
      </c>
      <c r="I894" s="9">
        <v>11435.12</v>
      </c>
      <c r="J894">
        <f>+TblDetalle[[#This Row],[Monto A Rebajhar]]/TblDetalle[[#This Row],[MontoBrutoProm_Mes]]</f>
        <v>0.79795722949249925</v>
      </c>
    </row>
    <row r="895" spans="1:10" x14ac:dyDescent="0.3">
      <c r="A895" s="7">
        <v>199</v>
      </c>
      <c r="B895" s="7" t="s">
        <v>391</v>
      </c>
      <c r="C895" s="7">
        <v>800791</v>
      </c>
      <c r="D895" s="7" t="s">
        <v>259</v>
      </c>
      <c r="E895" s="7" t="s">
        <v>243</v>
      </c>
      <c r="F895" s="7">
        <f t="shared" si="13"/>
        <v>0</v>
      </c>
      <c r="G895" s="16">
        <f>+(TblDetalle[[#This Row],[MontoBrutoProm_Mes]]/TblDetalle[[#This Row],[UnidadesProm_Mes]])*TblDetalle[[#This Row],[Unidades]]</f>
        <v>0</v>
      </c>
      <c r="H895" s="8">
        <v>0.33</v>
      </c>
      <c r="I895" s="9">
        <v>51.04</v>
      </c>
      <c r="J895">
        <f>+TblDetalle[[#This Row],[Monto A Rebajhar]]/TblDetalle[[#This Row],[MontoBrutoProm_Mes]]</f>
        <v>0</v>
      </c>
    </row>
    <row r="896" spans="1:10" x14ac:dyDescent="0.3">
      <c r="A896" s="7">
        <v>199</v>
      </c>
      <c r="B896" s="7" t="s">
        <v>391</v>
      </c>
      <c r="C896" s="7">
        <v>800792</v>
      </c>
      <c r="D896" s="7" t="s">
        <v>242</v>
      </c>
      <c r="E896" s="7" t="s">
        <v>243</v>
      </c>
      <c r="F896" s="7">
        <f t="shared" si="13"/>
        <v>4</v>
      </c>
      <c r="G896" s="16">
        <f>+(TblDetalle[[#This Row],[MontoBrutoProm_Mes]]/TblDetalle[[#This Row],[UnidadesProm_Mes]])*TblDetalle[[#This Row],[Unidades]]</f>
        <v>617.71333333333337</v>
      </c>
      <c r="H896" s="8">
        <v>6</v>
      </c>
      <c r="I896" s="9">
        <v>926.57</v>
      </c>
      <c r="J896">
        <f>+TblDetalle[[#This Row],[Monto A Rebajhar]]/TblDetalle[[#This Row],[MontoBrutoProm_Mes]]</f>
        <v>0.66666666666666663</v>
      </c>
    </row>
    <row r="897" spans="1:10" x14ac:dyDescent="0.3">
      <c r="A897" s="7">
        <v>199</v>
      </c>
      <c r="B897" s="7" t="s">
        <v>391</v>
      </c>
      <c r="C897" s="7">
        <v>800793</v>
      </c>
      <c r="D897" s="7" t="s">
        <v>260</v>
      </c>
      <c r="E897" s="7" t="s">
        <v>243</v>
      </c>
      <c r="F897" s="7">
        <f t="shared" si="13"/>
        <v>1</v>
      </c>
      <c r="G897" s="16">
        <f>+(TblDetalle[[#This Row],[MontoBrutoProm_Mes]]/TblDetalle[[#This Row],[UnidadesProm_Mes]])*TblDetalle[[#This Row],[Unidades]]</f>
        <v>157.53892215568862</v>
      </c>
      <c r="H897" s="8">
        <v>1.67</v>
      </c>
      <c r="I897" s="9">
        <v>263.08999999999997</v>
      </c>
      <c r="J897">
        <f>+TblDetalle[[#This Row],[Monto A Rebajhar]]/TblDetalle[[#This Row],[MontoBrutoProm_Mes]]</f>
        <v>0.5988023952095809</v>
      </c>
    </row>
    <row r="898" spans="1:10" x14ac:dyDescent="0.3">
      <c r="A898" s="7">
        <v>199</v>
      </c>
      <c r="B898" s="7" t="s">
        <v>391</v>
      </c>
      <c r="C898" s="7">
        <v>925050</v>
      </c>
      <c r="D898" s="7" t="s">
        <v>261</v>
      </c>
      <c r="E898" s="7" t="s">
        <v>220</v>
      </c>
      <c r="F898" s="7">
        <f t="shared" si="13"/>
        <v>38</v>
      </c>
      <c r="G898" s="16">
        <f>+(TblDetalle[[#This Row],[MontoBrutoProm_Mes]]/TblDetalle[[#This Row],[UnidadesProm_Mes]])*TblDetalle[[#This Row],[Unidades]]</f>
        <v>2791.1</v>
      </c>
      <c r="H898" s="8">
        <v>48</v>
      </c>
      <c r="I898" s="9">
        <v>3525.6</v>
      </c>
      <c r="J898">
        <f>+TblDetalle[[#This Row],[Monto A Rebajhar]]/TblDetalle[[#This Row],[MontoBrutoProm_Mes]]</f>
        <v>0.79166666666666663</v>
      </c>
    </row>
    <row r="899" spans="1:10" x14ac:dyDescent="0.3">
      <c r="A899" s="7">
        <v>199</v>
      </c>
      <c r="B899" s="7" t="s">
        <v>391</v>
      </c>
      <c r="C899" s="7">
        <v>925059</v>
      </c>
      <c r="D899" s="7" t="s">
        <v>262</v>
      </c>
      <c r="E899" s="7" t="s">
        <v>220</v>
      </c>
      <c r="F899" s="7">
        <f t="shared" si="13"/>
        <v>3</v>
      </c>
      <c r="G899" s="16">
        <f>+(TblDetalle[[#This Row],[MontoBrutoProm_Mes]]/TblDetalle[[#This Row],[UnidadesProm_Mes]])*TblDetalle[[#This Row],[Unidades]]</f>
        <v>0.03</v>
      </c>
      <c r="H899" s="8">
        <v>4</v>
      </c>
      <c r="I899" s="9">
        <v>0.04</v>
      </c>
      <c r="J899">
        <f>+TblDetalle[[#This Row],[Monto A Rebajhar]]/TblDetalle[[#This Row],[MontoBrutoProm_Mes]]</f>
        <v>0.75</v>
      </c>
    </row>
    <row r="900" spans="1:10" x14ac:dyDescent="0.3">
      <c r="A900" s="7">
        <v>199</v>
      </c>
      <c r="B900" s="7" t="s">
        <v>391</v>
      </c>
      <c r="C900" s="7">
        <v>925064</v>
      </c>
      <c r="D900" s="7" t="s">
        <v>263</v>
      </c>
      <c r="E900" s="7" t="s">
        <v>220</v>
      </c>
      <c r="F900" s="7">
        <f t="shared" si="13"/>
        <v>26</v>
      </c>
      <c r="G900" s="16">
        <f>+(TblDetalle[[#This Row],[MontoBrutoProm_Mes]]/TblDetalle[[#This Row],[UnidadesProm_Mes]])*TblDetalle[[#This Row],[Unidades]]</f>
        <v>863.82552800734618</v>
      </c>
      <c r="H900" s="8">
        <v>32.67</v>
      </c>
      <c r="I900" s="9">
        <v>1085.43</v>
      </c>
      <c r="J900">
        <f>+TblDetalle[[#This Row],[Monto A Rebajhar]]/TblDetalle[[#This Row],[MontoBrutoProm_Mes]]</f>
        <v>0.79583715947352307</v>
      </c>
    </row>
    <row r="901" spans="1:10" x14ac:dyDescent="0.3">
      <c r="A901" s="7">
        <v>199</v>
      </c>
      <c r="B901" s="7" t="s">
        <v>391</v>
      </c>
      <c r="C901" s="7">
        <v>925078</v>
      </c>
      <c r="D901" s="7" t="s">
        <v>221</v>
      </c>
      <c r="E901" s="7" t="s">
        <v>220</v>
      </c>
      <c r="F901" s="7">
        <f t="shared" si="13"/>
        <v>1</v>
      </c>
      <c r="G901" s="16">
        <f>+(TblDetalle[[#This Row],[MontoBrutoProm_Mes]]/TblDetalle[[#This Row],[UnidadesProm_Mes]])*TblDetalle[[#This Row],[Unidades]]</f>
        <v>71.790000000000006</v>
      </c>
      <c r="H901" s="8">
        <v>2</v>
      </c>
      <c r="I901" s="9">
        <v>143.58000000000001</v>
      </c>
      <c r="J901">
        <f>+TblDetalle[[#This Row],[Monto A Rebajhar]]/TblDetalle[[#This Row],[MontoBrutoProm_Mes]]</f>
        <v>0.5</v>
      </c>
    </row>
    <row r="902" spans="1:10" x14ac:dyDescent="0.3">
      <c r="A902" s="7">
        <v>199</v>
      </c>
      <c r="B902" s="7" t="s">
        <v>391</v>
      </c>
      <c r="C902" s="7">
        <v>925079</v>
      </c>
      <c r="D902" s="7" t="s">
        <v>279</v>
      </c>
      <c r="E902" s="7" t="s">
        <v>220</v>
      </c>
      <c r="F902" s="7">
        <f t="shared" si="13"/>
        <v>1</v>
      </c>
      <c r="G902" s="16">
        <f>+(TblDetalle[[#This Row],[MontoBrutoProm_Mes]]/TblDetalle[[#This Row],[UnidadesProm_Mes]])*TblDetalle[[#This Row],[Unidades]]</f>
        <v>71.790000000000006</v>
      </c>
      <c r="H902" s="8">
        <v>2</v>
      </c>
      <c r="I902" s="9">
        <v>143.58000000000001</v>
      </c>
      <c r="J902">
        <f>+TblDetalle[[#This Row],[Monto A Rebajhar]]/TblDetalle[[#This Row],[MontoBrutoProm_Mes]]</f>
        <v>0.5</v>
      </c>
    </row>
    <row r="903" spans="1:10" x14ac:dyDescent="0.3">
      <c r="A903" s="7">
        <v>199</v>
      </c>
      <c r="B903" s="7" t="s">
        <v>391</v>
      </c>
      <c r="C903" s="7">
        <v>925094</v>
      </c>
      <c r="D903" s="7" t="s">
        <v>298</v>
      </c>
      <c r="E903" s="7" t="s">
        <v>220</v>
      </c>
      <c r="F903" s="7">
        <f t="shared" si="13"/>
        <v>3</v>
      </c>
      <c r="G903" s="16">
        <f>+(TblDetalle[[#This Row],[MontoBrutoProm_Mes]]/TblDetalle[[#This Row],[UnidadesProm_Mes]])*TblDetalle[[#This Row],[Unidades]]</f>
        <v>141.89999999999998</v>
      </c>
      <c r="H903" s="8">
        <v>4</v>
      </c>
      <c r="I903" s="9">
        <v>189.2</v>
      </c>
      <c r="J903">
        <f>+TblDetalle[[#This Row],[Monto A Rebajhar]]/TblDetalle[[#This Row],[MontoBrutoProm_Mes]]</f>
        <v>0.74999999999999989</v>
      </c>
    </row>
    <row r="904" spans="1:10" x14ac:dyDescent="0.3">
      <c r="A904" s="7">
        <v>199</v>
      </c>
      <c r="B904" s="7" t="s">
        <v>391</v>
      </c>
      <c r="C904" s="7">
        <v>925095</v>
      </c>
      <c r="D904" s="7" t="s">
        <v>280</v>
      </c>
      <c r="E904" s="7" t="s">
        <v>220</v>
      </c>
      <c r="F904" s="7">
        <f t="shared" si="13"/>
        <v>17</v>
      </c>
      <c r="G904" s="16">
        <f>+(TblDetalle[[#This Row],[MontoBrutoProm_Mes]]/TblDetalle[[#This Row],[UnidadesProm_Mes]])*TblDetalle[[#This Row],[Unidades]]</f>
        <v>790.90181818181816</v>
      </c>
      <c r="H904" s="8">
        <v>22</v>
      </c>
      <c r="I904" s="9">
        <v>1023.52</v>
      </c>
      <c r="J904">
        <f>+TblDetalle[[#This Row],[Monto A Rebajhar]]/TblDetalle[[#This Row],[MontoBrutoProm_Mes]]</f>
        <v>0.77272727272727271</v>
      </c>
    </row>
    <row r="905" spans="1:10" x14ac:dyDescent="0.3">
      <c r="A905" s="7">
        <v>199</v>
      </c>
      <c r="B905" s="7" t="s">
        <v>391</v>
      </c>
      <c r="C905" s="7">
        <v>925105</v>
      </c>
      <c r="D905" s="7" t="s">
        <v>290</v>
      </c>
      <c r="E905" s="7" t="s">
        <v>220</v>
      </c>
      <c r="F905" s="7">
        <f t="shared" si="13"/>
        <v>0</v>
      </c>
      <c r="G905" s="16">
        <f>+(TblDetalle[[#This Row],[MontoBrutoProm_Mes]]/TblDetalle[[#This Row],[UnidadesProm_Mes]])*TblDetalle[[#This Row],[Unidades]]</f>
        <v>0</v>
      </c>
      <c r="H905" s="8">
        <v>0.33</v>
      </c>
      <c r="I905" s="9">
        <v>0</v>
      </c>
      <c r="J905" t="e">
        <f>+TblDetalle[[#This Row],[Monto A Rebajhar]]/TblDetalle[[#This Row],[MontoBrutoProm_Mes]]</f>
        <v>#DIV/0!</v>
      </c>
    </row>
    <row r="906" spans="1:10" x14ac:dyDescent="0.3">
      <c r="A906" s="7">
        <v>199</v>
      </c>
      <c r="B906" s="7" t="s">
        <v>391</v>
      </c>
      <c r="C906" s="7">
        <v>930012</v>
      </c>
      <c r="D906" s="7" t="s">
        <v>264</v>
      </c>
      <c r="E906" s="7" t="s">
        <v>243</v>
      </c>
      <c r="F906" s="7">
        <f t="shared" si="13"/>
        <v>3</v>
      </c>
      <c r="G906" s="16">
        <f>+(TblDetalle[[#This Row],[MontoBrutoProm_Mes]]/TblDetalle[[#This Row],[UnidadesProm_Mes]])*TblDetalle[[#This Row],[Unidades]]</f>
        <v>276.45727482678984</v>
      </c>
      <c r="H906" s="8">
        <v>4.33</v>
      </c>
      <c r="I906" s="9">
        <v>399.02</v>
      </c>
      <c r="J906">
        <f>+TblDetalle[[#This Row],[Monto A Rebajhar]]/TblDetalle[[#This Row],[MontoBrutoProm_Mes]]</f>
        <v>0.69284064665127021</v>
      </c>
    </row>
    <row r="907" spans="1:10" x14ac:dyDescent="0.3">
      <c r="A907" s="7">
        <v>199</v>
      </c>
      <c r="B907" s="7" t="s">
        <v>391</v>
      </c>
      <c r="C907" s="7">
        <v>930016</v>
      </c>
      <c r="D907" s="7" t="s">
        <v>385</v>
      </c>
      <c r="E907" s="7" t="s">
        <v>243</v>
      </c>
      <c r="F907" s="7">
        <f t="shared" si="13"/>
        <v>0</v>
      </c>
      <c r="G907" s="16">
        <f>+(TblDetalle[[#This Row],[MontoBrutoProm_Mes]]/TblDetalle[[#This Row],[UnidadesProm_Mes]])*TblDetalle[[#This Row],[Unidades]]</f>
        <v>0</v>
      </c>
      <c r="H907" s="8">
        <v>0.33</v>
      </c>
      <c r="I907" s="9">
        <v>36.01</v>
      </c>
      <c r="J907">
        <f>+TblDetalle[[#This Row],[Monto A Rebajhar]]/TblDetalle[[#This Row],[MontoBrutoProm_Mes]]</f>
        <v>0</v>
      </c>
    </row>
    <row r="908" spans="1:10" x14ac:dyDescent="0.3">
      <c r="A908" s="7">
        <v>199</v>
      </c>
      <c r="B908" s="7" t="s">
        <v>391</v>
      </c>
      <c r="C908" s="7">
        <v>930020</v>
      </c>
      <c r="D908" s="7" t="s">
        <v>299</v>
      </c>
      <c r="E908" s="7" t="s">
        <v>243</v>
      </c>
      <c r="F908" s="7">
        <f t="shared" si="13"/>
        <v>1</v>
      </c>
      <c r="G908" s="16">
        <f>+(TblDetalle[[#This Row],[MontoBrutoProm_Mes]]/TblDetalle[[#This Row],[UnidadesProm_Mes]])*TblDetalle[[#This Row],[Unidades]]</f>
        <v>92.932330827067659</v>
      </c>
      <c r="H908" s="8">
        <v>1.33</v>
      </c>
      <c r="I908" s="9">
        <v>123.6</v>
      </c>
      <c r="J908">
        <f>+TblDetalle[[#This Row],[Monto A Rebajhar]]/TblDetalle[[#This Row],[MontoBrutoProm_Mes]]</f>
        <v>0.75187969924812026</v>
      </c>
    </row>
    <row r="909" spans="1:10" x14ac:dyDescent="0.3">
      <c r="A909" s="7">
        <v>199</v>
      </c>
      <c r="B909" s="7" t="s">
        <v>391</v>
      </c>
      <c r="C909" s="7">
        <v>930021</v>
      </c>
      <c r="D909" s="7" t="s">
        <v>300</v>
      </c>
      <c r="E909" s="7" t="s">
        <v>243</v>
      </c>
      <c r="F909" s="7">
        <f t="shared" si="13"/>
        <v>0</v>
      </c>
      <c r="G909" s="16">
        <f>+(TblDetalle[[#This Row],[MontoBrutoProm_Mes]]/TblDetalle[[#This Row],[UnidadesProm_Mes]])*TblDetalle[[#This Row],[Unidades]]</f>
        <v>0</v>
      </c>
      <c r="H909" s="8">
        <v>0.33</v>
      </c>
      <c r="I909" s="9">
        <v>30.36</v>
      </c>
      <c r="J909">
        <f>+TblDetalle[[#This Row],[Monto A Rebajhar]]/TblDetalle[[#This Row],[MontoBrutoProm_Mes]]</f>
        <v>0</v>
      </c>
    </row>
    <row r="910" spans="1:10" x14ac:dyDescent="0.3">
      <c r="A910" s="7">
        <v>199</v>
      </c>
      <c r="B910" s="7" t="s">
        <v>391</v>
      </c>
      <c r="C910" s="7">
        <v>930022</v>
      </c>
      <c r="D910" s="7" t="s">
        <v>265</v>
      </c>
      <c r="E910" s="7" t="s">
        <v>243</v>
      </c>
      <c r="F910" s="7">
        <f t="shared" si="13"/>
        <v>1</v>
      </c>
      <c r="G910" s="16">
        <f>+(TblDetalle[[#This Row],[MontoBrutoProm_Mes]]/TblDetalle[[#This Row],[UnidadesProm_Mes]])*TblDetalle[[#This Row],[Unidades]]</f>
        <v>92.932330827067659</v>
      </c>
      <c r="H910" s="8">
        <v>1.33</v>
      </c>
      <c r="I910" s="9">
        <v>123.6</v>
      </c>
      <c r="J910">
        <f>+TblDetalle[[#This Row],[Monto A Rebajhar]]/TblDetalle[[#This Row],[MontoBrutoProm_Mes]]</f>
        <v>0.75187969924812026</v>
      </c>
    </row>
    <row r="911" spans="1:10" x14ac:dyDescent="0.3">
      <c r="A911" s="7">
        <v>199</v>
      </c>
      <c r="B911" s="7" t="s">
        <v>391</v>
      </c>
      <c r="C911" s="7">
        <v>930023</v>
      </c>
      <c r="D911" s="7" t="s">
        <v>335</v>
      </c>
      <c r="E911" s="7" t="s">
        <v>243</v>
      </c>
      <c r="F911" s="7">
        <f t="shared" si="13"/>
        <v>0</v>
      </c>
      <c r="G911" s="16">
        <f>+(TblDetalle[[#This Row],[MontoBrutoProm_Mes]]/TblDetalle[[#This Row],[UnidadesProm_Mes]])*TblDetalle[[#This Row],[Unidades]]</f>
        <v>0</v>
      </c>
      <c r="H911" s="8">
        <v>1</v>
      </c>
      <c r="I911" s="9">
        <v>140.75</v>
      </c>
      <c r="J911">
        <f>+TblDetalle[[#This Row],[Monto A Rebajhar]]/TblDetalle[[#This Row],[MontoBrutoProm_Mes]]</f>
        <v>0</v>
      </c>
    </row>
    <row r="912" spans="1:10" x14ac:dyDescent="0.3">
      <c r="A912" s="7">
        <v>199</v>
      </c>
      <c r="B912" s="7" t="s">
        <v>391</v>
      </c>
      <c r="C912" s="7">
        <v>930025</v>
      </c>
      <c r="D912" s="7" t="s">
        <v>244</v>
      </c>
      <c r="E912" s="7" t="s">
        <v>243</v>
      </c>
      <c r="F912" s="7">
        <f t="shared" si="13"/>
        <v>2</v>
      </c>
      <c r="G912" s="16">
        <f>+(TblDetalle[[#This Row],[MontoBrutoProm_Mes]]/TblDetalle[[#This Row],[UnidadesProm_Mes]])*TblDetalle[[#This Row],[Unidades]]</f>
        <v>116.32</v>
      </c>
      <c r="H912" s="8">
        <v>3</v>
      </c>
      <c r="I912" s="9">
        <v>174.48</v>
      </c>
      <c r="J912">
        <f>+TblDetalle[[#This Row],[Monto A Rebajhar]]/TblDetalle[[#This Row],[MontoBrutoProm_Mes]]</f>
        <v>0.66666666666666663</v>
      </c>
    </row>
    <row r="913" spans="1:10" x14ac:dyDescent="0.3">
      <c r="A913" s="7">
        <v>199</v>
      </c>
      <c r="B913" s="7" t="s">
        <v>391</v>
      </c>
      <c r="C913" s="7">
        <v>930060</v>
      </c>
      <c r="D913" s="7" t="s">
        <v>336</v>
      </c>
      <c r="E913" s="7" t="s">
        <v>243</v>
      </c>
      <c r="F913" s="7">
        <f t="shared" si="13"/>
        <v>0</v>
      </c>
      <c r="G913" s="16">
        <f>+(TblDetalle[[#This Row],[MontoBrutoProm_Mes]]/TblDetalle[[#This Row],[UnidadesProm_Mes]])*TblDetalle[[#This Row],[Unidades]]</f>
        <v>0</v>
      </c>
      <c r="H913" s="8">
        <v>1</v>
      </c>
      <c r="I913" s="9">
        <v>154.07</v>
      </c>
      <c r="J913">
        <f>+TblDetalle[[#This Row],[Monto A Rebajhar]]/TblDetalle[[#This Row],[MontoBrutoProm_Mes]]</f>
        <v>0</v>
      </c>
    </row>
    <row r="914" spans="1:10" x14ac:dyDescent="0.3">
      <c r="A914" s="7">
        <v>199</v>
      </c>
      <c r="B914" s="7" t="s">
        <v>391</v>
      </c>
      <c r="C914" s="7">
        <v>930121</v>
      </c>
      <c r="D914" s="7" t="s">
        <v>304</v>
      </c>
      <c r="E914" s="7" t="s">
        <v>243</v>
      </c>
      <c r="F914" s="7">
        <f t="shared" si="13"/>
        <v>1</v>
      </c>
      <c r="G914" s="16">
        <f>+(TblDetalle[[#This Row],[MontoBrutoProm_Mes]]/TblDetalle[[#This Row],[UnidadesProm_Mes]])*TblDetalle[[#This Row],[Unidades]]</f>
        <v>58.35</v>
      </c>
      <c r="H914" s="8">
        <v>2</v>
      </c>
      <c r="I914" s="9">
        <v>116.7</v>
      </c>
      <c r="J914">
        <f>+TblDetalle[[#This Row],[Monto A Rebajhar]]/TblDetalle[[#This Row],[MontoBrutoProm_Mes]]</f>
        <v>0.5</v>
      </c>
    </row>
    <row r="915" spans="1:10" x14ac:dyDescent="0.3">
      <c r="A915" s="7">
        <v>199</v>
      </c>
      <c r="B915" s="7" t="s">
        <v>391</v>
      </c>
      <c r="C915" s="7">
        <v>930137</v>
      </c>
      <c r="D915" s="7" t="s">
        <v>311</v>
      </c>
      <c r="E915" s="7" t="s">
        <v>243</v>
      </c>
      <c r="F915" s="7">
        <f t="shared" si="13"/>
        <v>4</v>
      </c>
      <c r="G915" s="16">
        <f>+(TblDetalle[[#This Row],[MontoBrutoProm_Mes]]/TblDetalle[[#This Row],[UnidadesProm_Mes]])*TblDetalle[[#This Row],[Unidades]]</f>
        <v>111.4671669793621</v>
      </c>
      <c r="H915" s="8">
        <v>5.33</v>
      </c>
      <c r="I915" s="9">
        <v>148.53</v>
      </c>
      <c r="J915">
        <f>+TblDetalle[[#This Row],[Monto A Rebajhar]]/TblDetalle[[#This Row],[MontoBrutoProm_Mes]]</f>
        <v>0.75046904315197005</v>
      </c>
    </row>
    <row r="916" spans="1:10" x14ac:dyDescent="0.3">
      <c r="A916" s="7">
        <v>199</v>
      </c>
      <c r="B916" s="7" t="s">
        <v>391</v>
      </c>
      <c r="C916" s="7">
        <v>930138</v>
      </c>
      <c r="D916" s="7" t="s">
        <v>312</v>
      </c>
      <c r="E916" s="7" t="s">
        <v>243</v>
      </c>
      <c r="F916" s="7">
        <f t="shared" si="13"/>
        <v>4</v>
      </c>
      <c r="G916" s="16">
        <f>+(TblDetalle[[#This Row],[MontoBrutoProm_Mes]]/TblDetalle[[#This Row],[UnidadesProm_Mes]])*TblDetalle[[#This Row],[Unidades]]</f>
        <v>112.81801125703565</v>
      </c>
      <c r="H916" s="8">
        <v>5.33</v>
      </c>
      <c r="I916" s="9">
        <v>150.33000000000001</v>
      </c>
      <c r="J916">
        <f>+TblDetalle[[#This Row],[Monto A Rebajhar]]/TblDetalle[[#This Row],[MontoBrutoProm_Mes]]</f>
        <v>0.75046904315196994</v>
      </c>
    </row>
    <row r="917" spans="1:10" x14ac:dyDescent="0.3">
      <c r="A917" s="7">
        <v>199</v>
      </c>
      <c r="B917" s="7" t="s">
        <v>391</v>
      </c>
      <c r="C917" s="7">
        <v>930139</v>
      </c>
      <c r="D917" s="7" t="s">
        <v>313</v>
      </c>
      <c r="E917" s="7" t="s">
        <v>243</v>
      </c>
      <c r="F917" s="7">
        <f t="shared" si="13"/>
        <v>1</v>
      </c>
      <c r="G917" s="16">
        <f>+(TblDetalle[[#This Row],[MontoBrutoProm_Mes]]/TblDetalle[[#This Row],[UnidadesProm_Mes]])*TblDetalle[[#This Row],[Unidades]]</f>
        <v>28.61</v>
      </c>
      <c r="H917" s="8">
        <v>2</v>
      </c>
      <c r="I917" s="9">
        <v>57.22</v>
      </c>
      <c r="J917">
        <f>+TblDetalle[[#This Row],[Monto A Rebajhar]]/TblDetalle[[#This Row],[MontoBrutoProm_Mes]]</f>
        <v>0.5</v>
      </c>
    </row>
    <row r="918" spans="1:10" x14ac:dyDescent="0.3">
      <c r="A918" s="7">
        <v>199</v>
      </c>
      <c r="B918" s="7" t="s">
        <v>391</v>
      </c>
      <c r="C918" s="7">
        <v>930140</v>
      </c>
      <c r="D918" s="7" t="s">
        <v>314</v>
      </c>
      <c r="E918" s="7" t="s">
        <v>243</v>
      </c>
      <c r="F918" s="7">
        <f t="shared" si="13"/>
        <v>9</v>
      </c>
      <c r="G918" s="16">
        <f>+(TblDetalle[[#This Row],[MontoBrutoProm_Mes]]/TblDetalle[[#This Row],[UnidadesProm_Mes]])*TblDetalle[[#This Row],[Unidades]]</f>
        <v>255.9675</v>
      </c>
      <c r="H918" s="8">
        <v>12</v>
      </c>
      <c r="I918" s="9">
        <v>341.29</v>
      </c>
      <c r="J918">
        <f>+TblDetalle[[#This Row],[Monto A Rebajhar]]/TblDetalle[[#This Row],[MontoBrutoProm_Mes]]</f>
        <v>0.75</v>
      </c>
    </row>
    <row r="919" spans="1:10" x14ac:dyDescent="0.3">
      <c r="A919" s="7">
        <v>199</v>
      </c>
      <c r="B919" s="7" t="s">
        <v>391</v>
      </c>
      <c r="C919" s="7">
        <v>930144</v>
      </c>
      <c r="D919" s="7" t="s">
        <v>315</v>
      </c>
      <c r="E919" s="7" t="s">
        <v>243</v>
      </c>
      <c r="F919" s="7">
        <f t="shared" si="13"/>
        <v>3</v>
      </c>
      <c r="G919" s="16">
        <f>+(TblDetalle[[#This Row],[MontoBrutoProm_Mes]]/TblDetalle[[#This Row],[UnidadesProm_Mes]])*TblDetalle[[#This Row],[Unidades]]</f>
        <v>85.83</v>
      </c>
      <c r="H919" s="8">
        <v>4</v>
      </c>
      <c r="I919" s="9">
        <v>114.44</v>
      </c>
      <c r="J919">
        <f>+TblDetalle[[#This Row],[Monto A Rebajhar]]/TblDetalle[[#This Row],[MontoBrutoProm_Mes]]</f>
        <v>0.75</v>
      </c>
    </row>
    <row r="920" spans="1:10" x14ac:dyDescent="0.3">
      <c r="A920" s="7">
        <v>199</v>
      </c>
      <c r="B920" s="7" t="s">
        <v>391</v>
      </c>
      <c r="C920" s="7">
        <v>930145</v>
      </c>
      <c r="D920" s="7" t="s">
        <v>316</v>
      </c>
      <c r="E920" s="7" t="s">
        <v>243</v>
      </c>
      <c r="F920" s="7">
        <f t="shared" si="13"/>
        <v>7</v>
      </c>
      <c r="G920" s="16">
        <f>+(TblDetalle[[#This Row],[MontoBrutoProm_Mes]]/TblDetalle[[#This Row],[UnidadesProm_Mes]])*TblDetalle[[#This Row],[Unidades]]</f>
        <v>196.96034297963556</v>
      </c>
      <c r="H920" s="8">
        <v>9.33</v>
      </c>
      <c r="I920" s="9">
        <v>262.52</v>
      </c>
      <c r="J920">
        <f>+TblDetalle[[#This Row],[Monto A Rebajhar]]/TblDetalle[[#This Row],[MontoBrutoProm_Mes]]</f>
        <v>0.75026795284030001</v>
      </c>
    </row>
    <row r="921" spans="1:10" x14ac:dyDescent="0.3">
      <c r="A921" s="7">
        <v>199</v>
      </c>
      <c r="B921" s="7" t="s">
        <v>391</v>
      </c>
      <c r="C921" s="7">
        <v>930153</v>
      </c>
      <c r="D921" s="7" t="s">
        <v>282</v>
      </c>
      <c r="E921" s="7" t="s">
        <v>243</v>
      </c>
      <c r="F921" s="7">
        <f t="shared" si="13"/>
        <v>0</v>
      </c>
      <c r="G921" s="16">
        <f>+(TblDetalle[[#This Row],[MontoBrutoProm_Mes]]/TblDetalle[[#This Row],[UnidadesProm_Mes]])*TblDetalle[[#This Row],[Unidades]]</f>
        <v>0</v>
      </c>
      <c r="H921" s="8">
        <v>1</v>
      </c>
      <c r="I921" s="9">
        <v>158.38</v>
      </c>
      <c r="J921">
        <f>+TblDetalle[[#This Row],[Monto A Rebajhar]]/TblDetalle[[#This Row],[MontoBrutoProm_Mes]]</f>
        <v>0</v>
      </c>
    </row>
    <row r="922" spans="1:10" x14ac:dyDescent="0.3">
      <c r="A922" s="7">
        <v>199</v>
      </c>
      <c r="B922" s="7" t="s">
        <v>391</v>
      </c>
      <c r="C922" s="7">
        <v>930154</v>
      </c>
      <c r="D922" s="7" t="s">
        <v>245</v>
      </c>
      <c r="E922" s="7" t="s">
        <v>243</v>
      </c>
      <c r="F922" s="7">
        <f t="shared" si="13"/>
        <v>1</v>
      </c>
      <c r="G922" s="16">
        <f>+(TblDetalle[[#This Row],[MontoBrutoProm_Mes]]/TblDetalle[[#This Row],[UnidadesProm_Mes]])*TblDetalle[[#This Row],[Unidades]]</f>
        <v>88.125748502994014</v>
      </c>
      <c r="H922" s="8">
        <v>1.67</v>
      </c>
      <c r="I922" s="9">
        <v>147.16999999999999</v>
      </c>
      <c r="J922">
        <f>+TblDetalle[[#This Row],[Monto A Rebajhar]]/TblDetalle[[#This Row],[MontoBrutoProm_Mes]]</f>
        <v>0.5988023952095809</v>
      </c>
    </row>
    <row r="923" spans="1:10" x14ac:dyDescent="0.3">
      <c r="A923" s="7">
        <v>199</v>
      </c>
      <c r="B923" s="7" t="s">
        <v>391</v>
      </c>
      <c r="C923" s="7">
        <v>930177</v>
      </c>
      <c r="D923" s="7" t="s">
        <v>317</v>
      </c>
      <c r="E923" s="7" t="s">
        <v>243</v>
      </c>
      <c r="F923" s="7">
        <f t="shared" si="13"/>
        <v>9</v>
      </c>
      <c r="G923" s="16">
        <f>+(TblDetalle[[#This Row],[MontoBrutoProm_Mes]]/TblDetalle[[#This Row],[UnidadesProm_Mes]])*TblDetalle[[#This Row],[Unidades]]</f>
        <v>255.20999999999998</v>
      </c>
      <c r="H923" s="8">
        <v>12</v>
      </c>
      <c r="I923" s="9">
        <v>340.28</v>
      </c>
      <c r="J923">
        <f>+TblDetalle[[#This Row],[Monto A Rebajhar]]/TblDetalle[[#This Row],[MontoBrutoProm_Mes]]</f>
        <v>0.75</v>
      </c>
    </row>
    <row r="924" spans="1:10" x14ac:dyDescent="0.3">
      <c r="A924" s="7">
        <v>199</v>
      </c>
      <c r="B924" s="7" t="s">
        <v>391</v>
      </c>
      <c r="C924" s="7">
        <v>930178</v>
      </c>
      <c r="D924" s="7" t="s">
        <v>267</v>
      </c>
      <c r="E924" s="7" t="s">
        <v>243</v>
      </c>
      <c r="F924" s="7">
        <f t="shared" si="13"/>
        <v>8</v>
      </c>
      <c r="G924" s="16">
        <f>+(TblDetalle[[#This Row],[MontoBrutoProm_Mes]]/TblDetalle[[#This Row],[UnidadesProm_Mes]])*TblDetalle[[#This Row],[Unidades]]</f>
        <v>227.66399999999999</v>
      </c>
      <c r="H924" s="8">
        <v>10</v>
      </c>
      <c r="I924" s="9">
        <v>284.58</v>
      </c>
      <c r="J924">
        <f>+TblDetalle[[#This Row],[Monto A Rebajhar]]/TblDetalle[[#This Row],[MontoBrutoProm_Mes]]</f>
        <v>0.8</v>
      </c>
    </row>
    <row r="925" spans="1:10" x14ac:dyDescent="0.3">
      <c r="A925" s="7">
        <v>199</v>
      </c>
      <c r="B925" s="7" t="s">
        <v>391</v>
      </c>
      <c r="C925" s="7">
        <v>960105</v>
      </c>
      <c r="D925" s="7" t="s">
        <v>305</v>
      </c>
      <c r="E925" s="7" t="s">
        <v>306</v>
      </c>
      <c r="F925" s="7">
        <f t="shared" si="13"/>
        <v>1</v>
      </c>
      <c r="G925" s="16">
        <f>+(TblDetalle[[#This Row],[MontoBrutoProm_Mes]]/TblDetalle[[#This Row],[UnidadesProm_Mes]])*TblDetalle[[#This Row],[Unidades]]</f>
        <v>199.1</v>
      </c>
      <c r="H925" s="8">
        <v>2</v>
      </c>
      <c r="I925" s="9">
        <v>398.2</v>
      </c>
      <c r="J925">
        <f>+TblDetalle[[#This Row],[Monto A Rebajhar]]/TblDetalle[[#This Row],[MontoBrutoProm_Mes]]</f>
        <v>0.5</v>
      </c>
    </row>
    <row r="926" spans="1:10" x14ac:dyDescent="0.3">
      <c r="A926" s="7">
        <v>199</v>
      </c>
      <c r="B926" s="7" t="s">
        <v>391</v>
      </c>
      <c r="C926" s="7">
        <v>982003</v>
      </c>
      <c r="D926" s="7" t="s">
        <v>269</v>
      </c>
      <c r="E926" s="7" t="s">
        <v>270</v>
      </c>
      <c r="F926" s="7">
        <f t="shared" si="13"/>
        <v>1</v>
      </c>
      <c r="G926" s="16">
        <f>+(TblDetalle[[#This Row],[MontoBrutoProm_Mes]]/TblDetalle[[#This Row],[UnidadesProm_Mes]])*TblDetalle[[#This Row],[Unidades]]</f>
        <v>259.47904191616766</v>
      </c>
      <c r="H926" s="8">
        <v>1.67</v>
      </c>
      <c r="I926" s="9">
        <v>433.33</v>
      </c>
      <c r="J926">
        <f>+TblDetalle[[#This Row],[Monto A Rebajhar]]/TblDetalle[[#This Row],[MontoBrutoProm_Mes]]</f>
        <v>0.5988023952095809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14.4" x14ac:dyDescent="0.3"/>
  <cols>
    <col min="1" max="1" width="11" customWidth="1"/>
    <col min="2" max="2" width="31" customWidth="1"/>
    <col min="3" max="3" width="14" customWidth="1"/>
    <col min="4" max="4" width="18" customWidth="1"/>
    <col min="5" max="5" width="20" customWidth="1"/>
  </cols>
  <sheetData>
    <row r="1" spans="1:5" ht="28.05" customHeight="1" x14ac:dyDescent="0.3">
      <c r="A1" s="6" t="s">
        <v>206</v>
      </c>
      <c r="B1" s="6" t="s">
        <v>395</v>
      </c>
      <c r="C1" s="6" t="s">
        <v>396</v>
      </c>
      <c r="D1" s="6" t="s">
        <v>211</v>
      </c>
      <c r="E1" s="6" t="s">
        <v>212</v>
      </c>
    </row>
    <row r="2" spans="1:5" x14ac:dyDescent="0.3">
      <c r="A2" s="7">
        <v>3</v>
      </c>
      <c r="B2" s="7" t="s">
        <v>213</v>
      </c>
      <c r="C2" s="7">
        <v>2</v>
      </c>
      <c r="D2" s="8">
        <v>6.67</v>
      </c>
      <c r="E2" s="9">
        <v>753.54</v>
      </c>
    </row>
    <row r="3" spans="1:5" x14ac:dyDescent="0.3">
      <c r="A3" s="7">
        <v>6</v>
      </c>
      <c r="B3" s="7" t="s">
        <v>218</v>
      </c>
      <c r="C3" s="7">
        <v>10</v>
      </c>
      <c r="D3" s="8">
        <v>13.99</v>
      </c>
      <c r="E3" s="9">
        <v>1711.5</v>
      </c>
    </row>
    <row r="4" spans="1:5" x14ac:dyDescent="0.3">
      <c r="A4" s="7">
        <v>7</v>
      </c>
      <c r="B4" s="7" t="s">
        <v>231</v>
      </c>
      <c r="C4" s="7">
        <v>14</v>
      </c>
      <c r="D4" s="8">
        <v>127.34</v>
      </c>
      <c r="E4" s="9">
        <v>15260.28</v>
      </c>
    </row>
    <row r="5" spans="1:5" x14ac:dyDescent="0.3">
      <c r="A5" s="7">
        <v>8</v>
      </c>
      <c r="B5" s="7" t="s">
        <v>246</v>
      </c>
      <c r="C5" s="7">
        <v>36</v>
      </c>
      <c r="D5" s="8">
        <v>485.97</v>
      </c>
      <c r="E5" s="9">
        <v>47612.81</v>
      </c>
    </row>
    <row r="6" spans="1:5" x14ac:dyDescent="0.3">
      <c r="A6" s="7">
        <v>11</v>
      </c>
      <c r="B6" s="7" t="s">
        <v>271</v>
      </c>
      <c r="C6" s="7">
        <v>36</v>
      </c>
      <c r="D6" s="8">
        <v>984.99</v>
      </c>
      <c r="E6" s="9">
        <v>111088.8</v>
      </c>
    </row>
    <row r="7" spans="1:5" x14ac:dyDescent="0.3">
      <c r="A7" s="7">
        <v>14</v>
      </c>
      <c r="B7" s="7" t="s">
        <v>286</v>
      </c>
      <c r="C7" s="7">
        <v>31</v>
      </c>
      <c r="D7" s="8">
        <v>593.99</v>
      </c>
      <c r="E7" s="9">
        <v>36315.97</v>
      </c>
    </row>
    <row r="8" spans="1:5" x14ac:dyDescent="0.3">
      <c r="A8" s="7">
        <v>18</v>
      </c>
      <c r="B8" s="7" t="s">
        <v>292</v>
      </c>
      <c r="C8" s="7">
        <v>30</v>
      </c>
      <c r="D8" s="8">
        <v>509</v>
      </c>
      <c r="E8" s="9">
        <v>80595.69</v>
      </c>
    </row>
    <row r="9" spans="1:5" x14ac:dyDescent="0.3">
      <c r="A9" s="7">
        <v>43</v>
      </c>
      <c r="B9" s="7" t="s">
        <v>307</v>
      </c>
      <c r="C9" s="7">
        <v>46</v>
      </c>
      <c r="D9" s="8">
        <v>858.64</v>
      </c>
      <c r="E9" s="9">
        <v>88720.19</v>
      </c>
    </row>
    <row r="10" spans="1:5" x14ac:dyDescent="0.3">
      <c r="A10" s="7">
        <v>50</v>
      </c>
      <c r="B10" s="7" t="s">
        <v>318</v>
      </c>
      <c r="C10" s="7">
        <v>14</v>
      </c>
      <c r="D10" s="8">
        <v>269</v>
      </c>
      <c r="E10" s="9">
        <v>61965.02</v>
      </c>
    </row>
    <row r="11" spans="1:5" x14ac:dyDescent="0.3">
      <c r="A11" s="7">
        <v>56</v>
      </c>
      <c r="B11" s="7" t="s">
        <v>320</v>
      </c>
      <c r="C11" s="7">
        <v>48</v>
      </c>
      <c r="D11" s="8">
        <v>624.97</v>
      </c>
      <c r="E11" s="9">
        <v>58919.42</v>
      </c>
    </row>
    <row r="12" spans="1:5" x14ac:dyDescent="0.3">
      <c r="A12" s="7">
        <v>59</v>
      </c>
      <c r="B12" s="7" t="s">
        <v>331</v>
      </c>
      <c r="C12" s="7">
        <v>4</v>
      </c>
      <c r="D12" s="8">
        <v>45.33</v>
      </c>
      <c r="E12" s="9">
        <v>10170.36</v>
      </c>
    </row>
    <row r="13" spans="1:5" x14ac:dyDescent="0.3">
      <c r="A13" s="7">
        <v>60</v>
      </c>
      <c r="B13" s="7" t="s">
        <v>332</v>
      </c>
      <c r="C13" s="7">
        <v>36</v>
      </c>
      <c r="D13" s="8">
        <v>818.66</v>
      </c>
      <c r="E13" s="9">
        <v>57392.88</v>
      </c>
    </row>
    <row r="14" spans="1:5" x14ac:dyDescent="0.3">
      <c r="A14" s="7">
        <v>66</v>
      </c>
      <c r="B14" s="7" t="s">
        <v>333</v>
      </c>
      <c r="C14" s="7">
        <v>41</v>
      </c>
      <c r="D14" s="8">
        <v>269.33999999999997</v>
      </c>
      <c r="E14" s="9">
        <v>17096.95</v>
      </c>
    </row>
    <row r="15" spans="1:5" x14ac:dyDescent="0.3">
      <c r="A15" s="7">
        <v>70</v>
      </c>
      <c r="B15" s="7" t="s">
        <v>338</v>
      </c>
      <c r="C15" s="7">
        <v>46</v>
      </c>
      <c r="D15" s="8">
        <v>452.32</v>
      </c>
      <c r="E15" s="9">
        <v>39411.1</v>
      </c>
    </row>
    <row r="16" spans="1:5" x14ac:dyDescent="0.3">
      <c r="A16" s="7">
        <v>72</v>
      </c>
      <c r="B16" s="7" t="s">
        <v>347</v>
      </c>
      <c r="C16" s="7">
        <v>65</v>
      </c>
      <c r="D16" s="8">
        <v>1330.99</v>
      </c>
      <c r="E16" s="9">
        <v>123902.92</v>
      </c>
    </row>
    <row r="17" spans="1:5" x14ac:dyDescent="0.3">
      <c r="A17" s="7">
        <v>83</v>
      </c>
      <c r="B17" s="7" t="s">
        <v>355</v>
      </c>
      <c r="C17" s="7">
        <v>3</v>
      </c>
      <c r="D17" s="8">
        <v>9.99</v>
      </c>
      <c r="E17" s="9">
        <v>847.44</v>
      </c>
    </row>
    <row r="18" spans="1:5" x14ac:dyDescent="0.3">
      <c r="A18" s="7">
        <v>84</v>
      </c>
      <c r="B18" s="7" t="s">
        <v>356</v>
      </c>
      <c r="C18" s="7">
        <v>65</v>
      </c>
      <c r="D18" s="8">
        <v>1853.66</v>
      </c>
      <c r="E18" s="9">
        <v>222242.83</v>
      </c>
    </row>
    <row r="19" spans="1:5" x14ac:dyDescent="0.3">
      <c r="A19" s="7">
        <v>85</v>
      </c>
      <c r="B19" s="7" t="s">
        <v>361</v>
      </c>
      <c r="C19" s="7">
        <v>22</v>
      </c>
      <c r="D19" s="8">
        <v>195.67</v>
      </c>
      <c r="E19" s="9">
        <v>24278.94</v>
      </c>
    </row>
    <row r="20" spans="1:5" x14ac:dyDescent="0.3">
      <c r="A20" s="7">
        <v>86</v>
      </c>
      <c r="B20" s="7" t="s">
        <v>362</v>
      </c>
      <c r="C20" s="7">
        <v>21</v>
      </c>
      <c r="D20" s="8">
        <v>323</v>
      </c>
      <c r="E20" s="9">
        <v>59316.92</v>
      </c>
    </row>
    <row r="21" spans="1:5" x14ac:dyDescent="0.3">
      <c r="A21" s="7">
        <v>91</v>
      </c>
      <c r="B21" s="7" t="s">
        <v>364</v>
      </c>
      <c r="C21" s="7">
        <v>40</v>
      </c>
      <c r="D21" s="8">
        <v>750.32</v>
      </c>
      <c r="E21" s="9">
        <v>73512.259999999995</v>
      </c>
    </row>
    <row r="22" spans="1:5" x14ac:dyDescent="0.3">
      <c r="A22" s="7">
        <v>93</v>
      </c>
      <c r="B22" s="7" t="s">
        <v>368</v>
      </c>
      <c r="C22" s="7">
        <v>15</v>
      </c>
      <c r="D22" s="8">
        <v>131.66</v>
      </c>
      <c r="E22" s="9">
        <v>11463.52</v>
      </c>
    </row>
    <row r="23" spans="1:5" x14ac:dyDescent="0.3">
      <c r="A23" s="7">
        <v>94</v>
      </c>
      <c r="B23" s="7" t="s">
        <v>369</v>
      </c>
      <c r="C23" s="7">
        <v>68</v>
      </c>
      <c r="D23" s="8">
        <v>1399.34</v>
      </c>
      <c r="E23" s="9">
        <v>151225.15</v>
      </c>
    </row>
    <row r="24" spans="1:5" x14ac:dyDescent="0.3">
      <c r="A24" s="7">
        <v>95</v>
      </c>
      <c r="B24" s="7" t="s">
        <v>375</v>
      </c>
      <c r="C24" s="7">
        <v>7</v>
      </c>
      <c r="D24" s="8">
        <v>46</v>
      </c>
      <c r="E24" s="9">
        <v>4789.76</v>
      </c>
    </row>
    <row r="25" spans="1:5" x14ac:dyDescent="0.3">
      <c r="A25" s="7">
        <v>97</v>
      </c>
      <c r="B25" s="7" t="s">
        <v>376</v>
      </c>
      <c r="C25" s="7">
        <v>51</v>
      </c>
      <c r="D25" s="8">
        <v>568.99</v>
      </c>
      <c r="E25" s="9">
        <v>41152.18</v>
      </c>
    </row>
    <row r="26" spans="1:5" x14ac:dyDescent="0.3">
      <c r="A26" s="7">
        <v>100</v>
      </c>
      <c r="B26" s="7" t="s">
        <v>382</v>
      </c>
      <c r="C26" s="7">
        <v>35</v>
      </c>
      <c r="D26" s="8">
        <v>301.68</v>
      </c>
      <c r="E26" s="9">
        <v>16185.9</v>
      </c>
    </row>
    <row r="27" spans="1:5" x14ac:dyDescent="0.3">
      <c r="A27" s="7">
        <v>102</v>
      </c>
      <c r="B27" s="7" t="s">
        <v>384</v>
      </c>
      <c r="C27" s="7">
        <v>52</v>
      </c>
      <c r="D27" s="8">
        <v>551.70000000000005</v>
      </c>
      <c r="E27" s="9">
        <v>37115.919999999998</v>
      </c>
    </row>
    <row r="28" spans="1:5" x14ac:dyDescent="0.3">
      <c r="A28" s="7">
        <v>104</v>
      </c>
      <c r="B28" s="7" t="s">
        <v>387</v>
      </c>
      <c r="C28" s="7">
        <v>2</v>
      </c>
      <c r="D28" s="8">
        <v>24</v>
      </c>
      <c r="E28" s="9">
        <v>1577.52</v>
      </c>
    </row>
    <row r="29" spans="1:5" x14ac:dyDescent="0.3">
      <c r="A29" s="7">
        <v>106</v>
      </c>
      <c r="B29" s="7" t="s">
        <v>388</v>
      </c>
      <c r="C29" s="7">
        <v>4</v>
      </c>
      <c r="D29" s="8">
        <v>27.33</v>
      </c>
      <c r="E29" s="9">
        <v>3073.47</v>
      </c>
    </row>
    <row r="30" spans="1:5" x14ac:dyDescent="0.3">
      <c r="A30" s="7">
        <v>128</v>
      </c>
      <c r="B30" s="7" t="s">
        <v>389</v>
      </c>
      <c r="C30" s="7">
        <v>7</v>
      </c>
      <c r="D30" s="8">
        <v>22.99</v>
      </c>
      <c r="E30" s="9">
        <v>1438.97</v>
      </c>
    </row>
    <row r="31" spans="1:5" x14ac:dyDescent="0.3">
      <c r="A31" s="7">
        <v>198</v>
      </c>
      <c r="B31" s="7" t="s">
        <v>390</v>
      </c>
      <c r="C31" s="7">
        <v>18</v>
      </c>
      <c r="D31" s="8">
        <v>124</v>
      </c>
      <c r="E31" s="9">
        <v>6419.67</v>
      </c>
    </row>
    <row r="32" spans="1:5" x14ac:dyDescent="0.3">
      <c r="A32" s="7">
        <v>199</v>
      </c>
      <c r="B32" s="7" t="s">
        <v>391</v>
      </c>
      <c r="C32" s="7">
        <v>68</v>
      </c>
      <c r="D32" s="8">
        <v>1184.98</v>
      </c>
      <c r="E32" s="9">
        <v>165014.41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7" customWidth="1"/>
    <col min="2" max="2" width="14" customWidth="1"/>
    <col min="3" max="3" width="18" customWidth="1"/>
    <col min="4" max="4" width="20" customWidth="1"/>
  </cols>
  <sheetData>
    <row r="1" spans="1:4" ht="28.05" customHeight="1" x14ac:dyDescent="0.3">
      <c r="A1" s="6" t="s">
        <v>210</v>
      </c>
      <c r="B1" s="6" t="s">
        <v>396</v>
      </c>
      <c r="C1" s="6" t="s">
        <v>211</v>
      </c>
      <c r="D1" s="6" t="s">
        <v>212</v>
      </c>
    </row>
    <row r="2" spans="1:4" x14ac:dyDescent="0.3">
      <c r="A2" s="7" t="s">
        <v>215</v>
      </c>
      <c r="B2" s="7">
        <v>27</v>
      </c>
      <c r="C2" s="8">
        <v>8468.2999999999993</v>
      </c>
      <c r="D2" s="9">
        <v>827344.16</v>
      </c>
    </row>
    <row r="3" spans="1:4" x14ac:dyDescent="0.3">
      <c r="A3" s="7" t="s">
        <v>217</v>
      </c>
      <c r="B3" s="7">
        <v>8</v>
      </c>
      <c r="C3" s="8">
        <v>2958.66</v>
      </c>
      <c r="D3" s="9">
        <v>439938.05</v>
      </c>
    </row>
    <row r="4" spans="1:4" x14ac:dyDescent="0.3">
      <c r="A4" s="7" t="s">
        <v>243</v>
      </c>
      <c r="B4" s="7">
        <v>41</v>
      </c>
      <c r="C4" s="8">
        <v>1180.92</v>
      </c>
      <c r="D4" s="9">
        <v>95970.79</v>
      </c>
    </row>
    <row r="5" spans="1:4" x14ac:dyDescent="0.3">
      <c r="A5" s="7" t="s">
        <v>239</v>
      </c>
      <c r="B5" s="7">
        <v>11</v>
      </c>
      <c r="C5" s="8">
        <v>413.66</v>
      </c>
      <c r="D5" s="9">
        <v>67328.11</v>
      </c>
    </row>
    <row r="6" spans="1:4" x14ac:dyDescent="0.3">
      <c r="A6" s="7" t="s">
        <v>220</v>
      </c>
      <c r="B6" s="7">
        <v>18</v>
      </c>
      <c r="C6" s="8">
        <v>1162.6500000000001</v>
      </c>
      <c r="D6" s="9">
        <v>65942.41</v>
      </c>
    </row>
    <row r="7" spans="1:4" x14ac:dyDescent="0.3">
      <c r="A7" s="7" t="s">
        <v>270</v>
      </c>
      <c r="B7" s="7">
        <v>2</v>
      </c>
      <c r="C7" s="8">
        <v>336</v>
      </c>
      <c r="D7" s="9">
        <v>54387.09</v>
      </c>
    </row>
    <row r="8" spans="1:4" x14ac:dyDescent="0.3">
      <c r="A8" s="7" t="s">
        <v>296</v>
      </c>
      <c r="B8" s="7">
        <v>9</v>
      </c>
      <c r="C8" s="8">
        <v>256</v>
      </c>
      <c r="D8" s="9">
        <v>7413.84</v>
      </c>
    </row>
    <row r="9" spans="1:4" x14ac:dyDescent="0.3">
      <c r="A9" s="7" t="s">
        <v>294</v>
      </c>
      <c r="B9" s="7">
        <v>2</v>
      </c>
      <c r="C9" s="8">
        <v>23</v>
      </c>
      <c r="D9" s="9">
        <v>4601.75</v>
      </c>
    </row>
    <row r="10" spans="1:4" x14ac:dyDescent="0.3">
      <c r="A10" s="7" t="s">
        <v>306</v>
      </c>
      <c r="B10" s="7">
        <v>3</v>
      </c>
      <c r="C10" s="8">
        <v>35</v>
      </c>
      <c r="D10" s="9">
        <v>4061.3</v>
      </c>
    </row>
    <row r="11" spans="1:4" x14ac:dyDescent="0.3">
      <c r="A11" s="7" t="s">
        <v>223</v>
      </c>
      <c r="B11" s="7">
        <v>8</v>
      </c>
      <c r="C11" s="8">
        <v>11.66</v>
      </c>
      <c r="D11" s="9">
        <v>1474.32</v>
      </c>
    </row>
    <row r="12" spans="1:4" x14ac:dyDescent="0.3">
      <c r="A12" s="7" t="s">
        <v>284</v>
      </c>
      <c r="B12" s="7">
        <v>2</v>
      </c>
      <c r="C12" s="8">
        <v>36</v>
      </c>
      <c r="D12" s="9">
        <v>1083.96</v>
      </c>
    </row>
    <row r="13" spans="1:4" x14ac:dyDescent="0.3">
      <c r="A13" s="7" t="s">
        <v>325</v>
      </c>
      <c r="B13" s="7">
        <v>2</v>
      </c>
      <c r="C13" s="8">
        <v>4</v>
      </c>
      <c r="D13" s="9">
        <v>463.12</v>
      </c>
    </row>
    <row r="14" spans="1:4" x14ac:dyDescent="0.3">
      <c r="A14" s="7" t="s">
        <v>350</v>
      </c>
      <c r="B14" s="7">
        <v>2</v>
      </c>
      <c r="C14" s="8">
        <v>4.33</v>
      </c>
      <c r="D14" s="9">
        <v>282.76</v>
      </c>
    </row>
    <row r="15" spans="1:4" x14ac:dyDescent="0.3">
      <c r="A15" s="7" t="s">
        <v>393</v>
      </c>
      <c r="B15" s="7">
        <v>2</v>
      </c>
      <c r="C15" s="8">
        <v>16.329999999999998</v>
      </c>
      <c r="D15" s="9">
        <v>280.63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8"/>
  <sheetViews>
    <sheetView topLeftCell="K1" workbookViewId="0">
      <pane ySplit="1" topLeftCell="A114" activePane="bottomLeft" state="frozen"/>
      <selection pane="bottomLeft" activeCell="O136" sqref="O136"/>
    </sheetView>
  </sheetViews>
  <sheetFormatPr baseColWidth="10" defaultColWidth="8.88671875" defaultRowHeight="14.4" x14ac:dyDescent="0.3"/>
  <cols>
    <col min="1" max="1" width="10" customWidth="1"/>
    <col min="2" max="2" width="55" customWidth="1"/>
    <col min="3" max="3" width="27" customWidth="1"/>
    <col min="4" max="11" width="18" customWidth="1"/>
    <col min="12" max="12" width="30.21875" customWidth="1"/>
    <col min="15" max="15" width="35.88671875" bestFit="1" customWidth="1"/>
    <col min="16" max="16" width="25.77734375" bestFit="1" customWidth="1"/>
    <col min="19" max="19" width="2.33203125" bestFit="1" customWidth="1"/>
    <col min="21" max="21" width="16.77734375" bestFit="1" customWidth="1"/>
  </cols>
  <sheetData>
    <row r="1" spans="1:21" ht="28.05" customHeight="1" x14ac:dyDescent="0.3">
      <c r="A1" s="6" t="s">
        <v>208</v>
      </c>
      <c r="B1" s="6" t="s">
        <v>209</v>
      </c>
      <c r="C1" s="6" t="s">
        <v>210</v>
      </c>
      <c r="D1" s="6" t="s">
        <v>397</v>
      </c>
      <c r="E1" s="6" t="s">
        <v>211</v>
      </c>
      <c r="F1" s="6" t="s">
        <v>404</v>
      </c>
      <c r="G1" s="6" t="s">
        <v>407</v>
      </c>
      <c r="H1" s="6" t="s">
        <v>408</v>
      </c>
      <c r="I1" s="6" t="s">
        <v>409</v>
      </c>
      <c r="J1" s="6" t="s">
        <v>403</v>
      </c>
      <c r="K1" s="6" t="s">
        <v>402</v>
      </c>
      <c r="L1" s="6" t="s">
        <v>212</v>
      </c>
    </row>
    <row r="2" spans="1:21" x14ac:dyDescent="0.3">
      <c r="A2" s="7">
        <v>201001</v>
      </c>
      <c r="B2" s="7" t="s">
        <v>216</v>
      </c>
      <c r="C2" s="7" t="s">
        <v>217</v>
      </c>
      <c r="D2" s="7">
        <v>25</v>
      </c>
      <c r="E2" s="8">
        <v>1686.66</v>
      </c>
      <c r="F2" s="8">
        <f>+ROUNDUP(TblPresupuesto185[[#This Row],[UnidadesProm_Mes]]*1.5,0)</f>
        <v>2530</v>
      </c>
      <c r="G2" s="8">
        <v>0</v>
      </c>
      <c r="H2" s="8" t="s">
        <v>410</v>
      </c>
      <c r="I2" s="8">
        <v>0</v>
      </c>
      <c r="J2" s="8">
        <f>+TblPresupuesto185[[#This Row],[MontoBrutoProm_Mes]]/TblPresupuesto185[[#This Row],[UnidadesProm_Mes]]</f>
        <v>224.12000640318735</v>
      </c>
      <c r="K2" s="8">
        <f>+TblPresupuesto185[[#This Row],[precio]]*TblPresupuesto185[[#This Row],[Nueva Cantidad]]</f>
        <v>567023.61620006396</v>
      </c>
      <c r="L2" s="9">
        <v>378014.25</v>
      </c>
      <c r="O2" t="s">
        <v>405</v>
      </c>
      <c r="P2" t="s">
        <v>406</v>
      </c>
      <c r="Q2" t="str">
        <f>+CONCATENATE("'",A2,"'",",")</f>
        <v>'201001',</v>
      </c>
      <c r="R2" t="str">
        <f>+CONCATENATE("'",F2,"'",",")</f>
        <v>'2530',</v>
      </c>
      <c r="S2" t="str">
        <f>+CONCATENATE("'",G2,"'",",")</f>
        <v>'0',</v>
      </c>
      <c r="T2" t="str">
        <f>+CONCATENATE("'",H2,"'",",")</f>
        <v>'MdSoft',</v>
      </c>
      <c r="U2" t="s">
        <v>411</v>
      </c>
    </row>
    <row r="3" spans="1:21" x14ac:dyDescent="0.3">
      <c r="A3" s="7">
        <v>101038</v>
      </c>
      <c r="B3" s="7" t="s">
        <v>235</v>
      </c>
      <c r="C3" s="7" t="s">
        <v>215</v>
      </c>
      <c r="D3" s="7">
        <v>26</v>
      </c>
      <c r="E3" s="8">
        <v>594.99</v>
      </c>
      <c r="F3" s="8">
        <f>+ROUNDUP(TblPresupuesto185[[#This Row],[UnidadesProm_Mes]]*1.5,0)</f>
        <v>893</v>
      </c>
      <c r="G3" s="8">
        <v>0</v>
      </c>
      <c r="H3" s="8" t="s">
        <v>410</v>
      </c>
      <c r="I3" s="8"/>
      <c r="J3" s="8">
        <f>+TblPresupuesto185[[#This Row],[MontoBrutoProm_Mes]]/TblPresupuesto185[[#This Row],[UnidadesProm_Mes]]</f>
        <v>368.0202188272072</v>
      </c>
      <c r="K3" s="8">
        <f>+TblPresupuesto185[[#This Row],[precio]]*TblPresupuesto185[[#This Row],[Nueva Cantidad]]</f>
        <v>328642.05541269603</v>
      </c>
      <c r="L3" s="9">
        <v>218968.35</v>
      </c>
      <c r="O3" t="s">
        <v>405</v>
      </c>
      <c r="P3" t="s">
        <v>406</v>
      </c>
      <c r="Q3" t="str">
        <f t="shared" ref="Q3:Q66" si="0">+CONCATENATE("'",A3,"'",",")</f>
        <v>'101038',</v>
      </c>
      <c r="R3" t="str">
        <f t="shared" ref="R3:R66" si="1">+CONCATENATE("'",F3,"'",",")</f>
        <v>'893',</v>
      </c>
      <c r="S3" t="str">
        <f t="shared" ref="S3:S66" si="2">+CONCATENATE("'",G3,"'",",")</f>
        <v>'0',</v>
      </c>
      <c r="T3" t="str">
        <f t="shared" ref="T3:T66" si="3">+CONCATENATE("'",H3,"'",",")</f>
        <v>'MdSoft',</v>
      </c>
      <c r="U3" t="s">
        <v>411</v>
      </c>
    </row>
    <row r="4" spans="1:21" x14ac:dyDescent="0.3">
      <c r="A4" s="7">
        <v>101028</v>
      </c>
      <c r="B4" s="7" t="s">
        <v>214</v>
      </c>
      <c r="C4" s="7" t="s">
        <v>215</v>
      </c>
      <c r="D4" s="7">
        <v>29</v>
      </c>
      <c r="E4" s="8">
        <v>1331.31</v>
      </c>
      <c r="F4" s="8">
        <f>+ROUNDUP(TblPresupuesto185[[#This Row],[UnidadesProm_Mes]]*1.5,0)</f>
        <v>1997</v>
      </c>
      <c r="G4" s="8">
        <v>0</v>
      </c>
      <c r="H4" s="8" t="s">
        <v>410</v>
      </c>
      <c r="I4" s="8"/>
      <c r="J4" s="8">
        <f>+TblPresupuesto185[[#This Row],[MontoBrutoProm_Mes]]/TblPresupuesto185[[#This Row],[UnidadesProm_Mes]]</f>
        <v>98.876339845715876</v>
      </c>
      <c r="K4" s="8">
        <f>+TblPresupuesto185[[#This Row],[precio]]*TblPresupuesto185[[#This Row],[Nueva Cantidad]]</f>
        <v>197456.0506718946</v>
      </c>
      <c r="L4" s="9">
        <v>131635.06</v>
      </c>
      <c r="O4" t="s">
        <v>405</v>
      </c>
      <c r="P4" t="s">
        <v>406</v>
      </c>
      <c r="Q4" t="str">
        <f t="shared" si="0"/>
        <v>'101028',</v>
      </c>
      <c r="R4" t="str">
        <f t="shared" si="1"/>
        <v>'1997',</v>
      </c>
      <c r="S4" t="str">
        <f t="shared" si="2"/>
        <v>'0',</v>
      </c>
      <c r="T4" t="str">
        <f t="shared" si="3"/>
        <v>'MdSoft',</v>
      </c>
      <c r="U4" t="s">
        <v>411</v>
      </c>
    </row>
    <row r="5" spans="1:21" x14ac:dyDescent="0.3">
      <c r="A5" s="7">
        <v>800089</v>
      </c>
      <c r="B5" s="7" t="s">
        <v>241</v>
      </c>
      <c r="C5" s="7" t="s">
        <v>215</v>
      </c>
      <c r="D5" s="7">
        <v>24</v>
      </c>
      <c r="E5" s="8">
        <v>299.69</v>
      </c>
      <c r="F5" s="8">
        <f>+ROUNDUP(TblPresupuesto185[[#This Row],[UnidadesProm_Mes]]*1.5,0)</f>
        <v>450</v>
      </c>
      <c r="G5" s="8">
        <v>0</v>
      </c>
      <c r="H5" s="8" t="s">
        <v>410</v>
      </c>
      <c r="I5" s="8"/>
      <c r="J5" s="8">
        <f>+TblPresupuesto185[[#This Row],[MontoBrutoProm_Mes]]/TblPresupuesto185[[#This Row],[UnidadesProm_Mes]]</f>
        <v>366.75407921518905</v>
      </c>
      <c r="K5" s="8">
        <f>+TblPresupuesto185[[#This Row],[precio]]*TblPresupuesto185[[#This Row],[Nueva Cantidad]]</f>
        <v>165039.33564683507</v>
      </c>
      <c r="L5" s="9">
        <v>109912.53</v>
      </c>
      <c r="O5" t="s">
        <v>405</v>
      </c>
      <c r="P5" t="s">
        <v>406</v>
      </c>
      <c r="Q5" t="str">
        <f t="shared" si="0"/>
        <v>'800089',</v>
      </c>
      <c r="R5" t="str">
        <f t="shared" si="1"/>
        <v>'450',</v>
      </c>
      <c r="S5" t="str">
        <f t="shared" si="2"/>
        <v>'0',</v>
      </c>
      <c r="T5" t="str">
        <f t="shared" si="3"/>
        <v>'MdSoft',</v>
      </c>
      <c r="U5" t="s">
        <v>411</v>
      </c>
    </row>
    <row r="6" spans="1:21" x14ac:dyDescent="0.3">
      <c r="A6" s="7">
        <v>800088</v>
      </c>
      <c r="B6" s="7" t="s">
        <v>240</v>
      </c>
      <c r="C6" s="7" t="s">
        <v>215</v>
      </c>
      <c r="D6" s="7">
        <v>22</v>
      </c>
      <c r="E6" s="8">
        <v>271</v>
      </c>
      <c r="F6" s="8">
        <f>+ROUNDUP(TblPresupuesto185[[#This Row],[UnidadesProm_Mes]]*1.5,0)</f>
        <v>407</v>
      </c>
      <c r="G6" s="8">
        <v>0</v>
      </c>
      <c r="H6" s="8" t="s">
        <v>410</v>
      </c>
      <c r="I6" s="8"/>
      <c r="J6" s="8">
        <f>+TblPresupuesto185[[#This Row],[MontoBrutoProm_Mes]]/TblPresupuesto185[[#This Row],[UnidadesProm_Mes]]</f>
        <v>366.80261992619927</v>
      </c>
      <c r="K6" s="8">
        <f>+TblPresupuesto185[[#This Row],[precio]]*TblPresupuesto185[[#This Row],[Nueva Cantidad]]</f>
        <v>149288.6663099631</v>
      </c>
      <c r="L6" s="9">
        <v>99403.51</v>
      </c>
      <c r="O6" t="s">
        <v>405</v>
      </c>
      <c r="P6" t="s">
        <v>406</v>
      </c>
      <c r="Q6" t="str">
        <f t="shared" si="0"/>
        <v>'800088',</v>
      </c>
      <c r="R6" t="str">
        <f t="shared" si="1"/>
        <v>'407',</v>
      </c>
      <c r="S6" t="str">
        <f t="shared" si="2"/>
        <v>'0',</v>
      </c>
      <c r="T6" t="str">
        <f t="shared" si="3"/>
        <v>'MdSoft',</v>
      </c>
      <c r="U6" t="s">
        <v>411</v>
      </c>
    </row>
    <row r="7" spans="1:21" x14ac:dyDescent="0.3">
      <c r="A7" s="7">
        <v>101005</v>
      </c>
      <c r="B7" s="7" t="s">
        <v>232</v>
      </c>
      <c r="C7" s="7" t="s">
        <v>215</v>
      </c>
      <c r="D7" s="7">
        <v>24</v>
      </c>
      <c r="E7" s="8">
        <v>1013.99</v>
      </c>
      <c r="F7" s="8">
        <f>+ROUNDUP(TblPresupuesto185[[#This Row],[UnidadesProm_Mes]]*1.5,0)</f>
        <v>1521</v>
      </c>
      <c r="G7" s="8">
        <v>0</v>
      </c>
      <c r="H7" s="8" t="s">
        <v>410</v>
      </c>
      <c r="I7" s="8"/>
      <c r="J7" s="8">
        <f>+TblPresupuesto185[[#This Row],[MontoBrutoProm_Mes]]/TblPresupuesto185[[#This Row],[UnidadesProm_Mes]]</f>
        <v>76.067673251215496</v>
      </c>
      <c r="K7" s="8">
        <f>+TblPresupuesto185[[#This Row],[precio]]*TblPresupuesto185[[#This Row],[Nueva Cantidad]]</f>
        <v>115698.93101509877</v>
      </c>
      <c r="L7" s="9">
        <v>77131.86</v>
      </c>
      <c r="O7" t="s">
        <v>405</v>
      </c>
      <c r="P7" t="s">
        <v>406</v>
      </c>
      <c r="Q7" t="str">
        <f t="shared" si="0"/>
        <v>'101005',</v>
      </c>
      <c r="R7" t="str">
        <f t="shared" si="1"/>
        <v>'1521',</v>
      </c>
      <c r="S7" t="str">
        <f t="shared" si="2"/>
        <v>'0',</v>
      </c>
      <c r="T7" t="str">
        <f t="shared" si="3"/>
        <v>'MdSoft',</v>
      </c>
      <c r="U7" t="s">
        <v>411</v>
      </c>
    </row>
    <row r="8" spans="1:21" x14ac:dyDescent="0.3">
      <c r="A8" s="7">
        <v>101027</v>
      </c>
      <c r="B8" s="7" t="s">
        <v>234</v>
      </c>
      <c r="C8" s="7" t="s">
        <v>215</v>
      </c>
      <c r="D8" s="7">
        <v>23</v>
      </c>
      <c r="E8" s="8">
        <v>869.99</v>
      </c>
      <c r="F8" s="8">
        <f>+ROUNDUP(TblPresupuesto185[[#This Row],[UnidadesProm_Mes]]*1.5,0)</f>
        <v>1305</v>
      </c>
      <c r="G8" s="8">
        <v>0</v>
      </c>
      <c r="H8" s="8" t="s">
        <v>410</v>
      </c>
      <c r="I8" s="8"/>
      <c r="J8" s="8">
        <f>+TblPresupuesto185[[#This Row],[MontoBrutoProm_Mes]]/TblPresupuesto185[[#This Row],[UnidadesProm_Mes]]</f>
        <v>76.037816526626742</v>
      </c>
      <c r="K8" s="8">
        <f>+TblPresupuesto185[[#This Row],[precio]]*TblPresupuesto185[[#This Row],[Nueva Cantidad]]</f>
        <v>99229.350567247893</v>
      </c>
      <c r="L8" s="9">
        <v>66152.14</v>
      </c>
      <c r="O8" t="s">
        <v>405</v>
      </c>
      <c r="P8" t="s">
        <v>406</v>
      </c>
      <c r="Q8" t="str">
        <f t="shared" si="0"/>
        <v>'101027',</v>
      </c>
      <c r="R8" t="str">
        <f t="shared" si="1"/>
        <v>'1305',</v>
      </c>
      <c r="S8" t="str">
        <f t="shared" si="2"/>
        <v>'0',</v>
      </c>
      <c r="T8" t="str">
        <f t="shared" si="3"/>
        <v>'MdSoft',</v>
      </c>
      <c r="U8" t="s">
        <v>411</v>
      </c>
    </row>
    <row r="9" spans="1:21" x14ac:dyDescent="0.3">
      <c r="A9" s="7">
        <v>982005</v>
      </c>
      <c r="B9" s="7" t="s">
        <v>285</v>
      </c>
      <c r="C9" s="7" t="s">
        <v>270</v>
      </c>
      <c r="D9" s="7">
        <v>10</v>
      </c>
      <c r="E9" s="8">
        <v>310.33999999999997</v>
      </c>
      <c r="F9" s="8">
        <f>+ROUNDUP(TblPresupuesto185[[#This Row],[UnidadesProm_Mes]]*1.5,0)</f>
        <v>466</v>
      </c>
      <c r="G9" s="8">
        <v>0</v>
      </c>
      <c r="H9" s="8" t="s">
        <v>410</v>
      </c>
      <c r="I9" s="8"/>
      <c r="J9" s="8">
        <f>+TblPresupuesto185[[#This Row],[MontoBrutoProm_Mes]]/TblPresupuesto185[[#This Row],[UnidadesProm_Mes]]</f>
        <v>153.7466971708449</v>
      </c>
      <c r="K9" s="8">
        <f>+TblPresupuesto185[[#This Row],[precio]]*TblPresupuesto185[[#This Row],[Nueva Cantidad]]</f>
        <v>71645.960881613719</v>
      </c>
      <c r="L9" s="9">
        <v>47713.75</v>
      </c>
      <c r="O9" t="s">
        <v>405</v>
      </c>
      <c r="P9" t="s">
        <v>406</v>
      </c>
      <c r="Q9" t="str">
        <f t="shared" si="0"/>
        <v>'982005',</v>
      </c>
      <c r="R9" t="str">
        <f t="shared" si="1"/>
        <v>'466',</v>
      </c>
      <c r="S9" t="str">
        <f t="shared" si="2"/>
        <v>'0',</v>
      </c>
      <c r="T9" t="str">
        <f t="shared" si="3"/>
        <v>'MdSoft',</v>
      </c>
      <c r="U9" t="s">
        <v>411</v>
      </c>
    </row>
    <row r="10" spans="1:21" x14ac:dyDescent="0.3">
      <c r="A10" s="7">
        <v>621045</v>
      </c>
      <c r="B10" s="7" t="s">
        <v>238</v>
      </c>
      <c r="C10" s="7" t="s">
        <v>239</v>
      </c>
      <c r="D10" s="7">
        <v>18</v>
      </c>
      <c r="E10" s="8">
        <v>257.33</v>
      </c>
      <c r="F10" s="8">
        <f>+ROUNDUP(TblPresupuesto185[[#This Row],[UnidadesProm_Mes]]*1.5,0)</f>
        <v>386</v>
      </c>
      <c r="G10" s="8">
        <v>0</v>
      </c>
      <c r="H10" s="8" t="s">
        <v>410</v>
      </c>
      <c r="I10" s="8"/>
      <c r="J10" s="8">
        <f>+TblPresupuesto185[[#This Row],[MontoBrutoProm_Mes]]/TblPresupuesto185[[#This Row],[UnidadesProm_Mes]]</f>
        <v>166.37994015466523</v>
      </c>
      <c r="K10" s="8">
        <f>+TblPresupuesto185[[#This Row],[precio]]*TblPresupuesto185[[#This Row],[Nueva Cantidad]]</f>
        <v>64222.656899700778</v>
      </c>
      <c r="L10" s="9">
        <v>42814.55</v>
      </c>
      <c r="O10" t="s">
        <v>405</v>
      </c>
      <c r="P10" t="s">
        <v>406</v>
      </c>
      <c r="Q10" t="str">
        <f t="shared" si="0"/>
        <v>'621045',</v>
      </c>
      <c r="R10" t="str">
        <f t="shared" si="1"/>
        <v>'386',</v>
      </c>
      <c r="S10" t="str">
        <f t="shared" si="2"/>
        <v>'0',</v>
      </c>
      <c r="T10" t="str">
        <f t="shared" si="3"/>
        <v>'MdSoft',</v>
      </c>
      <c r="U10" t="s">
        <v>411</v>
      </c>
    </row>
    <row r="11" spans="1:21" x14ac:dyDescent="0.3">
      <c r="A11" s="7">
        <v>103001</v>
      </c>
      <c r="B11" s="7" t="s">
        <v>248</v>
      </c>
      <c r="C11" s="7" t="s">
        <v>215</v>
      </c>
      <c r="D11" s="7">
        <v>18</v>
      </c>
      <c r="E11" s="8">
        <v>1947.67</v>
      </c>
      <c r="F11" s="8">
        <f>+ROUNDUP(TblPresupuesto185[[#This Row],[UnidadesProm_Mes]]*1.5,0)</f>
        <v>2922</v>
      </c>
      <c r="G11" s="8">
        <v>0</v>
      </c>
      <c r="H11" s="8" t="s">
        <v>410</v>
      </c>
      <c r="I11" s="8"/>
      <c r="J11" s="8">
        <f>+TblPresupuesto185[[#This Row],[MontoBrutoProm_Mes]]/TblPresupuesto185[[#This Row],[UnidadesProm_Mes]]</f>
        <v>21.838843335883389</v>
      </c>
      <c r="K11" s="8">
        <f>+TblPresupuesto185[[#This Row],[precio]]*TblPresupuesto185[[#This Row],[Nueva Cantidad]]</f>
        <v>63813.100227451265</v>
      </c>
      <c r="L11" s="9">
        <v>42534.86</v>
      </c>
      <c r="O11" t="s">
        <v>405</v>
      </c>
      <c r="P11" t="s">
        <v>406</v>
      </c>
      <c r="Q11" t="str">
        <f t="shared" si="0"/>
        <v>'103001',</v>
      </c>
      <c r="R11" t="str">
        <f t="shared" si="1"/>
        <v>'2922',</v>
      </c>
      <c r="S11" t="str">
        <f t="shared" si="2"/>
        <v>'0',</v>
      </c>
      <c r="T11" t="str">
        <f t="shared" si="3"/>
        <v>'MdSoft',</v>
      </c>
      <c r="U11" t="s">
        <v>411</v>
      </c>
    </row>
    <row r="12" spans="1:21" x14ac:dyDescent="0.3">
      <c r="A12" s="7">
        <v>101026</v>
      </c>
      <c r="B12" s="7" t="s">
        <v>233</v>
      </c>
      <c r="C12" s="7" t="s">
        <v>215</v>
      </c>
      <c r="D12" s="7">
        <v>22</v>
      </c>
      <c r="E12" s="8">
        <v>955.66</v>
      </c>
      <c r="F12" s="8">
        <f>+ROUNDUP(TblPresupuesto185[[#This Row],[UnidadesProm_Mes]]*1.5,0)</f>
        <v>1434</v>
      </c>
      <c r="G12" s="8">
        <v>0</v>
      </c>
      <c r="H12" s="8" t="s">
        <v>410</v>
      </c>
      <c r="I12" s="8"/>
      <c r="J12" s="8">
        <f>+TblPresupuesto185[[#This Row],[MontoBrutoProm_Mes]]/TblPresupuesto185[[#This Row],[UnidadesProm_Mes]]</f>
        <v>34.331310298641775</v>
      </c>
      <c r="K12" s="8">
        <f>+TblPresupuesto185[[#This Row],[precio]]*TblPresupuesto185[[#This Row],[Nueva Cantidad]]</f>
        <v>49231.098968252307</v>
      </c>
      <c r="L12" s="9">
        <v>32809.06</v>
      </c>
      <c r="O12" t="s">
        <v>405</v>
      </c>
      <c r="P12" t="s">
        <v>406</v>
      </c>
      <c r="Q12" t="str">
        <f t="shared" si="0"/>
        <v>'101026',</v>
      </c>
      <c r="R12" t="str">
        <f t="shared" si="1"/>
        <v>'1434',</v>
      </c>
      <c r="S12" t="str">
        <f t="shared" si="2"/>
        <v>'0',</v>
      </c>
      <c r="T12" t="str">
        <f t="shared" si="3"/>
        <v>'MdSoft',</v>
      </c>
      <c r="U12" t="s">
        <v>411</v>
      </c>
    </row>
    <row r="13" spans="1:21" x14ac:dyDescent="0.3">
      <c r="A13" s="7">
        <v>501000</v>
      </c>
      <c r="B13" s="7" t="s">
        <v>237</v>
      </c>
      <c r="C13" s="7" t="s">
        <v>217</v>
      </c>
      <c r="D13" s="7">
        <v>17</v>
      </c>
      <c r="E13" s="8">
        <v>229.32</v>
      </c>
      <c r="F13" s="8">
        <f>+ROUNDUP(TblPresupuesto185[[#This Row],[UnidadesProm_Mes]]*1.5,0)</f>
        <v>344</v>
      </c>
      <c r="G13" s="8">
        <v>0</v>
      </c>
      <c r="H13" s="8" t="s">
        <v>410</v>
      </c>
      <c r="I13" s="8"/>
      <c r="J13" s="8">
        <f>+TblPresupuesto185[[#This Row],[MontoBrutoProm_Mes]]/TblPresupuesto185[[#This Row],[UnidadesProm_Mes]]</f>
        <v>115.08459794174081</v>
      </c>
      <c r="K13" s="8">
        <f>+TblPresupuesto185[[#This Row],[precio]]*TblPresupuesto185[[#This Row],[Nueva Cantidad]]</f>
        <v>39589.101691958836</v>
      </c>
      <c r="L13" s="9">
        <v>26391.200000000001</v>
      </c>
      <c r="O13" t="s">
        <v>405</v>
      </c>
      <c r="P13" t="s">
        <v>406</v>
      </c>
      <c r="Q13" t="str">
        <f t="shared" si="0"/>
        <v>'501000',</v>
      </c>
      <c r="R13" t="str">
        <f t="shared" si="1"/>
        <v>'344',</v>
      </c>
      <c r="S13" t="str">
        <f t="shared" si="2"/>
        <v>'0',</v>
      </c>
      <c r="T13" t="str">
        <f t="shared" si="3"/>
        <v>'MdSoft',</v>
      </c>
      <c r="U13" t="s">
        <v>411</v>
      </c>
    </row>
    <row r="14" spans="1:21" x14ac:dyDescent="0.3">
      <c r="A14" s="7">
        <v>800792</v>
      </c>
      <c r="B14" s="7" t="s">
        <v>242</v>
      </c>
      <c r="C14" s="7" t="s">
        <v>243</v>
      </c>
      <c r="D14" s="7">
        <v>16</v>
      </c>
      <c r="E14" s="8">
        <v>139.66999999999999</v>
      </c>
      <c r="F14" s="8">
        <f>+ROUNDUP(TblPresupuesto185[[#This Row],[UnidadesProm_Mes]]*1.5,0)</f>
        <v>210</v>
      </c>
      <c r="G14" s="8">
        <v>0</v>
      </c>
      <c r="H14" s="8" t="s">
        <v>410</v>
      </c>
      <c r="I14" s="8"/>
      <c r="J14" s="8">
        <f>+TblPresupuesto185[[#This Row],[MontoBrutoProm_Mes]]/TblPresupuesto185[[#This Row],[UnidadesProm_Mes]]</f>
        <v>156.01346029927689</v>
      </c>
      <c r="K14" s="8">
        <f>+TblPresupuesto185[[#This Row],[precio]]*TblPresupuesto185[[#This Row],[Nueva Cantidad]]</f>
        <v>32762.826662848147</v>
      </c>
      <c r="L14" s="9">
        <v>21790.400000000001</v>
      </c>
      <c r="O14" t="s">
        <v>405</v>
      </c>
      <c r="P14" t="s">
        <v>406</v>
      </c>
      <c r="Q14" t="str">
        <f t="shared" si="0"/>
        <v>'800792',</v>
      </c>
      <c r="R14" t="str">
        <f t="shared" si="1"/>
        <v>'210',</v>
      </c>
      <c r="S14" t="str">
        <f t="shared" si="2"/>
        <v>'0',</v>
      </c>
      <c r="T14" t="str">
        <f t="shared" si="3"/>
        <v>'MdSoft',</v>
      </c>
      <c r="U14" t="s">
        <v>411</v>
      </c>
    </row>
    <row r="15" spans="1:21" x14ac:dyDescent="0.3">
      <c r="A15" s="7">
        <v>925050</v>
      </c>
      <c r="B15" s="7" t="s">
        <v>261</v>
      </c>
      <c r="C15" s="7" t="s">
        <v>220</v>
      </c>
      <c r="D15" s="7">
        <v>14</v>
      </c>
      <c r="E15" s="8">
        <v>193.67</v>
      </c>
      <c r="F15" s="8">
        <f>+ROUNDUP(TblPresupuesto185[[#This Row],[UnidadesProm_Mes]]*1.5,0)</f>
        <v>291</v>
      </c>
      <c r="G15" s="8">
        <v>0</v>
      </c>
      <c r="H15" s="8" t="s">
        <v>410</v>
      </c>
      <c r="I15" s="8"/>
      <c r="J15" s="8">
        <f>+TblPresupuesto185[[#This Row],[MontoBrutoProm_Mes]]/TblPresupuesto185[[#This Row],[UnidadesProm_Mes]]</f>
        <v>75.637269582279146</v>
      </c>
      <c r="K15" s="8">
        <f>+TblPresupuesto185[[#This Row],[precio]]*TblPresupuesto185[[#This Row],[Nueva Cantidad]]</f>
        <v>22010.445448443232</v>
      </c>
      <c r="L15" s="9">
        <v>14648.67</v>
      </c>
      <c r="O15" t="s">
        <v>405</v>
      </c>
      <c r="P15" t="s">
        <v>406</v>
      </c>
      <c r="Q15" t="str">
        <f t="shared" si="0"/>
        <v>'925050',</v>
      </c>
      <c r="R15" t="str">
        <f t="shared" si="1"/>
        <v>'291',</v>
      </c>
      <c r="S15" t="str">
        <f t="shared" si="2"/>
        <v>'0',</v>
      </c>
      <c r="T15" t="str">
        <f t="shared" si="3"/>
        <v>'MdSoft',</v>
      </c>
      <c r="U15" t="s">
        <v>411</v>
      </c>
    </row>
    <row r="16" spans="1:21" x14ac:dyDescent="0.3">
      <c r="A16" s="7">
        <v>101034</v>
      </c>
      <c r="B16" s="7" t="s">
        <v>272</v>
      </c>
      <c r="C16" s="7" t="s">
        <v>215</v>
      </c>
      <c r="D16" s="7">
        <v>14</v>
      </c>
      <c r="E16" s="8">
        <v>59.01</v>
      </c>
      <c r="F16" s="8">
        <f>+ROUNDUP(TblPresupuesto185[[#This Row],[UnidadesProm_Mes]]*1.5,0)</f>
        <v>89</v>
      </c>
      <c r="G16" s="8">
        <v>0</v>
      </c>
      <c r="H16" s="8" t="s">
        <v>410</v>
      </c>
      <c r="I16" s="8"/>
      <c r="J16" s="8">
        <f>+TblPresupuesto185[[#This Row],[MontoBrutoProm_Mes]]/TblPresupuesto185[[#This Row],[UnidadesProm_Mes]]</f>
        <v>235.6668361294696</v>
      </c>
      <c r="K16" s="8">
        <f>+TblPresupuesto185[[#This Row],[precio]]*TblPresupuesto185[[#This Row],[Nueva Cantidad]]</f>
        <v>20974.348415522796</v>
      </c>
      <c r="L16" s="9">
        <v>13906.7</v>
      </c>
      <c r="O16" t="s">
        <v>405</v>
      </c>
      <c r="P16" t="s">
        <v>406</v>
      </c>
      <c r="Q16" t="str">
        <f t="shared" si="0"/>
        <v>'101034',</v>
      </c>
      <c r="R16" t="str">
        <f t="shared" si="1"/>
        <v>'89',</v>
      </c>
      <c r="S16" t="str">
        <f t="shared" si="2"/>
        <v>'0',</v>
      </c>
      <c r="T16" t="str">
        <f t="shared" si="3"/>
        <v>'MdSoft',</v>
      </c>
      <c r="U16" t="s">
        <v>411</v>
      </c>
    </row>
    <row r="17" spans="1:21" x14ac:dyDescent="0.3">
      <c r="A17" s="7">
        <v>611055</v>
      </c>
      <c r="B17" s="7" t="s">
        <v>254</v>
      </c>
      <c r="C17" s="7" t="s">
        <v>217</v>
      </c>
      <c r="D17" s="7">
        <v>15</v>
      </c>
      <c r="E17" s="8">
        <v>165.35</v>
      </c>
      <c r="F17" s="8">
        <f>+ROUNDUP(TblPresupuesto185[[#This Row],[UnidadesProm_Mes]]*1.5,0)</f>
        <v>249</v>
      </c>
      <c r="G17" s="8">
        <v>0</v>
      </c>
      <c r="H17" s="8" t="s">
        <v>410</v>
      </c>
      <c r="I17" s="8"/>
      <c r="J17" s="8">
        <f>+TblPresupuesto185[[#This Row],[MontoBrutoProm_Mes]]/TblPresupuesto185[[#This Row],[UnidadesProm_Mes]]</f>
        <v>82.401753855458111</v>
      </c>
      <c r="K17" s="8">
        <f>+TblPresupuesto185[[#This Row],[precio]]*TblPresupuesto185[[#This Row],[Nueva Cantidad]]</f>
        <v>20518.03671000907</v>
      </c>
      <c r="L17" s="9">
        <v>13625.13</v>
      </c>
      <c r="O17" t="s">
        <v>405</v>
      </c>
      <c r="P17" t="s">
        <v>406</v>
      </c>
      <c r="Q17" t="str">
        <f t="shared" si="0"/>
        <v>'611055',</v>
      </c>
      <c r="R17" t="str">
        <f t="shared" si="1"/>
        <v>'249',</v>
      </c>
      <c r="S17" t="str">
        <f t="shared" si="2"/>
        <v>'0',</v>
      </c>
      <c r="T17" t="str">
        <f t="shared" si="3"/>
        <v>'MdSoft',</v>
      </c>
      <c r="U17" t="s">
        <v>411</v>
      </c>
    </row>
    <row r="18" spans="1:21" x14ac:dyDescent="0.3">
      <c r="A18" s="7">
        <v>925079</v>
      </c>
      <c r="B18" s="7" t="s">
        <v>279</v>
      </c>
      <c r="C18" s="7" t="s">
        <v>220</v>
      </c>
      <c r="D18" s="7">
        <v>13</v>
      </c>
      <c r="E18" s="8">
        <v>161</v>
      </c>
      <c r="F18" s="8">
        <f>+ROUNDUP(TblPresupuesto185[[#This Row],[UnidadesProm_Mes]]*1.5,0)</f>
        <v>242</v>
      </c>
      <c r="G18" s="8">
        <v>0</v>
      </c>
      <c r="H18" s="8" t="s">
        <v>410</v>
      </c>
      <c r="I18" s="8"/>
      <c r="J18" s="8">
        <f>+TblPresupuesto185[[#This Row],[MontoBrutoProm_Mes]]/TblPresupuesto185[[#This Row],[UnidadesProm_Mes]]</f>
        <v>73.129875776397512</v>
      </c>
      <c r="K18" s="8">
        <f>+TblPresupuesto185[[#This Row],[precio]]*TblPresupuesto185[[#This Row],[Nueva Cantidad]]</f>
        <v>17697.429937888199</v>
      </c>
      <c r="L18" s="9">
        <v>11773.91</v>
      </c>
      <c r="O18" t="s">
        <v>405</v>
      </c>
      <c r="P18" t="s">
        <v>406</v>
      </c>
      <c r="Q18" t="str">
        <f t="shared" si="0"/>
        <v>'925079',</v>
      </c>
      <c r="R18" t="str">
        <f t="shared" si="1"/>
        <v>'242',</v>
      </c>
      <c r="S18" t="str">
        <f t="shared" si="2"/>
        <v>'0',</v>
      </c>
      <c r="T18" t="str">
        <f t="shared" si="3"/>
        <v>'MdSoft',</v>
      </c>
      <c r="U18" t="s">
        <v>411</v>
      </c>
    </row>
    <row r="19" spans="1:21" x14ac:dyDescent="0.3">
      <c r="A19" s="7">
        <v>925064</v>
      </c>
      <c r="B19" s="7" t="s">
        <v>263</v>
      </c>
      <c r="C19" s="7" t="s">
        <v>220</v>
      </c>
      <c r="D19" s="7">
        <v>16</v>
      </c>
      <c r="E19" s="8">
        <v>346.68</v>
      </c>
      <c r="F19" s="8">
        <f>+ROUNDUP(TblPresupuesto185[[#This Row],[UnidadesProm_Mes]]*1.5,0)</f>
        <v>521</v>
      </c>
      <c r="G19" s="8">
        <v>0</v>
      </c>
      <c r="H19" s="8" t="s">
        <v>410</v>
      </c>
      <c r="I19" s="8"/>
      <c r="J19" s="8">
        <f>+TblPresupuesto185[[#This Row],[MontoBrutoProm_Mes]]/TblPresupuesto185[[#This Row],[UnidadesProm_Mes]]</f>
        <v>33.767393561786086</v>
      </c>
      <c r="K19" s="8">
        <f>+TblPresupuesto185[[#This Row],[precio]]*TblPresupuesto185[[#This Row],[Nueva Cantidad]]</f>
        <v>17592.812045690553</v>
      </c>
      <c r="L19" s="9">
        <v>11706.48</v>
      </c>
      <c r="O19" t="s">
        <v>405</v>
      </c>
      <c r="P19" t="s">
        <v>406</v>
      </c>
      <c r="Q19" t="str">
        <f t="shared" si="0"/>
        <v>'925064',</v>
      </c>
      <c r="R19" t="str">
        <f t="shared" si="1"/>
        <v>'521',</v>
      </c>
      <c r="S19" t="str">
        <f t="shared" si="2"/>
        <v>'0',</v>
      </c>
      <c r="T19" t="str">
        <f t="shared" si="3"/>
        <v>'MdSoft',</v>
      </c>
      <c r="U19" t="s">
        <v>411</v>
      </c>
    </row>
    <row r="20" spans="1:21" x14ac:dyDescent="0.3">
      <c r="A20" s="7">
        <v>621004</v>
      </c>
      <c r="B20" s="7" t="s">
        <v>256</v>
      </c>
      <c r="C20" s="7" t="s">
        <v>239</v>
      </c>
      <c r="D20" s="7">
        <v>7</v>
      </c>
      <c r="E20" s="8">
        <v>40</v>
      </c>
      <c r="F20" s="8">
        <f>+ROUNDUP(TblPresupuesto185[[#This Row],[UnidadesProm_Mes]]*1.5,0)</f>
        <v>60</v>
      </c>
      <c r="G20" s="8">
        <v>0</v>
      </c>
      <c r="H20" s="8" t="s">
        <v>410</v>
      </c>
      <c r="I20" s="8"/>
      <c r="J20" s="8">
        <f>+TblPresupuesto185[[#This Row],[MontoBrutoProm_Mes]]/TblPresupuesto185[[#This Row],[UnidadesProm_Mes]]</f>
        <v>276.16649999999998</v>
      </c>
      <c r="K20" s="8">
        <f>+TblPresupuesto185[[#This Row],[precio]]*TblPresupuesto185[[#This Row],[Nueva Cantidad]]</f>
        <v>16569.989999999998</v>
      </c>
      <c r="L20" s="9">
        <v>11046.66</v>
      </c>
      <c r="O20" t="s">
        <v>405</v>
      </c>
      <c r="P20" t="s">
        <v>406</v>
      </c>
      <c r="Q20" t="str">
        <f t="shared" si="0"/>
        <v>'621004',</v>
      </c>
      <c r="R20" t="str">
        <f t="shared" si="1"/>
        <v>'60',</v>
      </c>
      <c r="S20" t="str">
        <f t="shared" si="2"/>
        <v>'0',</v>
      </c>
      <c r="T20" t="str">
        <f t="shared" si="3"/>
        <v>'MdSoft',</v>
      </c>
      <c r="U20" t="s">
        <v>411</v>
      </c>
    </row>
    <row r="21" spans="1:21" x14ac:dyDescent="0.3">
      <c r="A21" s="7">
        <v>930012</v>
      </c>
      <c r="B21" s="7" t="s">
        <v>264</v>
      </c>
      <c r="C21" s="7" t="s">
        <v>243</v>
      </c>
      <c r="D21" s="7">
        <v>15</v>
      </c>
      <c r="E21" s="8">
        <v>115.67</v>
      </c>
      <c r="F21" s="8">
        <f>+ROUNDUP(TblPresupuesto185[[#This Row],[UnidadesProm_Mes]]*1.5,0)</f>
        <v>174</v>
      </c>
      <c r="G21" s="8">
        <v>0</v>
      </c>
      <c r="H21" s="8" t="s">
        <v>410</v>
      </c>
      <c r="I21" s="8"/>
      <c r="J21" s="8">
        <f>+TblPresupuesto185[[#This Row],[MontoBrutoProm_Mes]]/TblPresupuesto185[[#This Row],[UnidadesProm_Mes]]</f>
        <v>91.84939915276216</v>
      </c>
      <c r="K21" s="8">
        <f>+TblPresupuesto185[[#This Row],[precio]]*TblPresupuesto185[[#This Row],[Nueva Cantidad]]</f>
        <v>15981.795452580616</v>
      </c>
      <c r="L21" s="9">
        <v>10624.22</v>
      </c>
      <c r="O21" t="s">
        <v>405</v>
      </c>
      <c r="P21" t="s">
        <v>406</v>
      </c>
      <c r="Q21" t="str">
        <f t="shared" si="0"/>
        <v>'930012',</v>
      </c>
      <c r="R21" t="str">
        <f t="shared" si="1"/>
        <v>'174',</v>
      </c>
      <c r="S21" t="str">
        <f t="shared" si="2"/>
        <v>'0',</v>
      </c>
      <c r="T21" t="str">
        <f t="shared" si="3"/>
        <v>'MdSoft',</v>
      </c>
      <c r="U21" t="s">
        <v>411</v>
      </c>
    </row>
    <row r="22" spans="1:21" x14ac:dyDescent="0.3">
      <c r="A22" s="7">
        <v>611053</v>
      </c>
      <c r="B22" s="7" t="s">
        <v>253</v>
      </c>
      <c r="C22" s="7" t="s">
        <v>217</v>
      </c>
      <c r="D22" s="7">
        <v>19</v>
      </c>
      <c r="E22" s="8">
        <v>480</v>
      </c>
      <c r="F22" s="8">
        <f>+ROUNDUP(TblPresupuesto185[[#This Row],[UnidadesProm_Mes]]*1.5,0)</f>
        <v>720</v>
      </c>
      <c r="G22" s="8">
        <v>0</v>
      </c>
      <c r="H22" s="8" t="s">
        <v>410</v>
      </c>
      <c r="I22" s="8"/>
      <c r="J22" s="8">
        <f>+TblPresupuesto185[[#This Row],[MontoBrutoProm_Mes]]/TblPresupuesto185[[#This Row],[UnidadesProm_Mes]]</f>
        <v>21.43791666666667</v>
      </c>
      <c r="K22" s="8">
        <f>+TblPresupuesto185[[#This Row],[precio]]*TblPresupuesto185[[#This Row],[Nueva Cantidad]]</f>
        <v>15435.300000000003</v>
      </c>
      <c r="L22" s="9">
        <v>10290.200000000001</v>
      </c>
      <c r="O22" t="s">
        <v>405</v>
      </c>
      <c r="P22" t="s">
        <v>406</v>
      </c>
      <c r="Q22" t="str">
        <f t="shared" si="0"/>
        <v>'611053',</v>
      </c>
      <c r="R22" t="str">
        <f t="shared" si="1"/>
        <v>'720',</v>
      </c>
      <c r="S22" t="str">
        <f t="shared" si="2"/>
        <v>'0',</v>
      </c>
      <c r="T22" t="str">
        <f t="shared" si="3"/>
        <v>'MdSoft',</v>
      </c>
      <c r="U22" t="s">
        <v>411</v>
      </c>
    </row>
    <row r="23" spans="1:21" x14ac:dyDescent="0.3">
      <c r="A23" s="7">
        <v>800791</v>
      </c>
      <c r="B23" s="7" t="s">
        <v>259</v>
      </c>
      <c r="C23" s="7" t="s">
        <v>243</v>
      </c>
      <c r="D23" s="7">
        <v>11</v>
      </c>
      <c r="E23" s="8">
        <v>64</v>
      </c>
      <c r="F23" s="8">
        <f>+ROUNDUP(TblPresupuesto185[[#This Row],[UnidadesProm_Mes]]*1.5,0)</f>
        <v>96</v>
      </c>
      <c r="G23" s="8">
        <v>0</v>
      </c>
      <c r="H23" s="8" t="s">
        <v>410</v>
      </c>
      <c r="I23" s="8"/>
      <c r="J23" s="8">
        <f>+TblPresupuesto185[[#This Row],[MontoBrutoProm_Mes]]/TblPresupuesto185[[#This Row],[UnidadesProm_Mes]]</f>
        <v>154.675625</v>
      </c>
      <c r="K23" s="8">
        <f>+TblPresupuesto185[[#This Row],[precio]]*TblPresupuesto185[[#This Row],[Nueva Cantidad]]</f>
        <v>14848.86</v>
      </c>
      <c r="L23" s="9">
        <v>9899.24</v>
      </c>
      <c r="O23" t="s">
        <v>405</v>
      </c>
      <c r="P23" t="s">
        <v>406</v>
      </c>
      <c r="Q23" t="str">
        <f t="shared" si="0"/>
        <v>'800791',</v>
      </c>
      <c r="R23" t="str">
        <f t="shared" si="1"/>
        <v>'96',</v>
      </c>
      <c r="S23" t="str">
        <f t="shared" si="2"/>
        <v>'0',</v>
      </c>
      <c r="T23" t="str">
        <f t="shared" si="3"/>
        <v>'MdSoft',</v>
      </c>
      <c r="U23" t="s">
        <v>411</v>
      </c>
    </row>
    <row r="24" spans="1:21" x14ac:dyDescent="0.3">
      <c r="A24" s="7">
        <v>930025</v>
      </c>
      <c r="B24" s="7" t="s">
        <v>244</v>
      </c>
      <c r="C24" s="7" t="s">
        <v>243</v>
      </c>
      <c r="D24" s="7">
        <v>19</v>
      </c>
      <c r="E24" s="8">
        <v>136.33000000000001</v>
      </c>
      <c r="F24" s="8">
        <f>+ROUNDUP(TblPresupuesto185[[#This Row],[UnidadesProm_Mes]]*1.5,0)</f>
        <v>205</v>
      </c>
      <c r="G24" s="8">
        <v>0</v>
      </c>
      <c r="H24" s="8" t="s">
        <v>410</v>
      </c>
      <c r="I24" s="8"/>
      <c r="J24" s="8">
        <f>+TblPresupuesto185[[#This Row],[MontoBrutoProm_Mes]]/TblPresupuesto185[[#This Row],[UnidadesProm_Mes]]</f>
        <v>58.490354287390886</v>
      </c>
      <c r="K24" s="8">
        <f>+TblPresupuesto185[[#This Row],[precio]]*TblPresupuesto185[[#This Row],[Nueva Cantidad]]</f>
        <v>11990.522628915132</v>
      </c>
      <c r="L24" s="9">
        <v>7973.99</v>
      </c>
      <c r="O24" t="s">
        <v>405</v>
      </c>
      <c r="P24" t="s">
        <v>406</v>
      </c>
      <c r="Q24" t="str">
        <f t="shared" si="0"/>
        <v>'930025',</v>
      </c>
      <c r="R24" t="str">
        <f t="shared" si="1"/>
        <v>'205',</v>
      </c>
      <c r="S24" t="str">
        <f t="shared" si="2"/>
        <v>'0',</v>
      </c>
      <c r="T24" t="str">
        <f t="shared" si="3"/>
        <v>'MdSoft',</v>
      </c>
      <c r="U24" t="s">
        <v>411</v>
      </c>
    </row>
    <row r="25" spans="1:21" x14ac:dyDescent="0.3">
      <c r="A25" s="7">
        <v>800793</v>
      </c>
      <c r="B25" s="7" t="s">
        <v>260</v>
      </c>
      <c r="C25" s="7" t="s">
        <v>243</v>
      </c>
      <c r="D25" s="7">
        <v>14</v>
      </c>
      <c r="E25" s="8">
        <v>46.01</v>
      </c>
      <c r="F25" s="8">
        <f>+ROUNDUP(TblPresupuesto185[[#This Row],[UnidadesProm_Mes]]*1.5,0)</f>
        <v>70</v>
      </c>
      <c r="G25" s="8">
        <v>0</v>
      </c>
      <c r="H25" s="8" t="s">
        <v>410</v>
      </c>
      <c r="I25" s="8"/>
      <c r="J25" s="8">
        <f>+TblPresupuesto185[[#This Row],[MontoBrutoProm_Mes]]/TblPresupuesto185[[#This Row],[UnidadesProm_Mes]]</f>
        <v>156.45794392523365</v>
      </c>
      <c r="K25" s="8">
        <f>+TblPresupuesto185[[#This Row],[precio]]*TblPresupuesto185[[#This Row],[Nueva Cantidad]]</f>
        <v>10952.056074766355</v>
      </c>
      <c r="L25" s="9">
        <v>7198.63</v>
      </c>
      <c r="O25" t="s">
        <v>405</v>
      </c>
      <c r="P25" t="s">
        <v>406</v>
      </c>
      <c r="Q25" t="str">
        <f t="shared" si="0"/>
        <v>'800793',</v>
      </c>
      <c r="R25" t="str">
        <f t="shared" si="1"/>
        <v>'70',</v>
      </c>
      <c r="S25" t="str">
        <f t="shared" si="2"/>
        <v>'0',</v>
      </c>
      <c r="T25" t="str">
        <f t="shared" si="3"/>
        <v>'MdSoft',</v>
      </c>
      <c r="U25" t="s">
        <v>411</v>
      </c>
    </row>
    <row r="26" spans="1:21" x14ac:dyDescent="0.3">
      <c r="A26" s="7">
        <v>101124</v>
      </c>
      <c r="B26" s="7" t="s">
        <v>322</v>
      </c>
      <c r="C26" s="7" t="s">
        <v>215</v>
      </c>
      <c r="D26" s="7">
        <v>7</v>
      </c>
      <c r="E26" s="8">
        <v>96</v>
      </c>
      <c r="F26" s="8">
        <f>+ROUNDUP(TblPresupuesto185[[#This Row],[UnidadesProm_Mes]]*1.5,0)</f>
        <v>144</v>
      </c>
      <c r="G26" s="8">
        <v>0</v>
      </c>
      <c r="H26" s="8" t="s">
        <v>410</v>
      </c>
      <c r="I26" s="8"/>
      <c r="J26" s="8">
        <f>+TblPresupuesto185[[#This Row],[MontoBrutoProm_Mes]]/TblPresupuesto185[[#This Row],[UnidadesProm_Mes]]</f>
        <v>73.7</v>
      </c>
      <c r="K26" s="8">
        <f>+TblPresupuesto185[[#This Row],[precio]]*TblPresupuesto185[[#This Row],[Nueva Cantidad]]</f>
        <v>10612.800000000001</v>
      </c>
      <c r="L26" s="9">
        <v>7075.2</v>
      </c>
      <c r="O26" t="s">
        <v>405</v>
      </c>
      <c r="P26" t="s">
        <v>406</v>
      </c>
      <c r="Q26" t="str">
        <f t="shared" si="0"/>
        <v>'101124',</v>
      </c>
      <c r="R26" t="str">
        <f t="shared" si="1"/>
        <v>'144',</v>
      </c>
      <c r="S26" t="str">
        <f t="shared" si="2"/>
        <v>'0',</v>
      </c>
      <c r="T26" t="str">
        <f t="shared" si="3"/>
        <v>'MdSoft',</v>
      </c>
      <c r="U26" t="s">
        <v>411</v>
      </c>
    </row>
    <row r="27" spans="1:21" x14ac:dyDescent="0.3">
      <c r="A27" s="7">
        <v>925095</v>
      </c>
      <c r="B27" s="7" t="s">
        <v>280</v>
      </c>
      <c r="C27" s="7" t="s">
        <v>220</v>
      </c>
      <c r="D27" s="7">
        <v>9</v>
      </c>
      <c r="E27" s="8">
        <v>147</v>
      </c>
      <c r="F27" s="8">
        <f>+ROUNDUP(TblPresupuesto185[[#This Row],[UnidadesProm_Mes]]*1.5,0)</f>
        <v>221</v>
      </c>
      <c r="G27" s="8">
        <v>0</v>
      </c>
      <c r="H27" s="8" t="s">
        <v>410</v>
      </c>
      <c r="I27" s="8"/>
      <c r="J27" s="8">
        <f>+TblPresupuesto185[[#This Row],[MontoBrutoProm_Mes]]/TblPresupuesto185[[#This Row],[UnidadesProm_Mes]]</f>
        <v>47.026122448979592</v>
      </c>
      <c r="K27" s="8">
        <f>+TblPresupuesto185[[#This Row],[precio]]*TblPresupuesto185[[#This Row],[Nueva Cantidad]]</f>
        <v>10392.77306122449</v>
      </c>
      <c r="L27" s="9">
        <v>6912.84</v>
      </c>
      <c r="O27" t="s">
        <v>405</v>
      </c>
      <c r="P27" t="s">
        <v>406</v>
      </c>
      <c r="Q27" t="str">
        <f t="shared" si="0"/>
        <v>'925095',</v>
      </c>
      <c r="R27" t="str">
        <f t="shared" si="1"/>
        <v>'221',</v>
      </c>
      <c r="S27" t="str">
        <f t="shared" si="2"/>
        <v>'0',</v>
      </c>
      <c r="T27" t="str">
        <f t="shared" si="3"/>
        <v>'MdSoft',</v>
      </c>
      <c r="U27" t="s">
        <v>411</v>
      </c>
    </row>
    <row r="28" spans="1:21" x14ac:dyDescent="0.3">
      <c r="A28" s="7">
        <v>982003</v>
      </c>
      <c r="B28" s="7" t="s">
        <v>269</v>
      </c>
      <c r="C28" s="7" t="s">
        <v>270</v>
      </c>
      <c r="D28" s="7">
        <v>6</v>
      </c>
      <c r="E28" s="8">
        <v>25.66</v>
      </c>
      <c r="F28" s="8">
        <f>+ROUNDUP(TblPresupuesto185[[#This Row],[UnidadesProm_Mes]]*1.5,0)</f>
        <v>39</v>
      </c>
      <c r="G28" s="8">
        <v>0</v>
      </c>
      <c r="H28" s="8" t="s">
        <v>410</v>
      </c>
      <c r="I28" s="8"/>
      <c r="J28" s="8">
        <f>+TblPresupuesto185[[#This Row],[MontoBrutoProm_Mes]]/TblPresupuesto185[[#This Row],[UnidadesProm_Mes]]</f>
        <v>260.06780982073263</v>
      </c>
      <c r="K28" s="8">
        <f>+TblPresupuesto185[[#This Row],[precio]]*TblPresupuesto185[[#This Row],[Nueva Cantidad]]</f>
        <v>10142.644583008572</v>
      </c>
      <c r="L28" s="9">
        <v>6673.34</v>
      </c>
      <c r="O28" t="s">
        <v>405</v>
      </c>
      <c r="P28" t="s">
        <v>406</v>
      </c>
      <c r="Q28" t="str">
        <f t="shared" si="0"/>
        <v>'982003',</v>
      </c>
      <c r="R28" t="str">
        <f t="shared" si="1"/>
        <v>'39',</v>
      </c>
      <c r="S28" t="str">
        <f t="shared" si="2"/>
        <v>'0',</v>
      </c>
      <c r="T28" t="str">
        <f t="shared" si="3"/>
        <v>'MdSoft',</v>
      </c>
      <c r="U28" t="s">
        <v>411</v>
      </c>
    </row>
    <row r="29" spans="1:21" x14ac:dyDescent="0.3">
      <c r="A29" s="7">
        <v>103202</v>
      </c>
      <c r="B29" s="7" t="s">
        <v>287</v>
      </c>
      <c r="C29" s="7" t="s">
        <v>215</v>
      </c>
      <c r="D29" s="7">
        <v>5</v>
      </c>
      <c r="E29" s="8">
        <v>68</v>
      </c>
      <c r="F29" s="8">
        <f>+ROUNDUP(TblPresupuesto185[[#This Row],[UnidadesProm_Mes]]*1.5,0)</f>
        <v>102</v>
      </c>
      <c r="G29" s="8">
        <v>0</v>
      </c>
      <c r="H29" s="8" t="s">
        <v>410</v>
      </c>
      <c r="I29" s="8"/>
      <c r="J29" s="8">
        <f>+TblPresupuesto185[[#This Row],[MontoBrutoProm_Mes]]/TblPresupuesto185[[#This Row],[UnidadesProm_Mes]]</f>
        <v>97.74</v>
      </c>
      <c r="K29" s="8">
        <f>+TblPresupuesto185[[#This Row],[precio]]*TblPresupuesto185[[#This Row],[Nueva Cantidad]]</f>
        <v>9969.48</v>
      </c>
      <c r="L29" s="9">
        <v>6646.32</v>
      </c>
      <c r="O29" t="s">
        <v>405</v>
      </c>
      <c r="P29" t="s">
        <v>406</v>
      </c>
      <c r="Q29" t="str">
        <f t="shared" si="0"/>
        <v>'103202',</v>
      </c>
      <c r="R29" t="str">
        <f t="shared" si="1"/>
        <v>'102',</v>
      </c>
      <c r="S29" t="str">
        <f t="shared" si="2"/>
        <v>'0',</v>
      </c>
      <c r="T29" t="str">
        <f t="shared" si="3"/>
        <v>'MdSoft',</v>
      </c>
      <c r="U29" t="s">
        <v>411</v>
      </c>
    </row>
    <row r="30" spans="1:21" x14ac:dyDescent="0.3">
      <c r="A30" s="7">
        <v>930022</v>
      </c>
      <c r="B30" s="7" t="s">
        <v>265</v>
      </c>
      <c r="C30" s="7" t="s">
        <v>243</v>
      </c>
      <c r="D30" s="7">
        <v>12</v>
      </c>
      <c r="E30" s="8">
        <v>70</v>
      </c>
      <c r="F30" s="8">
        <f>+ROUNDUP(TblPresupuesto185[[#This Row],[UnidadesProm_Mes]]*1.5,0)</f>
        <v>105</v>
      </c>
      <c r="G30" s="8">
        <v>0</v>
      </c>
      <c r="H30" s="8" t="s">
        <v>410</v>
      </c>
      <c r="I30" s="8"/>
      <c r="J30" s="8">
        <f>+TblPresupuesto185[[#This Row],[MontoBrutoProm_Mes]]/TblPresupuesto185[[#This Row],[UnidadesProm_Mes]]</f>
        <v>91.591571428571427</v>
      </c>
      <c r="K30" s="8">
        <f>+TblPresupuesto185[[#This Row],[precio]]*TblPresupuesto185[[#This Row],[Nueva Cantidad]]</f>
        <v>9617.1149999999998</v>
      </c>
      <c r="L30" s="9">
        <v>6411.41</v>
      </c>
      <c r="O30" t="s">
        <v>405</v>
      </c>
      <c r="P30" t="s">
        <v>406</v>
      </c>
      <c r="Q30" t="str">
        <f t="shared" si="0"/>
        <v>'930022',</v>
      </c>
      <c r="R30" t="str">
        <f t="shared" si="1"/>
        <v>'105',</v>
      </c>
      <c r="S30" t="str">
        <f t="shared" si="2"/>
        <v>'0',</v>
      </c>
      <c r="T30" t="str">
        <f t="shared" si="3"/>
        <v>'MdSoft',</v>
      </c>
      <c r="U30" t="s">
        <v>411</v>
      </c>
    </row>
    <row r="31" spans="1:21" x14ac:dyDescent="0.3">
      <c r="A31" s="7">
        <v>611049</v>
      </c>
      <c r="B31" s="7" t="s">
        <v>251</v>
      </c>
      <c r="C31" s="7" t="s">
        <v>217</v>
      </c>
      <c r="D31" s="7">
        <v>11</v>
      </c>
      <c r="E31" s="8">
        <v>201.33</v>
      </c>
      <c r="F31" s="8">
        <f>+ROUNDUP(TblPresupuesto185[[#This Row],[UnidadesProm_Mes]]*1.5,0)</f>
        <v>302</v>
      </c>
      <c r="G31" s="8">
        <v>0</v>
      </c>
      <c r="H31" s="8" t="s">
        <v>410</v>
      </c>
      <c r="I31" s="8"/>
      <c r="J31" s="8">
        <f>+TblPresupuesto185[[#This Row],[MontoBrutoProm_Mes]]/TblPresupuesto185[[#This Row],[UnidadesProm_Mes]]</f>
        <v>29.516167486216656</v>
      </c>
      <c r="K31" s="8">
        <f>+TblPresupuesto185[[#This Row],[precio]]*TblPresupuesto185[[#This Row],[Nueva Cantidad]]</f>
        <v>8913.8825808374295</v>
      </c>
      <c r="L31" s="9">
        <v>5942.49</v>
      </c>
      <c r="O31" t="s">
        <v>405</v>
      </c>
      <c r="P31" t="s">
        <v>406</v>
      </c>
      <c r="Q31" t="str">
        <f t="shared" si="0"/>
        <v>'611049',</v>
      </c>
      <c r="R31" t="str">
        <f t="shared" si="1"/>
        <v>'302',</v>
      </c>
      <c r="S31" t="str">
        <f t="shared" si="2"/>
        <v>'0',</v>
      </c>
      <c r="T31" t="str">
        <f t="shared" si="3"/>
        <v>'MdSoft',</v>
      </c>
      <c r="U31" t="s">
        <v>411</v>
      </c>
    </row>
    <row r="32" spans="1:21" x14ac:dyDescent="0.3">
      <c r="A32" s="7">
        <v>621008</v>
      </c>
      <c r="B32" s="7" t="s">
        <v>289</v>
      </c>
      <c r="C32" s="7" t="s">
        <v>239</v>
      </c>
      <c r="D32" s="7">
        <v>6</v>
      </c>
      <c r="E32" s="8">
        <v>31</v>
      </c>
      <c r="F32" s="8">
        <f>+ROUNDUP(TblPresupuesto185[[#This Row],[UnidadesProm_Mes]]*1.5,0)</f>
        <v>47</v>
      </c>
      <c r="G32" s="8">
        <v>0</v>
      </c>
      <c r="H32" s="8" t="s">
        <v>410</v>
      </c>
      <c r="I32" s="8"/>
      <c r="J32" s="8">
        <f>+TblPresupuesto185[[#This Row],[MontoBrutoProm_Mes]]/TblPresupuesto185[[#This Row],[UnidadesProm_Mes]]</f>
        <v>186.6432258064516</v>
      </c>
      <c r="K32" s="8">
        <f>+TblPresupuesto185[[#This Row],[precio]]*TblPresupuesto185[[#This Row],[Nueva Cantidad]]</f>
        <v>8772.2316129032242</v>
      </c>
      <c r="L32" s="9">
        <v>5785.94</v>
      </c>
      <c r="O32" t="s">
        <v>405</v>
      </c>
      <c r="P32" t="s">
        <v>406</v>
      </c>
      <c r="Q32" t="str">
        <f t="shared" si="0"/>
        <v>'621008',</v>
      </c>
      <c r="R32" t="str">
        <f t="shared" si="1"/>
        <v>'47',</v>
      </c>
      <c r="S32" t="str">
        <f t="shared" si="2"/>
        <v>'0',</v>
      </c>
      <c r="T32" t="str">
        <f t="shared" si="3"/>
        <v>'MdSoft',</v>
      </c>
      <c r="U32" t="s">
        <v>411</v>
      </c>
    </row>
    <row r="33" spans="1:21" x14ac:dyDescent="0.3">
      <c r="A33" s="7">
        <v>925078</v>
      </c>
      <c r="B33" s="7" t="s">
        <v>221</v>
      </c>
      <c r="C33" s="7" t="s">
        <v>220</v>
      </c>
      <c r="D33" s="7">
        <v>11</v>
      </c>
      <c r="E33" s="8">
        <v>75</v>
      </c>
      <c r="F33" s="8">
        <f>+ROUNDUP(TblPresupuesto185[[#This Row],[UnidadesProm_Mes]]*1.5,0)</f>
        <v>113</v>
      </c>
      <c r="G33" s="8">
        <v>0</v>
      </c>
      <c r="H33" s="8" t="s">
        <v>410</v>
      </c>
      <c r="I33" s="8"/>
      <c r="J33" s="8">
        <f>+TblPresupuesto185[[#This Row],[MontoBrutoProm_Mes]]/TblPresupuesto185[[#This Row],[UnidadesProm_Mes]]</f>
        <v>73.619866666666667</v>
      </c>
      <c r="K33" s="8">
        <f>+TblPresupuesto185[[#This Row],[precio]]*TblPresupuesto185[[#This Row],[Nueva Cantidad]]</f>
        <v>8319.0449333333327</v>
      </c>
      <c r="L33" s="9">
        <v>5521.49</v>
      </c>
      <c r="O33" t="s">
        <v>405</v>
      </c>
      <c r="P33" t="s">
        <v>406</v>
      </c>
      <c r="Q33" t="str">
        <f t="shared" si="0"/>
        <v>'925078',</v>
      </c>
      <c r="R33" t="str">
        <f t="shared" si="1"/>
        <v>'113',</v>
      </c>
      <c r="S33" t="str">
        <f t="shared" si="2"/>
        <v>'0',</v>
      </c>
      <c r="T33" t="str">
        <f t="shared" si="3"/>
        <v>'MdSoft',</v>
      </c>
      <c r="U33" t="s">
        <v>411</v>
      </c>
    </row>
    <row r="34" spans="1:21" x14ac:dyDescent="0.3">
      <c r="A34" s="7">
        <v>101145</v>
      </c>
      <c r="B34" s="7" t="s">
        <v>275</v>
      </c>
      <c r="C34" s="7" t="s">
        <v>215</v>
      </c>
      <c r="D34" s="7">
        <v>7</v>
      </c>
      <c r="E34" s="8">
        <v>120</v>
      </c>
      <c r="F34" s="8">
        <f>+ROUNDUP(TblPresupuesto185[[#This Row],[UnidadesProm_Mes]]*1.5,0)</f>
        <v>180</v>
      </c>
      <c r="G34" s="8">
        <v>0</v>
      </c>
      <c r="H34" s="8" t="s">
        <v>410</v>
      </c>
      <c r="I34" s="8"/>
      <c r="J34" s="8">
        <f>+TblPresupuesto185[[#This Row],[MontoBrutoProm_Mes]]/TblPresupuesto185[[#This Row],[UnidadesProm_Mes]]</f>
        <v>43.57</v>
      </c>
      <c r="K34" s="8">
        <f>+TblPresupuesto185[[#This Row],[precio]]*TblPresupuesto185[[#This Row],[Nueva Cantidad]]</f>
        <v>7842.6</v>
      </c>
      <c r="L34" s="9">
        <v>5228.3999999999996</v>
      </c>
      <c r="O34" t="s">
        <v>405</v>
      </c>
      <c r="P34" t="s">
        <v>406</v>
      </c>
      <c r="Q34" t="str">
        <f t="shared" si="0"/>
        <v>'101145',</v>
      </c>
      <c r="R34" t="str">
        <f t="shared" si="1"/>
        <v>'180',</v>
      </c>
      <c r="S34" t="str">
        <f t="shared" si="2"/>
        <v>'0',</v>
      </c>
      <c r="T34" t="str">
        <f t="shared" si="3"/>
        <v>'MdSoft',</v>
      </c>
      <c r="U34" t="s">
        <v>411</v>
      </c>
    </row>
    <row r="35" spans="1:21" x14ac:dyDescent="0.3">
      <c r="A35" s="7">
        <v>621006</v>
      </c>
      <c r="B35" s="7" t="s">
        <v>288</v>
      </c>
      <c r="C35" s="7" t="s">
        <v>239</v>
      </c>
      <c r="D35" s="7">
        <v>6</v>
      </c>
      <c r="E35" s="8">
        <v>28</v>
      </c>
      <c r="F35" s="8">
        <f>+ROUNDUP(TblPresupuesto185[[#This Row],[UnidadesProm_Mes]]*1.5,0)</f>
        <v>42</v>
      </c>
      <c r="G35" s="8">
        <v>0</v>
      </c>
      <c r="H35" s="8" t="s">
        <v>410</v>
      </c>
      <c r="I35" s="8"/>
      <c r="J35" s="8">
        <f>+TblPresupuesto185[[#This Row],[MontoBrutoProm_Mes]]/TblPresupuesto185[[#This Row],[UnidadesProm_Mes]]</f>
        <v>186.65857142857141</v>
      </c>
      <c r="K35" s="8">
        <f>+TblPresupuesto185[[#This Row],[precio]]*TblPresupuesto185[[#This Row],[Nueva Cantidad]]</f>
        <v>7839.6599999999989</v>
      </c>
      <c r="L35" s="9">
        <v>5226.4399999999996</v>
      </c>
      <c r="O35" t="s">
        <v>405</v>
      </c>
      <c r="P35" t="s">
        <v>406</v>
      </c>
      <c r="Q35" t="str">
        <f t="shared" si="0"/>
        <v>'621006',</v>
      </c>
      <c r="R35" t="str">
        <f t="shared" si="1"/>
        <v>'42',</v>
      </c>
      <c r="S35" t="str">
        <f t="shared" si="2"/>
        <v>'0',</v>
      </c>
      <c r="T35" t="str">
        <f t="shared" si="3"/>
        <v>'MdSoft',</v>
      </c>
      <c r="U35" t="s">
        <v>411</v>
      </c>
    </row>
    <row r="36" spans="1:21" x14ac:dyDescent="0.3">
      <c r="A36" s="7">
        <v>101072</v>
      </c>
      <c r="B36" s="7" t="s">
        <v>273</v>
      </c>
      <c r="C36" s="7" t="s">
        <v>215</v>
      </c>
      <c r="D36" s="7">
        <v>11</v>
      </c>
      <c r="E36" s="8">
        <v>114.67</v>
      </c>
      <c r="F36" s="8">
        <f>+ROUNDUP(TblPresupuesto185[[#This Row],[UnidadesProm_Mes]]*1.5,0)</f>
        <v>173</v>
      </c>
      <c r="G36" s="8">
        <v>0</v>
      </c>
      <c r="H36" s="8" t="s">
        <v>410</v>
      </c>
      <c r="I36" s="8"/>
      <c r="J36" s="8">
        <f>+TblPresupuesto185[[#This Row],[MontoBrutoProm_Mes]]/TblPresupuesto185[[#This Row],[UnidadesProm_Mes]]</f>
        <v>43.548704979506404</v>
      </c>
      <c r="K36" s="8">
        <f>+TblPresupuesto185[[#This Row],[precio]]*TblPresupuesto185[[#This Row],[Nueva Cantidad]]</f>
        <v>7533.9259614546081</v>
      </c>
      <c r="L36" s="9">
        <v>4993.7299999999996</v>
      </c>
      <c r="O36" t="s">
        <v>405</v>
      </c>
      <c r="P36" t="s">
        <v>406</v>
      </c>
      <c r="Q36" t="str">
        <f t="shared" si="0"/>
        <v>'101072',</v>
      </c>
      <c r="R36" t="str">
        <f t="shared" si="1"/>
        <v>'173',</v>
      </c>
      <c r="S36" t="str">
        <f t="shared" si="2"/>
        <v>'0',</v>
      </c>
      <c r="T36" t="str">
        <f t="shared" si="3"/>
        <v>'MdSoft',</v>
      </c>
      <c r="U36" t="s">
        <v>411</v>
      </c>
    </row>
    <row r="37" spans="1:21" x14ac:dyDescent="0.3">
      <c r="A37" s="7">
        <v>925094</v>
      </c>
      <c r="B37" s="7" t="s">
        <v>298</v>
      </c>
      <c r="C37" s="7" t="s">
        <v>220</v>
      </c>
      <c r="D37" s="7">
        <v>9</v>
      </c>
      <c r="E37" s="8">
        <v>91.67</v>
      </c>
      <c r="F37" s="8">
        <f>+ROUNDUP(TblPresupuesto185[[#This Row],[UnidadesProm_Mes]]*1.5,0)</f>
        <v>138</v>
      </c>
      <c r="G37" s="8">
        <v>0</v>
      </c>
      <c r="H37" s="8" t="s">
        <v>410</v>
      </c>
      <c r="I37" s="8"/>
      <c r="J37" s="8">
        <f>+TblPresupuesto185[[#This Row],[MontoBrutoProm_Mes]]/TblPresupuesto185[[#This Row],[UnidadesProm_Mes]]</f>
        <v>47.400349078215335</v>
      </c>
      <c r="K37" s="8">
        <f>+TblPresupuesto185[[#This Row],[precio]]*TblPresupuesto185[[#This Row],[Nueva Cantidad]]</f>
        <v>6541.2481727937165</v>
      </c>
      <c r="L37" s="9">
        <v>4345.1899999999996</v>
      </c>
      <c r="O37" t="s">
        <v>405</v>
      </c>
      <c r="P37" t="s">
        <v>406</v>
      </c>
      <c r="Q37" t="str">
        <f t="shared" si="0"/>
        <v>'925094',</v>
      </c>
      <c r="R37" t="str">
        <f t="shared" si="1"/>
        <v>'138',</v>
      </c>
      <c r="S37" t="str">
        <f t="shared" si="2"/>
        <v>'0',</v>
      </c>
      <c r="T37" t="str">
        <f t="shared" si="3"/>
        <v>'MdSoft',</v>
      </c>
      <c r="U37" t="s">
        <v>411</v>
      </c>
    </row>
    <row r="38" spans="1:21" x14ac:dyDescent="0.3">
      <c r="A38" s="7">
        <v>925076</v>
      </c>
      <c r="B38" s="7" t="s">
        <v>278</v>
      </c>
      <c r="C38" s="7" t="s">
        <v>220</v>
      </c>
      <c r="D38" s="7">
        <v>5</v>
      </c>
      <c r="E38" s="8">
        <v>80.33</v>
      </c>
      <c r="F38" s="8">
        <f>+ROUNDUP(TblPresupuesto185[[#This Row],[UnidadesProm_Mes]]*1.5,0)</f>
        <v>121</v>
      </c>
      <c r="G38" s="8">
        <v>0</v>
      </c>
      <c r="H38" s="8" t="s">
        <v>410</v>
      </c>
      <c r="I38" s="8"/>
      <c r="J38" s="8">
        <f>+TblPresupuesto185[[#This Row],[MontoBrutoProm_Mes]]/TblPresupuesto185[[#This Row],[UnidadesProm_Mes]]</f>
        <v>41.377318560936139</v>
      </c>
      <c r="K38" s="8">
        <f>+TblPresupuesto185[[#This Row],[precio]]*TblPresupuesto185[[#This Row],[Nueva Cantidad]]</f>
        <v>5006.6555458732728</v>
      </c>
      <c r="L38" s="9">
        <v>3323.84</v>
      </c>
      <c r="O38" t="s">
        <v>405</v>
      </c>
      <c r="P38" t="s">
        <v>406</v>
      </c>
      <c r="Q38" t="str">
        <f t="shared" si="0"/>
        <v>'925076',</v>
      </c>
      <c r="R38" t="str">
        <f t="shared" si="1"/>
        <v>'121',</v>
      </c>
      <c r="S38" t="str">
        <f t="shared" si="2"/>
        <v>'0',</v>
      </c>
      <c r="T38" t="str">
        <f t="shared" si="3"/>
        <v>'MdSoft',</v>
      </c>
      <c r="U38" t="s">
        <v>411</v>
      </c>
    </row>
    <row r="39" spans="1:21" x14ac:dyDescent="0.3">
      <c r="A39" s="7">
        <v>611221</v>
      </c>
      <c r="B39" s="7" t="s">
        <v>293</v>
      </c>
      <c r="C39" s="7" t="s">
        <v>294</v>
      </c>
      <c r="D39" s="7">
        <v>7</v>
      </c>
      <c r="E39" s="8">
        <v>16.329999999999998</v>
      </c>
      <c r="F39" s="8">
        <f>+ROUNDUP(TblPresupuesto185[[#This Row],[UnidadesProm_Mes]]*1.5,0)</f>
        <v>25</v>
      </c>
      <c r="G39" s="8">
        <v>0</v>
      </c>
      <c r="H39" s="8" t="s">
        <v>410</v>
      </c>
      <c r="I39" s="8"/>
      <c r="J39" s="8">
        <f>+TblPresupuesto185[[#This Row],[MontoBrutoProm_Mes]]/TblPresupuesto185[[#This Row],[UnidadesProm_Mes]]</f>
        <v>199.45560318432337</v>
      </c>
      <c r="K39" s="8">
        <f>+TblPresupuesto185[[#This Row],[precio]]*TblPresupuesto185[[#This Row],[Nueva Cantidad]]</f>
        <v>4986.3900796080843</v>
      </c>
      <c r="L39" s="9">
        <v>3257.11</v>
      </c>
      <c r="O39" t="s">
        <v>405</v>
      </c>
      <c r="P39" t="s">
        <v>406</v>
      </c>
      <c r="Q39" t="str">
        <f t="shared" si="0"/>
        <v>'611221',</v>
      </c>
      <c r="R39" t="str">
        <f t="shared" si="1"/>
        <v>'25',</v>
      </c>
      <c r="S39" t="str">
        <f t="shared" si="2"/>
        <v>'0',</v>
      </c>
      <c r="T39" t="str">
        <f t="shared" si="3"/>
        <v>'MdSoft',</v>
      </c>
      <c r="U39" t="s">
        <v>411</v>
      </c>
    </row>
    <row r="40" spans="1:21" x14ac:dyDescent="0.3">
      <c r="A40" s="7">
        <v>960105</v>
      </c>
      <c r="B40" s="7" t="s">
        <v>305</v>
      </c>
      <c r="C40" s="7" t="s">
        <v>306</v>
      </c>
      <c r="D40" s="7">
        <v>4</v>
      </c>
      <c r="E40" s="8">
        <v>16.329999999999998</v>
      </c>
      <c r="F40" s="8">
        <f>+ROUNDUP(TblPresupuesto185[[#This Row],[UnidadesProm_Mes]]*1.5,0)</f>
        <v>25</v>
      </c>
      <c r="G40" s="8">
        <v>0</v>
      </c>
      <c r="H40" s="8" t="s">
        <v>410</v>
      </c>
      <c r="I40" s="8"/>
      <c r="J40" s="8">
        <f>+TblPresupuesto185[[#This Row],[MontoBrutoProm_Mes]]/TblPresupuesto185[[#This Row],[UnidadesProm_Mes]]</f>
        <v>192.93508879363139</v>
      </c>
      <c r="K40" s="8">
        <f>+TblPresupuesto185[[#This Row],[precio]]*TblPresupuesto185[[#This Row],[Nueva Cantidad]]</f>
        <v>4823.3772198407851</v>
      </c>
      <c r="L40" s="9">
        <v>3150.63</v>
      </c>
      <c r="O40" t="s">
        <v>405</v>
      </c>
      <c r="P40" t="s">
        <v>406</v>
      </c>
      <c r="Q40" t="str">
        <f t="shared" si="0"/>
        <v>'960105',</v>
      </c>
      <c r="R40" t="str">
        <f t="shared" si="1"/>
        <v>'25',</v>
      </c>
      <c r="S40" t="str">
        <f t="shared" si="2"/>
        <v>'0',</v>
      </c>
      <c r="T40" t="str">
        <f t="shared" si="3"/>
        <v>'MdSoft',</v>
      </c>
      <c r="U40" t="s">
        <v>411</v>
      </c>
    </row>
    <row r="41" spans="1:21" x14ac:dyDescent="0.3">
      <c r="A41" s="7">
        <v>930021</v>
      </c>
      <c r="B41" s="7" t="s">
        <v>300</v>
      </c>
      <c r="C41" s="7" t="s">
        <v>243</v>
      </c>
      <c r="D41" s="7">
        <v>11</v>
      </c>
      <c r="E41" s="8">
        <v>32.33</v>
      </c>
      <c r="F41" s="8">
        <f>+ROUNDUP(TblPresupuesto185[[#This Row],[UnidadesProm_Mes]]*1.5,0)</f>
        <v>49</v>
      </c>
      <c r="G41" s="8">
        <v>0</v>
      </c>
      <c r="H41" s="8" t="s">
        <v>410</v>
      </c>
      <c r="I41" s="8"/>
      <c r="J41" s="8">
        <f>+TblPresupuesto185[[#This Row],[MontoBrutoProm_Mes]]/TblPresupuesto185[[#This Row],[UnidadesProm_Mes]]</f>
        <v>91.830807299721627</v>
      </c>
      <c r="K41" s="8">
        <f>+TblPresupuesto185[[#This Row],[precio]]*TblPresupuesto185[[#This Row],[Nueva Cantidad]]</f>
        <v>4499.7095576863594</v>
      </c>
      <c r="L41" s="9">
        <v>2968.89</v>
      </c>
      <c r="O41" t="s">
        <v>405</v>
      </c>
      <c r="P41" t="s">
        <v>406</v>
      </c>
      <c r="Q41" t="str">
        <f t="shared" si="0"/>
        <v>'930021',</v>
      </c>
      <c r="R41" t="str">
        <f t="shared" si="1"/>
        <v>'49',</v>
      </c>
      <c r="S41" t="str">
        <f t="shared" si="2"/>
        <v>'0',</v>
      </c>
      <c r="T41" t="str">
        <f t="shared" si="3"/>
        <v>'MdSoft',</v>
      </c>
      <c r="U41" t="s">
        <v>411</v>
      </c>
    </row>
    <row r="42" spans="1:21" x14ac:dyDescent="0.3">
      <c r="A42" s="7">
        <v>511005</v>
      </c>
      <c r="B42" s="7" t="s">
        <v>249</v>
      </c>
      <c r="C42" s="7" t="s">
        <v>217</v>
      </c>
      <c r="D42" s="7">
        <v>7</v>
      </c>
      <c r="E42" s="8">
        <v>40</v>
      </c>
      <c r="F42" s="8">
        <f>+ROUNDUP(TblPresupuesto185[[#This Row],[UnidadesProm_Mes]]*1.5,0)</f>
        <v>60</v>
      </c>
      <c r="G42" s="8">
        <v>0</v>
      </c>
      <c r="H42" s="8" t="s">
        <v>410</v>
      </c>
      <c r="I42" s="8"/>
      <c r="J42" s="8">
        <f>+TblPresupuesto185[[#This Row],[MontoBrutoProm_Mes]]/TblPresupuesto185[[#This Row],[UnidadesProm_Mes]]</f>
        <v>66.0715</v>
      </c>
      <c r="K42" s="8">
        <f>+TblPresupuesto185[[#This Row],[precio]]*TblPresupuesto185[[#This Row],[Nueva Cantidad]]</f>
        <v>3964.29</v>
      </c>
      <c r="L42" s="9">
        <v>2642.86</v>
      </c>
      <c r="O42" t="s">
        <v>405</v>
      </c>
      <c r="P42" t="s">
        <v>406</v>
      </c>
      <c r="Q42" t="str">
        <f t="shared" si="0"/>
        <v>'511005',</v>
      </c>
      <c r="R42" t="str">
        <f t="shared" si="1"/>
        <v>'60',</v>
      </c>
      <c r="S42" t="str">
        <f t="shared" si="2"/>
        <v>'0',</v>
      </c>
      <c r="T42" t="str">
        <f t="shared" si="3"/>
        <v>'MdSoft',</v>
      </c>
      <c r="U42" t="s">
        <v>411</v>
      </c>
    </row>
    <row r="43" spans="1:21" x14ac:dyDescent="0.3">
      <c r="A43" s="7">
        <v>103208</v>
      </c>
      <c r="B43" s="7" t="s">
        <v>236</v>
      </c>
      <c r="C43" s="7" t="s">
        <v>215</v>
      </c>
      <c r="D43" s="7">
        <v>4</v>
      </c>
      <c r="E43" s="8">
        <v>33</v>
      </c>
      <c r="F43" s="8">
        <f>+ROUNDUP(TblPresupuesto185[[#This Row],[UnidadesProm_Mes]]*1.5,0)</f>
        <v>50</v>
      </c>
      <c r="G43" s="8">
        <v>0</v>
      </c>
      <c r="H43" s="8" t="s">
        <v>410</v>
      </c>
      <c r="I43" s="8"/>
      <c r="J43" s="8">
        <f>+TblPresupuesto185[[#This Row],[MontoBrutoProm_Mes]]/TblPresupuesto185[[#This Row],[UnidadesProm_Mes]]</f>
        <v>76.89</v>
      </c>
      <c r="K43" s="8">
        <f>+TblPresupuesto185[[#This Row],[precio]]*TblPresupuesto185[[#This Row],[Nueva Cantidad]]</f>
        <v>3844.5</v>
      </c>
      <c r="L43" s="9">
        <v>2537.37</v>
      </c>
      <c r="O43" t="s">
        <v>405</v>
      </c>
      <c r="P43" t="s">
        <v>406</v>
      </c>
      <c r="Q43" t="str">
        <f t="shared" si="0"/>
        <v>'103208',</v>
      </c>
      <c r="R43" t="str">
        <f t="shared" si="1"/>
        <v>'50',</v>
      </c>
      <c r="S43" t="str">
        <f t="shared" si="2"/>
        <v>'0',</v>
      </c>
      <c r="T43" t="str">
        <f t="shared" si="3"/>
        <v>'MdSoft',</v>
      </c>
      <c r="U43" t="s">
        <v>411</v>
      </c>
    </row>
    <row r="44" spans="1:21" x14ac:dyDescent="0.3">
      <c r="A44" s="7">
        <v>101111</v>
      </c>
      <c r="B44" s="7" t="s">
        <v>339</v>
      </c>
      <c r="C44" s="7" t="s">
        <v>215</v>
      </c>
      <c r="D44" s="7">
        <v>3</v>
      </c>
      <c r="E44" s="8">
        <v>25</v>
      </c>
      <c r="F44" s="8">
        <f>+ROUNDUP(TblPresupuesto185[[#This Row],[UnidadesProm_Mes]]*1.5,0)</f>
        <v>38</v>
      </c>
      <c r="G44" s="8">
        <v>0</v>
      </c>
      <c r="H44" s="8" t="s">
        <v>410</v>
      </c>
      <c r="I44" s="8"/>
      <c r="J44" s="8">
        <f>+TblPresupuesto185[[#This Row],[MontoBrutoProm_Mes]]/TblPresupuesto185[[#This Row],[UnidadesProm_Mes]]</f>
        <v>96.145200000000003</v>
      </c>
      <c r="K44" s="8">
        <f>+TblPresupuesto185[[#This Row],[precio]]*TblPresupuesto185[[#This Row],[Nueva Cantidad]]</f>
        <v>3653.5176000000001</v>
      </c>
      <c r="L44" s="9">
        <v>2403.63</v>
      </c>
      <c r="O44" t="s">
        <v>405</v>
      </c>
      <c r="P44" t="s">
        <v>406</v>
      </c>
      <c r="Q44" t="str">
        <f t="shared" si="0"/>
        <v>'101111',</v>
      </c>
      <c r="R44" t="str">
        <f t="shared" si="1"/>
        <v>'38',</v>
      </c>
      <c r="S44" t="str">
        <f t="shared" si="2"/>
        <v>'0',</v>
      </c>
      <c r="T44" t="str">
        <f t="shared" si="3"/>
        <v>'MdSoft',</v>
      </c>
      <c r="U44" t="s">
        <v>411</v>
      </c>
    </row>
    <row r="45" spans="1:21" x14ac:dyDescent="0.3">
      <c r="A45" s="7">
        <v>930154</v>
      </c>
      <c r="B45" s="7" t="s">
        <v>245</v>
      </c>
      <c r="C45" s="7" t="s">
        <v>243</v>
      </c>
      <c r="D45" s="7">
        <v>15</v>
      </c>
      <c r="E45" s="8">
        <v>26.65</v>
      </c>
      <c r="F45" s="8">
        <f>+ROUNDUP(TblPresupuesto185[[#This Row],[UnidadesProm_Mes]]*1.5,0)</f>
        <v>40</v>
      </c>
      <c r="G45" s="8">
        <v>0</v>
      </c>
      <c r="H45" s="8" t="s">
        <v>410</v>
      </c>
      <c r="I45" s="8"/>
      <c r="J45" s="8">
        <f>+TblPresupuesto185[[#This Row],[MontoBrutoProm_Mes]]/TblPresupuesto185[[#This Row],[UnidadesProm_Mes]]</f>
        <v>88.509568480300203</v>
      </c>
      <c r="K45" s="8">
        <f>+TblPresupuesto185[[#This Row],[precio]]*TblPresupuesto185[[#This Row],[Nueva Cantidad]]</f>
        <v>3540.3827392120083</v>
      </c>
      <c r="L45" s="9">
        <v>2358.7800000000002</v>
      </c>
      <c r="O45" t="s">
        <v>405</v>
      </c>
      <c r="P45" t="s">
        <v>406</v>
      </c>
      <c r="Q45" t="str">
        <f t="shared" si="0"/>
        <v>'930154',</v>
      </c>
      <c r="R45" t="str">
        <f t="shared" si="1"/>
        <v>'40',</v>
      </c>
      <c r="S45" t="str">
        <f t="shared" si="2"/>
        <v>'0',</v>
      </c>
      <c r="T45" t="str">
        <f t="shared" si="3"/>
        <v>'MdSoft',</v>
      </c>
      <c r="U45" t="s">
        <v>411</v>
      </c>
    </row>
    <row r="46" spans="1:21" x14ac:dyDescent="0.3">
      <c r="A46" s="7">
        <v>930023</v>
      </c>
      <c r="B46" s="7" t="s">
        <v>335</v>
      </c>
      <c r="C46" s="7" t="s">
        <v>243</v>
      </c>
      <c r="D46" s="7">
        <v>6</v>
      </c>
      <c r="E46" s="8">
        <v>16.34</v>
      </c>
      <c r="F46" s="8">
        <f>+ROUNDUP(TblPresupuesto185[[#This Row],[UnidadesProm_Mes]]*1.5,0)</f>
        <v>25</v>
      </c>
      <c r="G46" s="8">
        <v>0</v>
      </c>
      <c r="H46" s="8" t="s">
        <v>410</v>
      </c>
      <c r="I46" s="8"/>
      <c r="J46" s="8">
        <f>+TblPresupuesto185[[#This Row],[MontoBrutoProm_Mes]]/TblPresupuesto185[[#This Row],[UnidadesProm_Mes]]</f>
        <v>142.74357405140759</v>
      </c>
      <c r="K46" s="8">
        <f>+TblPresupuesto185[[#This Row],[precio]]*TblPresupuesto185[[#This Row],[Nueva Cantidad]]</f>
        <v>3568.5893512851899</v>
      </c>
      <c r="L46" s="9">
        <v>2332.4299999999998</v>
      </c>
      <c r="O46" t="s">
        <v>405</v>
      </c>
      <c r="P46" t="s">
        <v>406</v>
      </c>
      <c r="Q46" t="str">
        <f t="shared" si="0"/>
        <v>'930023',</v>
      </c>
      <c r="R46" t="str">
        <f t="shared" si="1"/>
        <v>'25',</v>
      </c>
      <c r="S46" t="str">
        <f t="shared" si="2"/>
        <v>'0',</v>
      </c>
      <c r="T46" t="str">
        <f t="shared" si="3"/>
        <v>'MdSoft',</v>
      </c>
      <c r="U46" t="s">
        <v>411</v>
      </c>
    </row>
    <row r="47" spans="1:21" x14ac:dyDescent="0.3">
      <c r="A47" s="7">
        <v>611052</v>
      </c>
      <c r="B47" s="7" t="s">
        <v>252</v>
      </c>
      <c r="C47" s="7" t="s">
        <v>217</v>
      </c>
      <c r="D47" s="7">
        <v>9</v>
      </c>
      <c r="E47" s="8">
        <v>102</v>
      </c>
      <c r="F47" s="8">
        <f>+ROUNDUP(TblPresupuesto185[[#This Row],[UnidadesProm_Mes]]*1.5,0)</f>
        <v>153</v>
      </c>
      <c r="G47" s="8">
        <v>0</v>
      </c>
      <c r="H47" s="8" t="s">
        <v>410</v>
      </c>
      <c r="I47" s="8"/>
      <c r="J47" s="8">
        <f>+TblPresupuesto185[[#This Row],[MontoBrutoProm_Mes]]/TblPresupuesto185[[#This Row],[UnidadesProm_Mes]]</f>
        <v>21.472745098039212</v>
      </c>
      <c r="K47" s="8">
        <f>+TblPresupuesto185[[#This Row],[precio]]*TblPresupuesto185[[#This Row],[Nueva Cantidad]]</f>
        <v>3285.3299999999995</v>
      </c>
      <c r="L47" s="9">
        <v>2190.2199999999998</v>
      </c>
      <c r="O47" t="s">
        <v>405</v>
      </c>
      <c r="P47" t="s">
        <v>406</v>
      </c>
      <c r="Q47" t="str">
        <f t="shared" si="0"/>
        <v>'611052',</v>
      </c>
      <c r="R47" t="str">
        <f t="shared" si="1"/>
        <v>'153',</v>
      </c>
      <c r="S47" t="str">
        <f t="shared" si="2"/>
        <v>'0',</v>
      </c>
      <c r="T47" t="str">
        <f t="shared" si="3"/>
        <v>'MdSoft',</v>
      </c>
      <c r="U47" t="s">
        <v>411</v>
      </c>
    </row>
    <row r="48" spans="1:21" x14ac:dyDescent="0.3">
      <c r="A48" s="7">
        <v>101132</v>
      </c>
      <c r="B48" s="7" t="s">
        <v>340</v>
      </c>
      <c r="C48" s="7" t="s">
        <v>215</v>
      </c>
      <c r="D48" s="7">
        <v>3</v>
      </c>
      <c r="E48" s="8">
        <v>22</v>
      </c>
      <c r="F48" s="8">
        <f>+ROUNDUP(TblPresupuesto185[[#This Row],[UnidadesProm_Mes]]*1.5,0)</f>
        <v>33</v>
      </c>
      <c r="G48" s="8">
        <v>0</v>
      </c>
      <c r="H48" s="8" t="s">
        <v>410</v>
      </c>
      <c r="I48" s="8"/>
      <c r="J48" s="8">
        <f>+TblPresupuesto185[[#This Row],[MontoBrutoProm_Mes]]/TblPresupuesto185[[#This Row],[UnidadesProm_Mes]]</f>
        <v>96.673636363636376</v>
      </c>
      <c r="K48" s="8">
        <f>+TblPresupuesto185[[#This Row],[precio]]*TblPresupuesto185[[#This Row],[Nueva Cantidad]]</f>
        <v>3190.2300000000005</v>
      </c>
      <c r="L48" s="9">
        <v>2126.8200000000002</v>
      </c>
      <c r="O48" t="s">
        <v>405</v>
      </c>
      <c r="P48" t="s">
        <v>406</v>
      </c>
      <c r="Q48" t="str">
        <f t="shared" si="0"/>
        <v>'101132',</v>
      </c>
      <c r="R48" t="str">
        <f t="shared" si="1"/>
        <v>'33',</v>
      </c>
      <c r="S48" t="str">
        <f t="shared" si="2"/>
        <v>'0',</v>
      </c>
      <c r="T48" t="str">
        <f t="shared" si="3"/>
        <v>'MdSoft',</v>
      </c>
      <c r="U48" t="s">
        <v>411</v>
      </c>
    </row>
    <row r="49" spans="1:21" x14ac:dyDescent="0.3">
      <c r="A49" s="7">
        <v>930020</v>
      </c>
      <c r="B49" s="7" t="s">
        <v>299</v>
      </c>
      <c r="C49" s="7" t="s">
        <v>243</v>
      </c>
      <c r="D49" s="7">
        <v>11</v>
      </c>
      <c r="E49" s="8">
        <v>22.66</v>
      </c>
      <c r="F49" s="8">
        <f>+ROUNDUP(TblPresupuesto185[[#This Row],[UnidadesProm_Mes]]*1.5,0)</f>
        <v>34</v>
      </c>
      <c r="G49" s="8">
        <v>0</v>
      </c>
      <c r="H49" s="8" t="s">
        <v>410</v>
      </c>
      <c r="I49" s="8"/>
      <c r="J49" s="8">
        <f>+TblPresupuesto185[[#This Row],[MontoBrutoProm_Mes]]/TblPresupuesto185[[#This Row],[UnidadesProm_Mes]]</f>
        <v>92.887466902029999</v>
      </c>
      <c r="K49" s="8">
        <f>+TblPresupuesto185[[#This Row],[precio]]*TblPresupuesto185[[#This Row],[Nueva Cantidad]]</f>
        <v>3158.1738746690198</v>
      </c>
      <c r="L49" s="9">
        <v>2104.83</v>
      </c>
      <c r="O49" t="s">
        <v>405</v>
      </c>
      <c r="P49" t="s">
        <v>406</v>
      </c>
      <c r="Q49" t="str">
        <f t="shared" si="0"/>
        <v>'930020',</v>
      </c>
      <c r="R49" t="str">
        <f t="shared" si="1"/>
        <v>'34',</v>
      </c>
      <c r="S49" t="str">
        <f t="shared" si="2"/>
        <v>'0',</v>
      </c>
      <c r="T49" t="str">
        <f t="shared" si="3"/>
        <v>'MdSoft',</v>
      </c>
      <c r="U49" t="s">
        <v>411</v>
      </c>
    </row>
    <row r="50" spans="1:21" x14ac:dyDescent="0.3">
      <c r="A50" s="7">
        <v>101018</v>
      </c>
      <c r="B50" s="7" t="s">
        <v>321</v>
      </c>
      <c r="C50" s="7" t="s">
        <v>215</v>
      </c>
      <c r="D50" s="7">
        <v>3</v>
      </c>
      <c r="E50" s="8">
        <v>117.33</v>
      </c>
      <c r="F50" s="8">
        <f>+ROUNDUP(TblPresupuesto185[[#This Row],[UnidadesProm_Mes]]*1.5,0)</f>
        <v>176</v>
      </c>
      <c r="G50" s="8">
        <v>0</v>
      </c>
      <c r="H50" s="8" t="s">
        <v>410</v>
      </c>
      <c r="I50" s="8"/>
      <c r="J50" s="8">
        <f>+TblPresupuesto185[[#This Row],[MontoBrutoProm_Mes]]/TblPresupuesto185[[#This Row],[UnidadesProm_Mes]]</f>
        <v>17.560470467911021</v>
      </c>
      <c r="K50" s="8">
        <f>+TblPresupuesto185[[#This Row],[precio]]*TblPresupuesto185[[#This Row],[Nueva Cantidad]]</f>
        <v>3090.6428023523395</v>
      </c>
      <c r="L50" s="9">
        <v>2060.37</v>
      </c>
      <c r="O50" t="s">
        <v>405</v>
      </c>
      <c r="P50" t="s">
        <v>406</v>
      </c>
      <c r="Q50" t="str">
        <f t="shared" si="0"/>
        <v>'101018',</v>
      </c>
      <c r="R50" t="str">
        <f t="shared" si="1"/>
        <v>'176',</v>
      </c>
      <c r="S50" t="str">
        <f t="shared" si="2"/>
        <v>'0',</v>
      </c>
      <c r="T50" t="str">
        <f t="shared" si="3"/>
        <v>'MdSoft',</v>
      </c>
      <c r="U50" t="s">
        <v>411</v>
      </c>
    </row>
    <row r="51" spans="1:21" x14ac:dyDescent="0.3">
      <c r="A51" s="7">
        <v>910103</v>
      </c>
      <c r="B51" s="7" t="s">
        <v>295</v>
      </c>
      <c r="C51" s="7" t="s">
        <v>296</v>
      </c>
      <c r="D51" s="7">
        <v>6</v>
      </c>
      <c r="E51" s="8">
        <v>72</v>
      </c>
      <c r="F51" s="8">
        <f>+ROUNDUP(TblPresupuesto185[[#This Row],[UnidadesProm_Mes]]*1.5,0)</f>
        <v>108</v>
      </c>
      <c r="G51" s="8">
        <v>0</v>
      </c>
      <c r="H51" s="8" t="s">
        <v>410</v>
      </c>
      <c r="I51" s="8"/>
      <c r="J51" s="8">
        <f>+TblPresupuesto185[[#This Row],[MontoBrutoProm_Mes]]/TblPresupuesto185[[#This Row],[UnidadesProm_Mes]]</f>
        <v>28.263333333333335</v>
      </c>
      <c r="K51" s="8">
        <f>+TblPresupuesto185[[#This Row],[precio]]*TblPresupuesto185[[#This Row],[Nueva Cantidad]]</f>
        <v>3052.44</v>
      </c>
      <c r="L51" s="9">
        <v>2034.96</v>
      </c>
      <c r="O51" t="s">
        <v>405</v>
      </c>
      <c r="P51" t="s">
        <v>406</v>
      </c>
      <c r="Q51" t="str">
        <f t="shared" si="0"/>
        <v>'910103',</v>
      </c>
      <c r="R51" t="str">
        <f t="shared" si="1"/>
        <v>'108',</v>
      </c>
      <c r="S51" t="str">
        <f t="shared" si="2"/>
        <v>'0',</v>
      </c>
      <c r="T51" t="str">
        <f t="shared" si="3"/>
        <v>'MdSoft',</v>
      </c>
      <c r="U51" t="s">
        <v>411</v>
      </c>
    </row>
    <row r="52" spans="1:21" x14ac:dyDescent="0.3">
      <c r="A52" s="7">
        <v>220003</v>
      </c>
      <c r="B52" s="7" t="s">
        <v>359</v>
      </c>
      <c r="C52" s="7" t="s">
        <v>220</v>
      </c>
      <c r="D52" s="7">
        <v>3</v>
      </c>
      <c r="E52" s="8">
        <v>7.67</v>
      </c>
      <c r="F52" s="8">
        <f>+ROUNDUP(TblPresupuesto185[[#This Row],[UnidadesProm_Mes]]*1.5,0)</f>
        <v>12</v>
      </c>
      <c r="G52" s="8">
        <v>0</v>
      </c>
      <c r="H52" s="8" t="s">
        <v>410</v>
      </c>
      <c r="I52" s="8"/>
      <c r="J52" s="8">
        <f>+TblPresupuesto185[[#This Row],[MontoBrutoProm_Mes]]/TblPresupuesto185[[#This Row],[UnidadesProm_Mes]]</f>
        <v>263.92438070404171</v>
      </c>
      <c r="K52" s="8">
        <f>+TblPresupuesto185[[#This Row],[precio]]*TblPresupuesto185[[#This Row],[Nueva Cantidad]]</f>
        <v>3167.0925684485005</v>
      </c>
      <c r="L52" s="9">
        <v>2024.3</v>
      </c>
      <c r="O52" t="s">
        <v>405</v>
      </c>
      <c r="P52" t="s">
        <v>406</v>
      </c>
      <c r="Q52" t="str">
        <f t="shared" si="0"/>
        <v>'220003',</v>
      </c>
      <c r="R52" t="str">
        <f t="shared" si="1"/>
        <v>'12',</v>
      </c>
      <c r="S52" t="str">
        <f t="shared" si="2"/>
        <v>'0',</v>
      </c>
      <c r="T52" t="str">
        <f t="shared" si="3"/>
        <v>'MdSoft',</v>
      </c>
      <c r="U52" t="s">
        <v>411</v>
      </c>
    </row>
    <row r="53" spans="1:21" x14ac:dyDescent="0.3">
      <c r="A53" s="7">
        <v>930178</v>
      </c>
      <c r="B53" s="7" t="s">
        <v>267</v>
      </c>
      <c r="C53" s="7" t="s">
        <v>243</v>
      </c>
      <c r="D53" s="7">
        <v>14</v>
      </c>
      <c r="E53" s="8">
        <v>69.319999999999993</v>
      </c>
      <c r="F53" s="8">
        <f>+ROUNDUP(TblPresupuesto185[[#This Row],[UnidadesProm_Mes]]*1.5,0)</f>
        <v>104</v>
      </c>
      <c r="G53" s="8">
        <v>0</v>
      </c>
      <c r="H53" s="8" t="s">
        <v>410</v>
      </c>
      <c r="I53" s="8"/>
      <c r="J53" s="8">
        <f>+TblPresupuesto185[[#This Row],[MontoBrutoProm_Mes]]/TblPresupuesto185[[#This Row],[UnidadesProm_Mes]]</f>
        <v>28.467686093479518</v>
      </c>
      <c r="K53" s="8">
        <f>+TblPresupuesto185[[#This Row],[precio]]*TblPresupuesto185[[#This Row],[Nueva Cantidad]]</f>
        <v>2960.6393537218701</v>
      </c>
      <c r="L53" s="9">
        <v>1973.38</v>
      </c>
      <c r="O53" t="s">
        <v>405</v>
      </c>
      <c r="P53" t="s">
        <v>406</v>
      </c>
      <c r="Q53" t="str">
        <f t="shared" si="0"/>
        <v>'930178',</v>
      </c>
      <c r="R53" t="str">
        <f t="shared" si="1"/>
        <v>'104',</v>
      </c>
      <c r="S53" t="str">
        <f t="shared" si="2"/>
        <v>'0',</v>
      </c>
      <c r="T53" t="str">
        <f t="shared" si="3"/>
        <v>'MdSoft',</v>
      </c>
      <c r="U53" t="s">
        <v>411</v>
      </c>
    </row>
    <row r="54" spans="1:21" x14ac:dyDescent="0.3">
      <c r="A54" s="7">
        <v>930145</v>
      </c>
      <c r="B54" s="7" t="s">
        <v>316</v>
      </c>
      <c r="C54" s="7" t="s">
        <v>243</v>
      </c>
      <c r="D54" s="7">
        <v>12</v>
      </c>
      <c r="E54" s="8">
        <v>66.66</v>
      </c>
      <c r="F54" s="8">
        <f>+ROUNDUP(TblPresupuesto185[[#This Row],[UnidadesProm_Mes]]*1.5,0)</f>
        <v>100</v>
      </c>
      <c r="G54" s="8">
        <v>0</v>
      </c>
      <c r="H54" s="8" t="s">
        <v>410</v>
      </c>
      <c r="I54" s="8"/>
      <c r="J54" s="8">
        <f>+TblPresupuesto185[[#This Row],[MontoBrutoProm_Mes]]/TblPresupuesto185[[#This Row],[UnidadesProm_Mes]]</f>
        <v>28.410141014101409</v>
      </c>
      <c r="K54" s="8">
        <f>+TblPresupuesto185[[#This Row],[precio]]*TblPresupuesto185[[#This Row],[Nueva Cantidad]]</f>
        <v>2841.0141014101409</v>
      </c>
      <c r="L54" s="9">
        <v>1893.82</v>
      </c>
      <c r="O54" t="s">
        <v>405</v>
      </c>
      <c r="P54" t="s">
        <v>406</v>
      </c>
      <c r="Q54" t="str">
        <f t="shared" si="0"/>
        <v>'930145',</v>
      </c>
      <c r="R54" t="str">
        <f t="shared" si="1"/>
        <v>'100',</v>
      </c>
      <c r="S54" t="str">
        <f t="shared" si="2"/>
        <v>'0',</v>
      </c>
      <c r="T54" t="str">
        <f t="shared" si="3"/>
        <v>'MdSoft',</v>
      </c>
      <c r="U54" t="s">
        <v>411</v>
      </c>
    </row>
    <row r="55" spans="1:21" x14ac:dyDescent="0.3">
      <c r="A55" s="7">
        <v>930177</v>
      </c>
      <c r="B55" s="7" t="s">
        <v>317</v>
      </c>
      <c r="C55" s="7" t="s">
        <v>243</v>
      </c>
      <c r="D55" s="7">
        <v>9</v>
      </c>
      <c r="E55" s="8">
        <v>63.01</v>
      </c>
      <c r="F55" s="8">
        <f>+ROUNDUP(TblPresupuesto185[[#This Row],[UnidadesProm_Mes]]*1.5,0)</f>
        <v>95</v>
      </c>
      <c r="G55" s="8">
        <v>0</v>
      </c>
      <c r="H55" s="8" t="s">
        <v>410</v>
      </c>
      <c r="I55" s="8"/>
      <c r="J55" s="8">
        <f>+TblPresupuesto185[[#This Row],[MontoBrutoProm_Mes]]/TblPresupuesto185[[#This Row],[UnidadesProm_Mes]]</f>
        <v>28.442469449293764</v>
      </c>
      <c r="K55" s="8">
        <f>+TblPresupuesto185[[#This Row],[precio]]*TblPresupuesto185[[#This Row],[Nueva Cantidad]]</f>
        <v>2702.0345976829076</v>
      </c>
      <c r="L55" s="9">
        <v>1792.16</v>
      </c>
      <c r="O55" t="s">
        <v>405</v>
      </c>
      <c r="P55" t="s">
        <v>406</v>
      </c>
      <c r="Q55" t="str">
        <f t="shared" si="0"/>
        <v>'930177',</v>
      </c>
      <c r="R55" t="str">
        <f t="shared" si="1"/>
        <v>'95',</v>
      </c>
      <c r="S55" t="str">
        <f t="shared" si="2"/>
        <v>'0',</v>
      </c>
      <c r="T55" t="str">
        <f t="shared" si="3"/>
        <v>'MdSoft',</v>
      </c>
      <c r="U55" t="s">
        <v>411</v>
      </c>
    </row>
    <row r="56" spans="1:21" x14ac:dyDescent="0.3">
      <c r="A56" s="7">
        <v>930137</v>
      </c>
      <c r="B56" s="7" t="s">
        <v>311</v>
      </c>
      <c r="C56" s="7" t="s">
        <v>243</v>
      </c>
      <c r="D56" s="7">
        <v>11</v>
      </c>
      <c r="E56" s="8">
        <v>63</v>
      </c>
      <c r="F56" s="8">
        <f>+ROUNDUP(TblPresupuesto185[[#This Row],[UnidadesProm_Mes]]*1.5,0)</f>
        <v>95</v>
      </c>
      <c r="G56" s="8">
        <v>0</v>
      </c>
      <c r="H56" s="8" t="s">
        <v>410</v>
      </c>
      <c r="I56" s="8"/>
      <c r="J56" s="8">
        <f>+TblPresupuesto185[[#This Row],[MontoBrutoProm_Mes]]/TblPresupuesto185[[#This Row],[UnidadesProm_Mes]]</f>
        <v>28.416984126984126</v>
      </c>
      <c r="K56" s="8">
        <f>+TblPresupuesto185[[#This Row],[precio]]*TblPresupuesto185[[#This Row],[Nueva Cantidad]]</f>
        <v>2699.6134920634918</v>
      </c>
      <c r="L56" s="9">
        <v>1790.27</v>
      </c>
      <c r="O56" t="s">
        <v>405</v>
      </c>
      <c r="P56" t="s">
        <v>406</v>
      </c>
      <c r="Q56" t="str">
        <f t="shared" si="0"/>
        <v>'930137',</v>
      </c>
      <c r="R56" t="str">
        <f t="shared" si="1"/>
        <v>'95',</v>
      </c>
      <c r="S56" t="str">
        <f t="shared" si="2"/>
        <v>'0',</v>
      </c>
      <c r="T56" t="str">
        <f t="shared" si="3"/>
        <v>'MdSoft',</v>
      </c>
      <c r="U56" t="s">
        <v>411</v>
      </c>
    </row>
    <row r="57" spans="1:21" x14ac:dyDescent="0.3">
      <c r="A57" s="7">
        <v>930140</v>
      </c>
      <c r="B57" s="7" t="s">
        <v>314</v>
      </c>
      <c r="C57" s="7" t="s">
        <v>243</v>
      </c>
      <c r="D57" s="7">
        <v>11</v>
      </c>
      <c r="E57" s="8">
        <v>62</v>
      </c>
      <c r="F57" s="8">
        <f>+ROUNDUP(TblPresupuesto185[[#This Row],[UnidadesProm_Mes]]*1.5,0)</f>
        <v>93</v>
      </c>
      <c r="G57" s="8">
        <v>0</v>
      </c>
      <c r="H57" s="8" t="s">
        <v>410</v>
      </c>
      <c r="I57" s="8"/>
      <c r="J57" s="8">
        <f>+TblPresupuesto185[[#This Row],[MontoBrutoProm_Mes]]/TblPresupuesto185[[#This Row],[UnidadesProm_Mes]]</f>
        <v>28.446612903225809</v>
      </c>
      <c r="K57" s="8">
        <f>+TblPresupuesto185[[#This Row],[precio]]*TblPresupuesto185[[#This Row],[Nueva Cantidad]]</f>
        <v>2645.5350000000003</v>
      </c>
      <c r="L57" s="9">
        <v>1763.69</v>
      </c>
      <c r="O57" t="s">
        <v>405</v>
      </c>
      <c r="P57" t="s">
        <v>406</v>
      </c>
      <c r="Q57" t="str">
        <f t="shared" si="0"/>
        <v>'930140',</v>
      </c>
      <c r="R57" t="str">
        <f t="shared" si="1"/>
        <v>'93',</v>
      </c>
      <c r="S57" t="str">
        <f t="shared" si="2"/>
        <v>'0',</v>
      </c>
      <c r="T57" t="str">
        <f t="shared" si="3"/>
        <v>'MdSoft',</v>
      </c>
      <c r="U57" t="s">
        <v>411</v>
      </c>
    </row>
    <row r="58" spans="1:21" x14ac:dyDescent="0.3">
      <c r="A58" s="7">
        <v>930113</v>
      </c>
      <c r="B58" s="7" t="s">
        <v>303</v>
      </c>
      <c r="C58" s="7" t="s">
        <v>243</v>
      </c>
      <c r="D58" s="7">
        <v>8</v>
      </c>
      <c r="E58" s="8">
        <v>10.66</v>
      </c>
      <c r="F58" s="8">
        <f>+ROUNDUP(TblPresupuesto185[[#This Row],[UnidadesProm_Mes]]*1.5,0)</f>
        <v>16</v>
      </c>
      <c r="G58" s="8">
        <v>0</v>
      </c>
      <c r="H58" s="8" t="s">
        <v>410</v>
      </c>
      <c r="I58" s="8"/>
      <c r="J58" s="8">
        <f>+TblPresupuesto185[[#This Row],[MontoBrutoProm_Mes]]/TblPresupuesto185[[#This Row],[UnidadesProm_Mes]]</f>
        <v>158.93433395872421</v>
      </c>
      <c r="K58" s="8">
        <f>+TblPresupuesto185[[#This Row],[precio]]*TblPresupuesto185[[#This Row],[Nueva Cantidad]]</f>
        <v>2542.9493433395874</v>
      </c>
      <c r="L58" s="9">
        <v>1694.24</v>
      </c>
      <c r="O58" t="s">
        <v>405</v>
      </c>
      <c r="P58" t="s">
        <v>406</v>
      </c>
      <c r="Q58" t="str">
        <f t="shared" si="0"/>
        <v>'930113',</v>
      </c>
      <c r="R58" t="str">
        <f t="shared" si="1"/>
        <v>'16',</v>
      </c>
      <c r="S58" t="str">
        <f t="shared" si="2"/>
        <v>'0',</v>
      </c>
      <c r="T58" t="str">
        <f t="shared" si="3"/>
        <v>'MdSoft',</v>
      </c>
      <c r="U58" t="s">
        <v>411</v>
      </c>
    </row>
    <row r="59" spans="1:21" x14ac:dyDescent="0.3">
      <c r="A59" s="7">
        <v>220002</v>
      </c>
      <c r="B59" s="7" t="s">
        <v>358</v>
      </c>
      <c r="C59" s="7" t="s">
        <v>220</v>
      </c>
      <c r="D59" s="7">
        <v>3</v>
      </c>
      <c r="E59" s="8">
        <v>5.67</v>
      </c>
      <c r="F59" s="8">
        <f>+ROUNDUP(TblPresupuesto185[[#This Row],[UnidadesProm_Mes]]*1.5,0)</f>
        <v>9</v>
      </c>
      <c r="G59" s="8">
        <v>0</v>
      </c>
      <c r="H59" s="8" t="s">
        <v>410</v>
      </c>
      <c r="I59" s="8"/>
      <c r="J59" s="8">
        <f>+TblPresupuesto185[[#This Row],[MontoBrutoProm_Mes]]/TblPresupuesto185[[#This Row],[UnidadesProm_Mes]]</f>
        <v>261.94708994708998</v>
      </c>
      <c r="K59" s="8">
        <f>+TblPresupuesto185[[#This Row],[precio]]*TblPresupuesto185[[#This Row],[Nueva Cantidad]]</f>
        <v>2357.5238095238096</v>
      </c>
      <c r="L59" s="9">
        <v>1485.24</v>
      </c>
      <c r="O59" t="s">
        <v>405</v>
      </c>
      <c r="P59" t="s">
        <v>406</v>
      </c>
      <c r="Q59" t="str">
        <f t="shared" si="0"/>
        <v>'220002',</v>
      </c>
      <c r="R59" t="str">
        <f t="shared" si="1"/>
        <v>'9',</v>
      </c>
      <c r="S59" t="str">
        <f t="shared" si="2"/>
        <v>'0',</v>
      </c>
      <c r="T59" t="str">
        <f t="shared" si="3"/>
        <v>'MdSoft',</v>
      </c>
      <c r="U59" t="s">
        <v>411</v>
      </c>
    </row>
    <row r="60" spans="1:21" x14ac:dyDescent="0.3">
      <c r="A60" s="7">
        <v>930153</v>
      </c>
      <c r="B60" s="7" t="s">
        <v>282</v>
      </c>
      <c r="C60" s="7" t="s">
        <v>243</v>
      </c>
      <c r="D60" s="7">
        <v>9</v>
      </c>
      <c r="E60" s="8">
        <v>9.34</v>
      </c>
      <c r="F60" s="8">
        <f>+ROUNDUP(TblPresupuesto185[[#This Row],[UnidadesProm_Mes]]*1.5,0)</f>
        <v>15</v>
      </c>
      <c r="G60" s="8">
        <v>0</v>
      </c>
      <c r="H60" s="8" t="s">
        <v>410</v>
      </c>
      <c r="I60" s="8"/>
      <c r="J60" s="8">
        <f>+TblPresupuesto185[[#This Row],[MontoBrutoProm_Mes]]/TblPresupuesto185[[#This Row],[UnidadesProm_Mes]]</f>
        <v>158.08244111349038</v>
      </c>
      <c r="K60" s="8">
        <f>+TblPresupuesto185[[#This Row],[precio]]*TblPresupuesto185[[#This Row],[Nueva Cantidad]]</f>
        <v>2371.2366167023556</v>
      </c>
      <c r="L60" s="9">
        <v>1476.49</v>
      </c>
      <c r="O60" t="s">
        <v>405</v>
      </c>
      <c r="P60" t="s">
        <v>406</v>
      </c>
      <c r="Q60" t="str">
        <f t="shared" si="0"/>
        <v>'930153',</v>
      </c>
      <c r="R60" t="str">
        <f t="shared" si="1"/>
        <v>'15',</v>
      </c>
      <c r="S60" t="str">
        <f t="shared" si="2"/>
        <v>'0',</v>
      </c>
      <c r="T60" t="str">
        <f t="shared" si="3"/>
        <v>'MdSoft',</v>
      </c>
      <c r="U60" t="s">
        <v>411</v>
      </c>
    </row>
    <row r="61" spans="1:21" x14ac:dyDescent="0.3">
      <c r="A61" s="7">
        <v>925083</v>
      </c>
      <c r="B61" s="7" t="s">
        <v>346</v>
      </c>
      <c r="C61" s="7" t="s">
        <v>220</v>
      </c>
      <c r="D61" s="7">
        <v>3</v>
      </c>
      <c r="E61" s="8">
        <v>16</v>
      </c>
      <c r="F61" s="8">
        <f>+ROUNDUP(TblPresupuesto185[[#This Row],[UnidadesProm_Mes]]*1.5,0)</f>
        <v>24</v>
      </c>
      <c r="G61" s="8">
        <v>0</v>
      </c>
      <c r="H61" s="8" t="s">
        <v>410</v>
      </c>
      <c r="I61" s="8"/>
      <c r="J61" s="8">
        <f>+TblPresupuesto185[[#This Row],[MontoBrutoProm_Mes]]/TblPresupuesto185[[#This Row],[UnidadesProm_Mes]]</f>
        <v>84.82</v>
      </c>
      <c r="K61" s="8">
        <f>+TblPresupuesto185[[#This Row],[precio]]*TblPresupuesto185[[#This Row],[Nueva Cantidad]]</f>
        <v>2035.6799999999998</v>
      </c>
      <c r="L61" s="9">
        <v>1357.12</v>
      </c>
      <c r="O61" t="s">
        <v>405</v>
      </c>
      <c r="P61" t="s">
        <v>406</v>
      </c>
      <c r="Q61" t="str">
        <f t="shared" si="0"/>
        <v>'925083',</v>
      </c>
      <c r="R61" t="str">
        <f t="shared" si="1"/>
        <v>'24',</v>
      </c>
      <c r="S61" t="str">
        <f t="shared" si="2"/>
        <v>'0',</v>
      </c>
      <c r="T61" t="str">
        <f t="shared" si="3"/>
        <v>'MdSoft',</v>
      </c>
      <c r="U61" t="s">
        <v>411</v>
      </c>
    </row>
    <row r="62" spans="1:21" x14ac:dyDescent="0.3">
      <c r="A62" s="7">
        <v>611092</v>
      </c>
      <c r="B62" s="7" t="s">
        <v>348</v>
      </c>
      <c r="C62" s="7" t="s">
        <v>294</v>
      </c>
      <c r="D62" s="7">
        <v>5</v>
      </c>
      <c r="E62" s="8">
        <v>6.67</v>
      </c>
      <c r="F62" s="8">
        <f>+ROUNDUP(TblPresupuesto185[[#This Row],[UnidadesProm_Mes]]*1.5,0)</f>
        <v>11</v>
      </c>
      <c r="G62" s="8">
        <v>0</v>
      </c>
      <c r="H62" s="8" t="s">
        <v>410</v>
      </c>
      <c r="I62" s="8"/>
      <c r="J62" s="8">
        <f>+TblPresupuesto185[[#This Row],[MontoBrutoProm_Mes]]/TblPresupuesto185[[#This Row],[UnidadesProm_Mes]]</f>
        <v>201.59520239880061</v>
      </c>
      <c r="K62" s="8">
        <f>+TblPresupuesto185[[#This Row],[precio]]*TblPresupuesto185[[#This Row],[Nueva Cantidad]]</f>
        <v>2217.5472263868069</v>
      </c>
      <c r="L62" s="9">
        <v>1344.64</v>
      </c>
      <c r="O62" t="s">
        <v>405</v>
      </c>
      <c r="P62" t="s">
        <v>406</v>
      </c>
      <c r="Q62" t="str">
        <f t="shared" si="0"/>
        <v>'611092',</v>
      </c>
      <c r="R62" t="str">
        <f t="shared" si="1"/>
        <v>'11',</v>
      </c>
      <c r="S62" t="str">
        <f t="shared" si="2"/>
        <v>'0',</v>
      </c>
      <c r="T62" t="str">
        <f t="shared" si="3"/>
        <v>'MdSoft',</v>
      </c>
      <c r="U62" t="s">
        <v>411</v>
      </c>
    </row>
    <row r="63" spans="1:21" x14ac:dyDescent="0.3">
      <c r="A63" s="7">
        <v>930138</v>
      </c>
      <c r="B63" s="7" t="s">
        <v>312</v>
      </c>
      <c r="C63" s="7" t="s">
        <v>243</v>
      </c>
      <c r="D63" s="7">
        <v>11</v>
      </c>
      <c r="E63" s="8">
        <v>44.66</v>
      </c>
      <c r="F63" s="8">
        <f>+ROUNDUP(TblPresupuesto185[[#This Row],[UnidadesProm_Mes]]*1.5,0)</f>
        <v>67</v>
      </c>
      <c r="G63" s="8">
        <v>0</v>
      </c>
      <c r="H63" s="8" t="s">
        <v>410</v>
      </c>
      <c r="I63" s="8"/>
      <c r="J63" s="8">
        <f>+TblPresupuesto185[[#This Row],[MontoBrutoProm_Mes]]/TblPresupuesto185[[#This Row],[UnidadesProm_Mes]]</f>
        <v>28.361845051500229</v>
      </c>
      <c r="K63" s="8">
        <f>+TblPresupuesto185[[#This Row],[precio]]*TblPresupuesto185[[#This Row],[Nueva Cantidad]]</f>
        <v>1900.2436184505152</v>
      </c>
      <c r="L63" s="9">
        <v>1266.6400000000001</v>
      </c>
      <c r="O63" t="s">
        <v>405</v>
      </c>
      <c r="P63" t="s">
        <v>406</v>
      </c>
      <c r="Q63" t="str">
        <f t="shared" si="0"/>
        <v>'930138',</v>
      </c>
      <c r="R63" t="str">
        <f t="shared" si="1"/>
        <v>'67',</v>
      </c>
      <c r="S63" t="str">
        <f t="shared" si="2"/>
        <v>'0',</v>
      </c>
      <c r="T63" t="str">
        <f t="shared" si="3"/>
        <v>'MdSoft',</v>
      </c>
      <c r="U63" t="s">
        <v>411</v>
      </c>
    </row>
    <row r="64" spans="1:21" x14ac:dyDescent="0.3">
      <c r="A64" s="7">
        <v>910104</v>
      </c>
      <c r="B64" s="7" t="s">
        <v>309</v>
      </c>
      <c r="C64" s="7" t="s">
        <v>296</v>
      </c>
      <c r="D64" s="7">
        <v>4</v>
      </c>
      <c r="E64" s="8">
        <v>44</v>
      </c>
      <c r="F64" s="8">
        <f>+ROUNDUP(TblPresupuesto185[[#This Row],[UnidadesProm_Mes]]*1.5,0)</f>
        <v>66</v>
      </c>
      <c r="G64" s="8">
        <v>0</v>
      </c>
      <c r="H64" s="8" t="s">
        <v>410</v>
      </c>
      <c r="I64" s="8"/>
      <c r="J64" s="8">
        <f>+TblPresupuesto185[[#This Row],[MontoBrutoProm_Mes]]/TblPresupuesto185[[#This Row],[UnidadesProm_Mes]]</f>
        <v>28.229999999999997</v>
      </c>
      <c r="K64" s="8">
        <f>+TblPresupuesto185[[#This Row],[precio]]*TblPresupuesto185[[#This Row],[Nueva Cantidad]]</f>
        <v>1863.1799999999998</v>
      </c>
      <c r="L64" s="9">
        <v>1242.1199999999999</v>
      </c>
      <c r="O64" t="s">
        <v>405</v>
      </c>
      <c r="P64" t="s">
        <v>406</v>
      </c>
      <c r="Q64" t="str">
        <f t="shared" si="0"/>
        <v>'910104',</v>
      </c>
      <c r="R64" t="str">
        <f t="shared" si="1"/>
        <v>'66',</v>
      </c>
      <c r="S64" t="str">
        <f t="shared" si="2"/>
        <v>'0',</v>
      </c>
      <c r="T64" t="str">
        <f t="shared" si="3"/>
        <v>'MdSoft',</v>
      </c>
      <c r="U64" t="s">
        <v>411</v>
      </c>
    </row>
    <row r="65" spans="1:21" x14ac:dyDescent="0.3">
      <c r="A65" s="7">
        <v>925102</v>
      </c>
      <c r="B65" s="7" t="s">
        <v>319</v>
      </c>
      <c r="C65" s="7" t="s">
        <v>220</v>
      </c>
      <c r="D65" s="7">
        <v>2</v>
      </c>
      <c r="E65" s="8">
        <v>9</v>
      </c>
      <c r="F65" s="8">
        <f>+ROUNDUP(TblPresupuesto185[[#This Row],[UnidadesProm_Mes]]*1.5,0)</f>
        <v>14</v>
      </c>
      <c r="G65" s="8">
        <v>0</v>
      </c>
      <c r="H65" s="8" t="s">
        <v>410</v>
      </c>
      <c r="I65" s="8"/>
      <c r="J65" s="8">
        <f>+TblPresupuesto185[[#This Row],[MontoBrutoProm_Mes]]/TblPresupuesto185[[#This Row],[UnidadesProm_Mes]]</f>
        <v>137.19999999999999</v>
      </c>
      <c r="K65" s="8">
        <f>+TblPresupuesto185[[#This Row],[precio]]*TblPresupuesto185[[#This Row],[Nueva Cantidad]]</f>
        <v>1920.7999999999997</v>
      </c>
      <c r="L65" s="9">
        <v>1234.8</v>
      </c>
      <c r="O65" t="s">
        <v>405</v>
      </c>
      <c r="P65" t="s">
        <v>406</v>
      </c>
      <c r="Q65" t="str">
        <f t="shared" si="0"/>
        <v>'925102',</v>
      </c>
      <c r="R65" t="str">
        <f t="shared" si="1"/>
        <v>'14',</v>
      </c>
      <c r="S65" t="str">
        <f t="shared" si="2"/>
        <v>'0',</v>
      </c>
      <c r="T65" t="str">
        <f t="shared" si="3"/>
        <v>'MdSoft',</v>
      </c>
      <c r="U65" t="s">
        <v>411</v>
      </c>
    </row>
    <row r="66" spans="1:21" x14ac:dyDescent="0.3">
      <c r="A66" s="7">
        <v>101006</v>
      </c>
      <c r="B66" s="7" t="s">
        <v>357</v>
      </c>
      <c r="C66" s="7" t="s">
        <v>215</v>
      </c>
      <c r="D66" s="7">
        <v>1</v>
      </c>
      <c r="E66" s="8">
        <v>6</v>
      </c>
      <c r="F66" s="8">
        <f>+ROUNDUP(TblPresupuesto185[[#This Row],[UnidadesProm_Mes]]*1.5,0)</f>
        <v>9</v>
      </c>
      <c r="G66" s="8">
        <v>0</v>
      </c>
      <c r="H66" s="8" t="s">
        <v>410</v>
      </c>
      <c r="I66" s="8"/>
      <c r="J66" s="8">
        <f>+TblPresupuesto185[[#This Row],[MontoBrutoProm_Mes]]/TblPresupuesto185[[#This Row],[UnidadesProm_Mes]]</f>
        <v>186.44000000000003</v>
      </c>
      <c r="K66" s="8">
        <f>+TblPresupuesto185[[#This Row],[precio]]*TblPresupuesto185[[#This Row],[Nueva Cantidad]]</f>
        <v>1677.9600000000003</v>
      </c>
      <c r="L66" s="9">
        <v>1118.6400000000001</v>
      </c>
      <c r="O66" t="s">
        <v>405</v>
      </c>
      <c r="P66" t="s">
        <v>406</v>
      </c>
      <c r="Q66" t="str">
        <f t="shared" si="0"/>
        <v>'101006',</v>
      </c>
      <c r="R66" t="str">
        <f t="shared" si="1"/>
        <v>'9',</v>
      </c>
      <c r="S66" t="str">
        <f t="shared" si="2"/>
        <v>'0',</v>
      </c>
      <c r="T66" t="str">
        <f t="shared" si="3"/>
        <v>'MdSoft',</v>
      </c>
      <c r="U66" t="s">
        <v>411</v>
      </c>
    </row>
    <row r="67" spans="1:21" x14ac:dyDescent="0.3">
      <c r="A67" s="7">
        <v>930039</v>
      </c>
      <c r="B67" s="7" t="s">
        <v>281</v>
      </c>
      <c r="C67" s="7" t="s">
        <v>243</v>
      </c>
      <c r="D67" s="7">
        <v>2</v>
      </c>
      <c r="E67" s="8">
        <v>9.33</v>
      </c>
      <c r="F67" s="8">
        <f>+ROUNDUP(TblPresupuesto185[[#This Row],[UnidadesProm_Mes]]*1.5,0)</f>
        <v>14</v>
      </c>
      <c r="G67" s="8">
        <v>0</v>
      </c>
      <c r="H67" s="8" t="s">
        <v>410</v>
      </c>
      <c r="I67" s="8"/>
      <c r="J67" s="8">
        <f>+TblPresupuesto185[[#This Row],[MontoBrutoProm_Mes]]/TblPresupuesto185[[#This Row],[UnidadesProm_Mes]]</f>
        <v>104.58842443729903</v>
      </c>
      <c r="K67" s="8">
        <f>+TblPresupuesto185[[#This Row],[precio]]*TblPresupuesto185[[#This Row],[Nueva Cantidad]]</f>
        <v>1464.2379421221863</v>
      </c>
      <c r="L67" s="9">
        <v>975.81</v>
      </c>
      <c r="O67" t="s">
        <v>405</v>
      </c>
      <c r="P67" t="s">
        <v>406</v>
      </c>
      <c r="Q67" t="str">
        <f t="shared" ref="Q67:Q130" si="4">+CONCATENATE("'",A67,"'",",")</f>
        <v>'930039',</v>
      </c>
      <c r="R67" t="str">
        <f t="shared" ref="R67:R130" si="5">+CONCATENATE("'",F67,"'",",")</f>
        <v>'14',</v>
      </c>
      <c r="S67" t="str">
        <f t="shared" ref="S67:S130" si="6">+CONCATENATE("'",G67,"'",",")</f>
        <v>'0',</v>
      </c>
      <c r="T67" t="str">
        <f t="shared" ref="T67:T130" si="7">+CONCATENATE("'",H67,"'",",")</f>
        <v>'MdSoft',</v>
      </c>
      <c r="U67" t="s">
        <v>411</v>
      </c>
    </row>
    <row r="68" spans="1:21" x14ac:dyDescent="0.3">
      <c r="A68" s="7">
        <v>220004</v>
      </c>
      <c r="B68" s="7" t="s">
        <v>219</v>
      </c>
      <c r="C68" s="7" t="s">
        <v>220</v>
      </c>
      <c r="D68" s="7">
        <v>3</v>
      </c>
      <c r="E68" s="8">
        <v>3.66</v>
      </c>
      <c r="F68" s="8">
        <f>+ROUNDUP(TblPresupuesto185[[#This Row],[UnidadesProm_Mes]]*1.5,0)</f>
        <v>6</v>
      </c>
      <c r="G68" s="8">
        <v>0</v>
      </c>
      <c r="H68" s="8" t="s">
        <v>410</v>
      </c>
      <c r="I68" s="8"/>
      <c r="J68" s="8">
        <f>+TblPresupuesto185[[#This Row],[MontoBrutoProm_Mes]]/TblPresupuesto185[[#This Row],[UnidadesProm_Mes]]</f>
        <v>263.11748633879779</v>
      </c>
      <c r="K68" s="8">
        <f>+TblPresupuesto185[[#This Row],[precio]]*TblPresupuesto185[[#This Row],[Nueva Cantidad]]</f>
        <v>1578.7049180327867</v>
      </c>
      <c r="L68" s="9">
        <v>963.01</v>
      </c>
      <c r="O68" t="s">
        <v>405</v>
      </c>
      <c r="P68" t="s">
        <v>406</v>
      </c>
      <c r="Q68" t="str">
        <f t="shared" si="4"/>
        <v>'220004',</v>
      </c>
      <c r="R68" t="str">
        <f t="shared" si="5"/>
        <v>'6',</v>
      </c>
      <c r="S68" t="str">
        <f t="shared" si="6"/>
        <v>'0',</v>
      </c>
      <c r="T68" t="str">
        <f t="shared" si="7"/>
        <v>'MdSoft',</v>
      </c>
      <c r="U68" t="s">
        <v>411</v>
      </c>
    </row>
    <row r="69" spans="1:21" x14ac:dyDescent="0.3">
      <c r="A69" s="7">
        <v>950102</v>
      </c>
      <c r="B69" s="7" t="s">
        <v>291</v>
      </c>
      <c r="C69" s="7" t="s">
        <v>284</v>
      </c>
      <c r="D69" s="7">
        <v>1</v>
      </c>
      <c r="E69" s="8">
        <v>24</v>
      </c>
      <c r="F69" s="8">
        <f>+ROUNDUP(TblPresupuesto185[[#This Row],[UnidadesProm_Mes]]*1.5,0)</f>
        <v>36</v>
      </c>
      <c r="G69" s="8">
        <v>0</v>
      </c>
      <c r="H69" s="8" t="s">
        <v>410</v>
      </c>
      <c r="I69" s="8"/>
      <c r="J69" s="8">
        <f>+TblPresupuesto185[[#This Row],[MontoBrutoProm_Mes]]/TblPresupuesto185[[#This Row],[UnidadesProm_Mes]]</f>
        <v>39.520000000000003</v>
      </c>
      <c r="K69" s="8">
        <f>+TblPresupuesto185[[#This Row],[precio]]*TblPresupuesto185[[#This Row],[Nueva Cantidad]]</f>
        <v>1422.72</v>
      </c>
      <c r="L69" s="9">
        <v>948.48</v>
      </c>
      <c r="O69" t="s">
        <v>405</v>
      </c>
      <c r="P69" t="s">
        <v>406</v>
      </c>
      <c r="Q69" t="str">
        <f t="shared" si="4"/>
        <v>'950102',</v>
      </c>
      <c r="R69" t="str">
        <f t="shared" si="5"/>
        <v>'36',</v>
      </c>
      <c r="S69" t="str">
        <f t="shared" si="6"/>
        <v>'0',</v>
      </c>
      <c r="T69" t="str">
        <f t="shared" si="7"/>
        <v>'MdSoft',</v>
      </c>
      <c r="U69" t="s">
        <v>411</v>
      </c>
    </row>
    <row r="70" spans="1:21" x14ac:dyDescent="0.3">
      <c r="A70" s="7">
        <v>930121</v>
      </c>
      <c r="B70" s="7" t="s">
        <v>304</v>
      </c>
      <c r="C70" s="7" t="s">
        <v>243</v>
      </c>
      <c r="D70" s="7">
        <v>6</v>
      </c>
      <c r="E70" s="8">
        <v>14.34</v>
      </c>
      <c r="F70" s="8">
        <f>+ROUNDUP(TblPresupuesto185[[#This Row],[UnidadesProm_Mes]]*1.5,0)</f>
        <v>22</v>
      </c>
      <c r="G70" s="8">
        <v>0</v>
      </c>
      <c r="H70" s="8" t="s">
        <v>410</v>
      </c>
      <c r="I70" s="8"/>
      <c r="J70" s="8">
        <f>+TblPresupuesto185[[#This Row],[MontoBrutoProm_Mes]]/TblPresupuesto185[[#This Row],[UnidadesProm_Mes]]</f>
        <v>59.059972105997211</v>
      </c>
      <c r="K70" s="8">
        <f>+TblPresupuesto185[[#This Row],[precio]]*TblPresupuesto185[[#This Row],[Nueva Cantidad]]</f>
        <v>1299.3193863319386</v>
      </c>
      <c r="L70" s="9">
        <v>846.92</v>
      </c>
      <c r="O70" t="s">
        <v>405</v>
      </c>
      <c r="P70" t="s">
        <v>406</v>
      </c>
      <c r="Q70" t="str">
        <f t="shared" si="4"/>
        <v>'930121',</v>
      </c>
      <c r="R70" t="str">
        <f t="shared" si="5"/>
        <v>'22',</v>
      </c>
      <c r="S70" t="str">
        <f t="shared" si="6"/>
        <v>'0',</v>
      </c>
      <c r="T70" t="str">
        <f t="shared" si="7"/>
        <v>'MdSoft',</v>
      </c>
      <c r="U70" t="s">
        <v>411</v>
      </c>
    </row>
    <row r="71" spans="1:21" x14ac:dyDescent="0.3">
      <c r="A71" s="7">
        <v>611048</v>
      </c>
      <c r="B71" s="7" t="s">
        <v>250</v>
      </c>
      <c r="C71" s="7" t="s">
        <v>217</v>
      </c>
      <c r="D71" s="7">
        <v>3</v>
      </c>
      <c r="E71" s="8">
        <v>54</v>
      </c>
      <c r="F71" s="8">
        <f>+ROUNDUP(TblPresupuesto185[[#This Row],[UnidadesProm_Mes]]*1.5,0)</f>
        <v>81</v>
      </c>
      <c r="G71" s="8">
        <v>0</v>
      </c>
      <c r="H71" s="8" t="s">
        <v>410</v>
      </c>
      <c r="I71" s="8"/>
      <c r="J71" s="8">
        <f>+TblPresupuesto185[[#This Row],[MontoBrutoProm_Mes]]/TblPresupuesto185[[#This Row],[UnidadesProm_Mes]]</f>
        <v>15.587037037037037</v>
      </c>
      <c r="K71" s="8">
        <f>+TblPresupuesto185[[#This Row],[precio]]*TblPresupuesto185[[#This Row],[Nueva Cantidad]]</f>
        <v>1262.55</v>
      </c>
      <c r="L71" s="9">
        <v>841.7</v>
      </c>
      <c r="O71" t="s">
        <v>405</v>
      </c>
      <c r="P71" t="s">
        <v>406</v>
      </c>
      <c r="Q71" t="str">
        <f t="shared" si="4"/>
        <v>'611048',</v>
      </c>
      <c r="R71" t="str">
        <f t="shared" si="5"/>
        <v>'81',</v>
      </c>
      <c r="S71" t="str">
        <f t="shared" si="6"/>
        <v>'0',</v>
      </c>
      <c r="T71" t="str">
        <f t="shared" si="7"/>
        <v>'MdSoft',</v>
      </c>
      <c r="U71" t="s">
        <v>411</v>
      </c>
    </row>
    <row r="72" spans="1:21" x14ac:dyDescent="0.3">
      <c r="A72" s="7">
        <v>930034</v>
      </c>
      <c r="B72" s="7" t="s">
        <v>266</v>
      </c>
      <c r="C72" s="7" t="s">
        <v>243</v>
      </c>
      <c r="D72" s="7">
        <v>5</v>
      </c>
      <c r="E72" s="8">
        <v>9.32</v>
      </c>
      <c r="F72" s="8">
        <f>+ROUNDUP(TblPresupuesto185[[#This Row],[UnidadesProm_Mes]]*1.5,0)</f>
        <v>14</v>
      </c>
      <c r="G72" s="8">
        <v>0</v>
      </c>
      <c r="H72" s="8" t="s">
        <v>410</v>
      </c>
      <c r="I72" s="8"/>
      <c r="J72" s="8">
        <f>+TblPresupuesto185[[#This Row],[MontoBrutoProm_Mes]]/TblPresupuesto185[[#This Row],[UnidadesProm_Mes]]</f>
        <v>87.751072961373396</v>
      </c>
      <c r="K72" s="8">
        <f>+TblPresupuesto185[[#This Row],[precio]]*TblPresupuesto185[[#This Row],[Nueva Cantidad]]</f>
        <v>1228.5150214592275</v>
      </c>
      <c r="L72" s="9">
        <v>817.84</v>
      </c>
      <c r="O72" t="s">
        <v>405</v>
      </c>
      <c r="P72" t="s">
        <v>406</v>
      </c>
      <c r="Q72" t="str">
        <f t="shared" si="4"/>
        <v>'930034',</v>
      </c>
      <c r="R72" t="str">
        <f t="shared" si="5"/>
        <v>'14',</v>
      </c>
      <c r="S72" t="str">
        <f t="shared" si="6"/>
        <v>'0',</v>
      </c>
      <c r="T72" t="str">
        <f t="shared" si="7"/>
        <v>'MdSoft',</v>
      </c>
      <c r="U72" t="s">
        <v>411</v>
      </c>
    </row>
    <row r="73" spans="1:21" x14ac:dyDescent="0.3">
      <c r="A73" s="7">
        <v>930112</v>
      </c>
      <c r="B73" s="7" t="s">
        <v>310</v>
      </c>
      <c r="C73" s="7" t="s">
        <v>243</v>
      </c>
      <c r="D73" s="7">
        <v>7</v>
      </c>
      <c r="E73" s="8">
        <v>5</v>
      </c>
      <c r="F73" s="8">
        <f>+ROUNDUP(TblPresupuesto185[[#This Row],[UnidadesProm_Mes]]*1.5,0)</f>
        <v>8</v>
      </c>
      <c r="G73" s="8">
        <v>0</v>
      </c>
      <c r="H73" s="8" t="s">
        <v>410</v>
      </c>
      <c r="I73" s="8"/>
      <c r="J73" s="8">
        <f>+TblPresupuesto185[[#This Row],[MontoBrutoProm_Mes]]/TblPresupuesto185[[#This Row],[UnidadesProm_Mes]]</f>
        <v>159.15199999999999</v>
      </c>
      <c r="K73" s="8">
        <f>+TblPresupuesto185[[#This Row],[precio]]*TblPresupuesto185[[#This Row],[Nueva Cantidad]]</f>
        <v>1273.2159999999999</v>
      </c>
      <c r="L73" s="9">
        <v>795.76</v>
      </c>
      <c r="O73" t="s">
        <v>405</v>
      </c>
      <c r="P73" t="s">
        <v>406</v>
      </c>
      <c r="Q73" t="str">
        <f t="shared" si="4"/>
        <v>'930112',</v>
      </c>
      <c r="R73" t="str">
        <f t="shared" si="5"/>
        <v>'8',</v>
      </c>
      <c r="S73" t="str">
        <f t="shared" si="6"/>
        <v>'0',</v>
      </c>
      <c r="T73" t="str">
        <f t="shared" si="7"/>
        <v>'MdSoft',</v>
      </c>
      <c r="U73" t="s">
        <v>411</v>
      </c>
    </row>
    <row r="74" spans="1:21" x14ac:dyDescent="0.3">
      <c r="A74" s="7">
        <v>960102</v>
      </c>
      <c r="B74" s="7" t="s">
        <v>363</v>
      </c>
      <c r="C74" s="7" t="s">
        <v>306</v>
      </c>
      <c r="D74" s="7">
        <v>1</v>
      </c>
      <c r="E74" s="8">
        <v>16.670000000000002</v>
      </c>
      <c r="F74" s="8">
        <f>+ROUNDUP(TblPresupuesto185[[#This Row],[UnidadesProm_Mes]]*1.5,0)</f>
        <v>26</v>
      </c>
      <c r="G74" s="8">
        <v>0</v>
      </c>
      <c r="H74" s="8" t="s">
        <v>410</v>
      </c>
      <c r="I74" s="8"/>
      <c r="J74" s="8">
        <f>+TblPresupuesto185[[#This Row],[MontoBrutoProm_Mes]]/TblPresupuesto185[[#This Row],[UnidadesProm_Mes]]</f>
        <v>46.500899820035983</v>
      </c>
      <c r="K74" s="8">
        <f>+TblPresupuesto185[[#This Row],[precio]]*TblPresupuesto185[[#This Row],[Nueva Cantidad]]</f>
        <v>1209.0233953209356</v>
      </c>
      <c r="L74" s="9">
        <v>775.17</v>
      </c>
      <c r="O74" t="s">
        <v>405</v>
      </c>
      <c r="P74" t="s">
        <v>406</v>
      </c>
      <c r="Q74" t="str">
        <f t="shared" si="4"/>
        <v>'960102',</v>
      </c>
      <c r="R74" t="str">
        <f t="shared" si="5"/>
        <v>'26',</v>
      </c>
      <c r="S74" t="str">
        <f t="shared" si="6"/>
        <v>'0',</v>
      </c>
      <c r="T74" t="str">
        <f t="shared" si="7"/>
        <v>'MdSoft',</v>
      </c>
      <c r="U74" t="s">
        <v>411</v>
      </c>
    </row>
    <row r="75" spans="1:21" x14ac:dyDescent="0.3">
      <c r="A75" s="7">
        <v>930144</v>
      </c>
      <c r="B75" s="7" t="s">
        <v>315</v>
      </c>
      <c r="C75" s="7" t="s">
        <v>243</v>
      </c>
      <c r="D75" s="7">
        <v>9</v>
      </c>
      <c r="E75" s="8">
        <v>24.65</v>
      </c>
      <c r="F75" s="8">
        <f>+ROUNDUP(TblPresupuesto185[[#This Row],[UnidadesProm_Mes]]*1.5,0)</f>
        <v>37</v>
      </c>
      <c r="G75" s="8">
        <v>0</v>
      </c>
      <c r="H75" s="8" t="s">
        <v>410</v>
      </c>
      <c r="I75" s="8"/>
      <c r="J75" s="8">
        <f>+TblPresupuesto185[[#This Row],[MontoBrutoProm_Mes]]/TblPresupuesto185[[#This Row],[UnidadesProm_Mes]]</f>
        <v>28.301014198782962</v>
      </c>
      <c r="K75" s="8">
        <f>+TblPresupuesto185[[#This Row],[precio]]*TblPresupuesto185[[#This Row],[Nueva Cantidad]]</f>
        <v>1047.1375253549695</v>
      </c>
      <c r="L75" s="9">
        <v>697.62</v>
      </c>
      <c r="O75" t="s">
        <v>405</v>
      </c>
      <c r="P75" t="s">
        <v>406</v>
      </c>
      <c r="Q75" t="str">
        <f t="shared" si="4"/>
        <v>'930144',</v>
      </c>
      <c r="R75" t="str">
        <f t="shared" si="5"/>
        <v>'37',</v>
      </c>
      <c r="S75" t="str">
        <f t="shared" si="6"/>
        <v>'0',</v>
      </c>
      <c r="T75" t="str">
        <f t="shared" si="7"/>
        <v>'MdSoft',</v>
      </c>
      <c r="U75" t="s">
        <v>411</v>
      </c>
    </row>
    <row r="76" spans="1:21" x14ac:dyDescent="0.3">
      <c r="A76" s="7">
        <v>910122</v>
      </c>
      <c r="B76" s="7" t="s">
        <v>323</v>
      </c>
      <c r="C76" s="7" t="s">
        <v>296</v>
      </c>
      <c r="D76" s="7">
        <v>2</v>
      </c>
      <c r="E76" s="8">
        <v>24</v>
      </c>
      <c r="F76" s="8">
        <f>+ROUNDUP(TblPresupuesto185[[#This Row],[UnidadesProm_Mes]]*1.5,0)</f>
        <v>36</v>
      </c>
      <c r="G76" s="8">
        <v>0</v>
      </c>
      <c r="H76" s="8" t="s">
        <v>410</v>
      </c>
      <c r="I76" s="8"/>
      <c r="J76" s="8">
        <f>+TblPresupuesto185[[#This Row],[MontoBrutoProm_Mes]]/TblPresupuesto185[[#This Row],[UnidadesProm_Mes]]</f>
        <v>28.23</v>
      </c>
      <c r="K76" s="8">
        <f>+TblPresupuesto185[[#This Row],[precio]]*TblPresupuesto185[[#This Row],[Nueva Cantidad]]</f>
        <v>1016.28</v>
      </c>
      <c r="L76" s="9">
        <v>677.52</v>
      </c>
      <c r="O76" t="s">
        <v>405</v>
      </c>
      <c r="P76" t="s">
        <v>406</v>
      </c>
      <c r="Q76" t="str">
        <f t="shared" si="4"/>
        <v>'910122',</v>
      </c>
      <c r="R76" t="str">
        <f t="shared" si="5"/>
        <v>'36',</v>
      </c>
      <c r="S76" t="str">
        <f t="shared" si="6"/>
        <v>'0',</v>
      </c>
      <c r="T76" t="str">
        <f t="shared" si="7"/>
        <v>'MdSoft',</v>
      </c>
      <c r="U76" t="s">
        <v>411</v>
      </c>
    </row>
    <row r="77" spans="1:21" x14ac:dyDescent="0.3">
      <c r="A77" s="7">
        <v>910123</v>
      </c>
      <c r="B77" s="7" t="s">
        <v>360</v>
      </c>
      <c r="C77" s="7" t="s">
        <v>296</v>
      </c>
      <c r="D77" s="7">
        <v>2</v>
      </c>
      <c r="E77" s="8">
        <v>24</v>
      </c>
      <c r="F77" s="8">
        <f>+ROUNDUP(TblPresupuesto185[[#This Row],[UnidadesProm_Mes]]*1.5,0)</f>
        <v>36</v>
      </c>
      <c r="G77" s="8">
        <v>0</v>
      </c>
      <c r="H77" s="8" t="s">
        <v>410</v>
      </c>
      <c r="I77" s="8"/>
      <c r="J77" s="8">
        <f>+TblPresupuesto185[[#This Row],[MontoBrutoProm_Mes]]/TblPresupuesto185[[#This Row],[UnidadesProm_Mes]]</f>
        <v>28.23</v>
      </c>
      <c r="K77" s="8">
        <f>+TblPresupuesto185[[#This Row],[precio]]*TblPresupuesto185[[#This Row],[Nueva Cantidad]]</f>
        <v>1016.28</v>
      </c>
      <c r="L77" s="9">
        <v>677.52</v>
      </c>
      <c r="O77" t="s">
        <v>405</v>
      </c>
      <c r="P77" t="s">
        <v>406</v>
      </c>
      <c r="Q77" t="str">
        <f t="shared" si="4"/>
        <v>'910123',</v>
      </c>
      <c r="R77" t="str">
        <f t="shared" si="5"/>
        <v>'36',</v>
      </c>
      <c r="S77" t="str">
        <f t="shared" si="6"/>
        <v>'0',</v>
      </c>
      <c r="T77" t="str">
        <f t="shared" si="7"/>
        <v>'MdSoft',</v>
      </c>
      <c r="U77" t="s">
        <v>411</v>
      </c>
    </row>
    <row r="78" spans="1:21" x14ac:dyDescent="0.3">
      <c r="A78" s="7">
        <v>910100</v>
      </c>
      <c r="B78" s="7" t="s">
        <v>383</v>
      </c>
      <c r="C78" s="7" t="s">
        <v>296</v>
      </c>
      <c r="D78" s="7">
        <v>1</v>
      </c>
      <c r="E78" s="8">
        <v>24</v>
      </c>
      <c r="F78" s="8">
        <f>+ROUNDUP(TblPresupuesto185[[#This Row],[UnidadesProm_Mes]]*1.5,0)</f>
        <v>36</v>
      </c>
      <c r="G78" s="8">
        <v>0</v>
      </c>
      <c r="H78" s="8" t="s">
        <v>410</v>
      </c>
      <c r="I78" s="8"/>
      <c r="J78" s="8">
        <f>+TblPresupuesto185[[#This Row],[MontoBrutoProm_Mes]]/TblPresupuesto185[[#This Row],[UnidadesProm_Mes]]</f>
        <v>28.23</v>
      </c>
      <c r="K78" s="8">
        <f>+TblPresupuesto185[[#This Row],[precio]]*TblPresupuesto185[[#This Row],[Nueva Cantidad]]</f>
        <v>1016.28</v>
      </c>
      <c r="L78" s="9">
        <v>677.52</v>
      </c>
      <c r="O78" t="s">
        <v>405</v>
      </c>
      <c r="P78" t="s">
        <v>406</v>
      </c>
      <c r="Q78" t="str">
        <f t="shared" si="4"/>
        <v>'910100',</v>
      </c>
      <c r="R78" t="str">
        <f t="shared" si="5"/>
        <v>'36',</v>
      </c>
      <c r="S78" t="str">
        <f t="shared" si="6"/>
        <v>'0',</v>
      </c>
      <c r="T78" t="str">
        <f t="shared" si="7"/>
        <v>'MdSoft',</v>
      </c>
      <c r="U78" t="s">
        <v>411</v>
      </c>
    </row>
    <row r="79" spans="1:21" x14ac:dyDescent="0.3">
      <c r="A79" s="7">
        <v>910101</v>
      </c>
      <c r="B79" s="7" t="s">
        <v>377</v>
      </c>
      <c r="C79" s="7" t="s">
        <v>296</v>
      </c>
      <c r="D79" s="7">
        <v>2</v>
      </c>
      <c r="E79" s="8">
        <v>24</v>
      </c>
      <c r="F79" s="8">
        <f>+ROUNDUP(TblPresupuesto185[[#This Row],[UnidadesProm_Mes]]*1.5,0)</f>
        <v>36</v>
      </c>
      <c r="G79" s="8">
        <v>0</v>
      </c>
      <c r="H79" s="8" t="s">
        <v>410</v>
      </c>
      <c r="I79" s="8"/>
      <c r="J79" s="8">
        <f>+TblPresupuesto185[[#This Row],[MontoBrutoProm_Mes]]/TblPresupuesto185[[#This Row],[UnidadesProm_Mes]]</f>
        <v>28.23</v>
      </c>
      <c r="K79" s="8">
        <f>+TblPresupuesto185[[#This Row],[precio]]*TblPresupuesto185[[#This Row],[Nueva Cantidad]]</f>
        <v>1016.28</v>
      </c>
      <c r="L79" s="9">
        <v>677.52</v>
      </c>
      <c r="O79" t="s">
        <v>405</v>
      </c>
      <c r="P79" t="s">
        <v>406</v>
      </c>
      <c r="Q79" t="str">
        <f t="shared" si="4"/>
        <v>'910101',</v>
      </c>
      <c r="R79" t="str">
        <f t="shared" si="5"/>
        <v>'36',</v>
      </c>
      <c r="S79" t="str">
        <f t="shared" si="6"/>
        <v>'0',</v>
      </c>
      <c r="T79" t="str">
        <f t="shared" si="7"/>
        <v>'MdSoft',</v>
      </c>
      <c r="U79" t="s">
        <v>411</v>
      </c>
    </row>
    <row r="80" spans="1:21" x14ac:dyDescent="0.3">
      <c r="A80" s="7">
        <v>930187</v>
      </c>
      <c r="B80" s="7" t="s">
        <v>330</v>
      </c>
      <c r="C80" s="7" t="s">
        <v>243</v>
      </c>
      <c r="D80" s="7">
        <v>1</v>
      </c>
      <c r="E80" s="8">
        <v>0.67</v>
      </c>
      <c r="F80" s="8">
        <f>+ROUNDUP(TblPresupuesto185[[#This Row],[UnidadesProm_Mes]]*1.5,0)</f>
        <v>2</v>
      </c>
      <c r="G80" s="8">
        <v>0</v>
      </c>
      <c r="H80" s="8" t="s">
        <v>410</v>
      </c>
      <c r="I80" s="8"/>
      <c r="J80" s="8">
        <f>+TblPresupuesto185[[#This Row],[MontoBrutoProm_Mes]]/TblPresupuesto185[[#This Row],[UnidadesProm_Mes]]</f>
        <v>1001.776119402985</v>
      </c>
      <c r="K80" s="8">
        <f>+TblPresupuesto185[[#This Row],[precio]]*TblPresupuesto185[[#This Row],[Nueva Cantidad]]</f>
        <v>2003.5522388059701</v>
      </c>
      <c r="L80" s="9">
        <v>671.19</v>
      </c>
      <c r="O80" t="s">
        <v>405</v>
      </c>
      <c r="P80" t="s">
        <v>406</v>
      </c>
      <c r="Q80" t="str">
        <f t="shared" si="4"/>
        <v>'930187',</v>
      </c>
      <c r="R80" t="str">
        <f t="shared" si="5"/>
        <v>'2',</v>
      </c>
      <c r="S80" t="str">
        <f t="shared" si="6"/>
        <v>'0',</v>
      </c>
      <c r="T80" t="str">
        <f t="shared" si="7"/>
        <v>'MdSoft',</v>
      </c>
      <c r="U80" t="s">
        <v>411</v>
      </c>
    </row>
    <row r="81" spans="1:21" x14ac:dyDescent="0.3">
      <c r="A81" s="7">
        <v>930026</v>
      </c>
      <c r="B81" s="7" t="s">
        <v>301</v>
      </c>
      <c r="C81" s="7" t="s">
        <v>243</v>
      </c>
      <c r="D81" s="7">
        <v>5</v>
      </c>
      <c r="E81" s="8">
        <v>11.01</v>
      </c>
      <c r="F81" s="8">
        <f>+ROUNDUP(TblPresupuesto185[[#This Row],[UnidadesProm_Mes]]*1.5,0)</f>
        <v>17</v>
      </c>
      <c r="G81" s="8">
        <v>0</v>
      </c>
      <c r="H81" s="8" t="s">
        <v>410</v>
      </c>
      <c r="I81" s="8"/>
      <c r="J81" s="8">
        <f>+TblPresupuesto185[[#This Row],[MontoBrutoProm_Mes]]/TblPresupuesto185[[#This Row],[UnidadesProm_Mes]]</f>
        <v>58.934604904632153</v>
      </c>
      <c r="K81" s="8">
        <f>+TblPresupuesto185[[#This Row],[precio]]*TblPresupuesto185[[#This Row],[Nueva Cantidad]]</f>
        <v>1001.8882833787466</v>
      </c>
      <c r="L81" s="9">
        <v>648.87</v>
      </c>
      <c r="O81" t="s">
        <v>405</v>
      </c>
      <c r="P81" t="s">
        <v>406</v>
      </c>
      <c r="Q81" t="str">
        <f t="shared" si="4"/>
        <v>'930026',</v>
      </c>
      <c r="R81" t="str">
        <f t="shared" si="5"/>
        <v>'17',</v>
      </c>
      <c r="S81" t="str">
        <f t="shared" si="6"/>
        <v>'0',</v>
      </c>
      <c r="T81" t="str">
        <f t="shared" si="7"/>
        <v>'MdSoft',</v>
      </c>
      <c r="U81" t="s">
        <v>411</v>
      </c>
    </row>
    <row r="82" spans="1:21" x14ac:dyDescent="0.3">
      <c r="A82" s="7">
        <v>800796</v>
      </c>
      <c r="B82" s="7" t="s">
        <v>276</v>
      </c>
      <c r="C82" s="7" t="s">
        <v>243</v>
      </c>
      <c r="D82" s="7">
        <v>6</v>
      </c>
      <c r="E82" s="8">
        <v>3.99</v>
      </c>
      <c r="F82" s="8">
        <f>+ROUNDUP(TblPresupuesto185[[#This Row],[UnidadesProm_Mes]]*1.5,0)</f>
        <v>6</v>
      </c>
      <c r="G82" s="8">
        <v>0</v>
      </c>
      <c r="H82" s="8" t="s">
        <v>410</v>
      </c>
      <c r="I82" s="8"/>
      <c r="J82" s="8">
        <f>+TblPresupuesto185[[#This Row],[MontoBrutoProm_Mes]]/TblPresupuesto185[[#This Row],[UnidadesProm_Mes]]</f>
        <v>160.76190476190476</v>
      </c>
      <c r="K82" s="8">
        <f>+TblPresupuesto185[[#This Row],[precio]]*TblPresupuesto185[[#This Row],[Nueva Cantidad]]</f>
        <v>964.57142857142856</v>
      </c>
      <c r="L82" s="9">
        <v>641.44000000000005</v>
      </c>
      <c r="O82" t="s">
        <v>405</v>
      </c>
      <c r="P82" t="s">
        <v>406</v>
      </c>
      <c r="Q82" t="str">
        <f t="shared" si="4"/>
        <v>'800796',</v>
      </c>
      <c r="R82" t="str">
        <f t="shared" si="5"/>
        <v>'6',</v>
      </c>
      <c r="S82" t="str">
        <f t="shared" si="6"/>
        <v>'0',</v>
      </c>
      <c r="T82" t="str">
        <f t="shared" si="7"/>
        <v>'MdSoft',</v>
      </c>
      <c r="U82" t="s">
        <v>411</v>
      </c>
    </row>
    <row r="83" spans="1:21" x14ac:dyDescent="0.3">
      <c r="A83" s="7">
        <v>930028</v>
      </c>
      <c r="B83" s="7" t="s">
        <v>302</v>
      </c>
      <c r="C83" s="7" t="s">
        <v>243</v>
      </c>
      <c r="D83" s="7">
        <v>7</v>
      </c>
      <c r="E83" s="8">
        <v>7</v>
      </c>
      <c r="F83" s="8">
        <f>+ROUNDUP(TblPresupuesto185[[#This Row],[UnidadesProm_Mes]]*1.5,0)</f>
        <v>11</v>
      </c>
      <c r="G83" s="8">
        <v>0</v>
      </c>
      <c r="H83" s="8" t="s">
        <v>410</v>
      </c>
      <c r="I83" s="8"/>
      <c r="J83" s="8">
        <f>+TblPresupuesto185[[#This Row],[MontoBrutoProm_Mes]]/TblPresupuesto185[[#This Row],[UnidadesProm_Mes]]</f>
        <v>90.928571428571431</v>
      </c>
      <c r="K83" s="8">
        <f>+TblPresupuesto185[[#This Row],[precio]]*TblPresupuesto185[[#This Row],[Nueva Cantidad]]</f>
        <v>1000.2142857142858</v>
      </c>
      <c r="L83" s="9">
        <v>636.5</v>
      </c>
      <c r="O83" t="s">
        <v>405</v>
      </c>
      <c r="P83" t="s">
        <v>406</v>
      </c>
      <c r="Q83" t="str">
        <f t="shared" si="4"/>
        <v>'930028',</v>
      </c>
      <c r="R83" t="str">
        <f t="shared" si="5"/>
        <v>'11',</v>
      </c>
      <c r="S83" t="str">
        <f t="shared" si="6"/>
        <v>'0',</v>
      </c>
      <c r="T83" t="str">
        <f t="shared" si="7"/>
        <v>'MdSoft',</v>
      </c>
      <c r="U83" t="s">
        <v>411</v>
      </c>
    </row>
    <row r="84" spans="1:21" x14ac:dyDescent="0.3">
      <c r="A84" s="7">
        <v>930060</v>
      </c>
      <c r="B84" s="7" t="s">
        <v>336</v>
      </c>
      <c r="C84" s="7" t="s">
        <v>243</v>
      </c>
      <c r="D84" s="7">
        <v>4</v>
      </c>
      <c r="E84" s="8">
        <v>3.67</v>
      </c>
      <c r="F84" s="8">
        <f>+ROUNDUP(TblPresupuesto185[[#This Row],[UnidadesProm_Mes]]*1.5,0)</f>
        <v>6</v>
      </c>
      <c r="G84" s="8">
        <v>0</v>
      </c>
      <c r="H84" s="8" t="s">
        <v>410</v>
      </c>
      <c r="I84" s="8"/>
      <c r="J84" s="8">
        <f>+TblPresupuesto185[[#This Row],[MontoBrutoProm_Mes]]/TblPresupuesto185[[#This Row],[UnidadesProm_Mes]]</f>
        <v>158.96457765667574</v>
      </c>
      <c r="K84" s="8">
        <f>+TblPresupuesto185[[#This Row],[precio]]*TblPresupuesto185[[#This Row],[Nueva Cantidad]]</f>
        <v>953.78746594005452</v>
      </c>
      <c r="L84" s="9">
        <v>583.4</v>
      </c>
      <c r="O84" t="s">
        <v>405</v>
      </c>
      <c r="P84" t="s">
        <v>406</v>
      </c>
      <c r="Q84" t="str">
        <f t="shared" si="4"/>
        <v>'930060',</v>
      </c>
      <c r="R84" t="str">
        <f t="shared" si="5"/>
        <v>'6',</v>
      </c>
      <c r="S84" t="str">
        <f t="shared" si="6"/>
        <v>'0',</v>
      </c>
      <c r="T84" t="str">
        <f t="shared" si="7"/>
        <v>'MdSoft',</v>
      </c>
      <c r="U84" t="s">
        <v>411</v>
      </c>
    </row>
    <row r="85" spans="1:21" x14ac:dyDescent="0.3">
      <c r="A85" s="7">
        <v>621059</v>
      </c>
      <c r="B85" s="7" t="s">
        <v>372</v>
      </c>
      <c r="C85" s="7" t="s">
        <v>239</v>
      </c>
      <c r="D85" s="7">
        <v>2</v>
      </c>
      <c r="E85" s="8">
        <v>4</v>
      </c>
      <c r="F85" s="8">
        <f>+ROUNDUP(TblPresupuesto185[[#This Row],[UnidadesProm_Mes]]*1.5,0)</f>
        <v>6</v>
      </c>
      <c r="G85" s="8">
        <v>0</v>
      </c>
      <c r="H85" s="8" t="s">
        <v>410</v>
      </c>
      <c r="I85" s="8"/>
      <c r="J85" s="8">
        <f>+TblPresupuesto185[[#This Row],[MontoBrutoProm_Mes]]/TblPresupuesto185[[#This Row],[UnidadesProm_Mes]]</f>
        <v>139.08000000000001</v>
      </c>
      <c r="K85" s="8">
        <f>+TblPresupuesto185[[#This Row],[precio]]*TblPresupuesto185[[#This Row],[Nueva Cantidad]]</f>
        <v>834.48</v>
      </c>
      <c r="L85" s="9">
        <v>556.32000000000005</v>
      </c>
      <c r="O85" t="s">
        <v>405</v>
      </c>
      <c r="P85" t="s">
        <v>406</v>
      </c>
      <c r="Q85" t="str">
        <f t="shared" si="4"/>
        <v>'621059',</v>
      </c>
      <c r="R85" t="str">
        <f t="shared" si="5"/>
        <v>'6',</v>
      </c>
      <c r="S85" t="str">
        <f t="shared" si="6"/>
        <v>'0',</v>
      </c>
      <c r="T85" t="str">
        <f t="shared" si="7"/>
        <v>'MdSoft',</v>
      </c>
      <c r="U85" t="s">
        <v>411</v>
      </c>
    </row>
    <row r="86" spans="1:21" x14ac:dyDescent="0.3">
      <c r="A86" s="7">
        <v>621058</v>
      </c>
      <c r="B86" s="7" t="s">
        <v>371</v>
      </c>
      <c r="C86" s="7" t="s">
        <v>239</v>
      </c>
      <c r="D86" s="7">
        <v>2</v>
      </c>
      <c r="E86" s="8">
        <v>4</v>
      </c>
      <c r="F86" s="8">
        <f>+ROUNDUP(TblPresupuesto185[[#This Row],[UnidadesProm_Mes]]*1.5,0)</f>
        <v>6</v>
      </c>
      <c r="G86" s="8">
        <v>0</v>
      </c>
      <c r="H86" s="8" t="s">
        <v>410</v>
      </c>
      <c r="I86" s="8"/>
      <c r="J86" s="8">
        <f>+TblPresupuesto185[[#This Row],[MontoBrutoProm_Mes]]/TblPresupuesto185[[#This Row],[UnidadesProm_Mes]]</f>
        <v>139.08000000000001</v>
      </c>
      <c r="K86" s="8">
        <f>+TblPresupuesto185[[#This Row],[precio]]*TblPresupuesto185[[#This Row],[Nueva Cantidad]]</f>
        <v>834.48</v>
      </c>
      <c r="L86" s="9">
        <v>556.32000000000005</v>
      </c>
      <c r="O86" t="s">
        <v>405</v>
      </c>
      <c r="P86" t="s">
        <v>406</v>
      </c>
      <c r="Q86" t="str">
        <f t="shared" si="4"/>
        <v>'621058',</v>
      </c>
      <c r="R86" t="str">
        <f t="shared" si="5"/>
        <v>'6',</v>
      </c>
      <c r="S86" t="str">
        <f t="shared" si="6"/>
        <v>'0',</v>
      </c>
      <c r="T86" t="str">
        <f t="shared" si="7"/>
        <v>'MdSoft',</v>
      </c>
      <c r="U86" t="s">
        <v>411</v>
      </c>
    </row>
    <row r="87" spans="1:21" x14ac:dyDescent="0.3">
      <c r="A87" s="7">
        <v>910106</v>
      </c>
      <c r="B87" s="7" t="s">
        <v>378</v>
      </c>
      <c r="C87" s="7" t="s">
        <v>296</v>
      </c>
      <c r="D87" s="7">
        <v>1</v>
      </c>
      <c r="E87" s="8">
        <v>16</v>
      </c>
      <c r="F87" s="8">
        <f>+ROUNDUP(TblPresupuesto185[[#This Row],[UnidadesProm_Mes]]*1.5,0)</f>
        <v>24</v>
      </c>
      <c r="G87" s="8">
        <v>0</v>
      </c>
      <c r="H87" s="8" t="s">
        <v>410</v>
      </c>
      <c r="I87" s="8"/>
      <c r="J87" s="8">
        <f>+TblPresupuesto185[[#This Row],[MontoBrutoProm_Mes]]/TblPresupuesto185[[#This Row],[UnidadesProm_Mes]]</f>
        <v>34.630000000000003</v>
      </c>
      <c r="K87" s="8">
        <f>+TblPresupuesto185[[#This Row],[precio]]*TblPresupuesto185[[#This Row],[Nueva Cantidad]]</f>
        <v>831.12000000000012</v>
      </c>
      <c r="L87" s="9">
        <v>554.08000000000004</v>
      </c>
      <c r="O87" t="s">
        <v>405</v>
      </c>
      <c r="P87" t="s">
        <v>406</v>
      </c>
      <c r="Q87" t="str">
        <f t="shared" si="4"/>
        <v>'910106',</v>
      </c>
      <c r="R87" t="str">
        <f t="shared" si="5"/>
        <v>'24',</v>
      </c>
      <c r="S87" t="str">
        <f t="shared" si="6"/>
        <v>'0',</v>
      </c>
      <c r="T87" t="str">
        <f t="shared" si="7"/>
        <v>'MdSoft',</v>
      </c>
      <c r="U87" t="s">
        <v>411</v>
      </c>
    </row>
    <row r="88" spans="1:21" x14ac:dyDescent="0.3">
      <c r="A88" s="7">
        <v>910112</v>
      </c>
      <c r="B88" s="7" t="s">
        <v>379</v>
      </c>
      <c r="C88" s="7" t="s">
        <v>296</v>
      </c>
      <c r="D88" s="7">
        <v>1</v>
      </c>
      <c r="E88" s="8">
        <v>16</v>
      </c>
      <c r="F88" s="8">
        <f>+ROUNDUP(TblPresupuesto185[[#This Row],[UnidadesProm_Mes]]*1.5,0)</f>
        <v>24</v>
      </c>
      <c r="G88" s="8">
        <v>0</v>
      </c>
      <c r="H88" s="8" t="s">
        <v>410</v>
      </c>
      <c r="I88" s="8"/>
      <c r="J88" s="8">
        <f>+TblPresupuesto185[[#This Row],[MontoBrutoProm_Mes]]/TblPresupuesto185[[#This Row],[UnidadesProm_Mes]]</f>
        <v>34.630000000000003</v>
      </c>
      <c r="K88" s="8">
        <f>+TblPresupuesto185[[#This Row],[precio]]*TblPresupuesto185[[#This Row],[Nueva Cantidad]]</f>
        <v>831.12000000000012</v>
      </c>
      <c r="L88" s="9">
        <v>554.08000000000004</v>
      </c>
      <c r="O88" t="s">
        <v>405</v>
      </c>
      <c r="P88" t="s">
        <v>406</v>
      </c>
      <c r="Q88" t="str">
        <f t="shared" si="4"/>
        <v>'910112',</v>
      </c>
      <c r="R88" t="str">
        <f t="shared" si="5"/>
        <v>'24',</v>
      </c>
      <c r="S88" t="str">
        <f t="shared" si="6"/>
        <v>'0',</v>
      </c>
      <c r="T88" t="str">
        <f t="shared" si="7"/>
        <v>'MdSoft',</v>
      </c>
      <c r="U88" t="s">
        <v>411</v>
      </c>
    </row>
    <row r="89" spans="1:21" x14ac:dyDescent="0.3">
      <c r="A89" s="7">
        <v>983000</v>
      </c>
      <c r="B89" s="7" t="s">
        <v>222</v>
      </c>
      <c r="C89" s="7" t="s">
        <v>223</v>
      </c>
      <c r="D89" s="7">
        <v>1</v>
      </c>
      <c r="E89" s="8">
        <v>0.33</v>
      </c>
      <c r="F89" s="8">
        <f>+ROUNDUP(TblPresupuesto185[[#This Row],[UnidadesProm_Mes]]*1.5,0)</f>
        <v>1</v>
      </c>
      <c r="G89" s="8">
        <v>0</v>
      </c>
      <c r="H89" s="8" t="s">
        <v>410</v>
      </c>
      <c r="I89" s="8"/>
      <c r="J89" s="8">
        <f>+TblPresupuesto185[[#This Row],[MontoBrutoProm_Mes]]/TblPresupuesto185[[#This Row],[UnidadesProm_Mes]]</f>
        <v>1644.4242424242423</v>
      </c>
      <c r="K89" s="8">
        <f>+TblPresupuesto185[[#This Row],[precio]]*TblPresupuesto185[[#This Row],[Nueva Cantidad]]</f>
        <v>1644.4242424242423</v>
      </c>
      <c r="L89" s="9">
        <v>542.66</v>
      </c>
      <c r="O89" t="s">
        <v>405</v>
      </c>
      <c r="P89" t="s">
        <v>406</v>
      </c>
      <c r="Q89" t="str">
        <f t="shared" si="4"/>
        <v>'983000',</v>
      </c>
      <c r="R89" t="str">
        <f t="shared" si="5"/>
        <v>'1',</v>
      </c>
      <c r="S89" t="str">
        <f t="shared" si="6"/>
        <v>'0',</v>
      </c>
      <c r="T89" t="str">
        <f t="shared" si="7"/>
        <v>'MdSoft',</v>
      </c>
      <c r="U89" t="s">
        <v>411</v>
      </c>
    </row>
    <row r="90" spans="1:21" x14ac:dyDescent="0.3">
      <c r="A90" s="7">
        <v>621055</v>
      </c>
      <c r="B90" s="7" t="s">
        <v>365</v>
      </c>
      <c r="C90" s="7" t="s">
        <v>239</v>
      </c>
      <c r="D90" s="7">
        <v>3</v>
      </c>
      <c r="E90" s="8">
        <v>3.67</v>
      </c>
      <c r="F90" s="8">
        <f>+ROUNDUP(TblPresupuesto185[[#This Row],[UnidadesProm_Mes]]*1.5,0)</f>
        <v>6</v>
      </c>
      <c r="G90" s="8">
        <v>0</v>
      </c>
      <c r="H90" s="8" t="s">
        <v>410</v>
      </c>
      <c r="I90" s="8"/>
      <c r="J90" s="8">
        <f>+TblPresupuesto185[[#This Row],[MontoBrutoProm_Mes]]/TblPresupuesto185[[#This Row],[UnidadesProm_Mes]]</f>
        <v>139.57493188010901</v>
      </c>
      <c r="K90" s="8">
        <f>+TblPresupuesto185[[#This Row],[precio]]*TblPresupuesto185[[#This Row],[Nueva Cantidad]]</f>
        <v>837.44959128065398</v>
      </c>
      <c r="L90" s="9">
        <v>512.24</v>
      </c>
      <c r="O90" t="s">
        <v>405</v>
      </c>
      <c r="P90" t="s">
        <v>406</v>
      </c>
      <c r="Q90" t="str">
        <f t="shared" si="4"/>
        <v>'621055',</v>
      </c>
      <c r="R90" t="str">
        <f t="shared" si="5"/>
        <v>'6',</v>
      </c>
      <c r="S90" t="str">
        <f t="shared" si="6"/>
        <v>'0',</v>
      </c>
      <c r="T90" t="str">
        <f t="shared" si="7"/>
        <v>'MdSoft',</v>
      </c>
      <c r="U90" t="s">
        <v>411</v>
      </c>
    </row>
    <row r="91" spans="1:21" x14ac:dyDescent="0.3">
      <c r="A91" s="7">
        <v>924109</v>
      </c>
      <c r="B91" s="7" t="s">
        <v>352</v>
      </c>
      <c r="C91" s="7" t="s">
        <v>215</v>
      </c>
      <c r="D91" s="7">
        <v>3</v>
      </c>
      <c r="E91" s="8">
        <v>1.33</v>
      </c>
      <c r="F91" s="8">
        <f>+ROUNDUP(TblPresupuesto185[[#This Row],[UnidadesProm_Mes]]*1.5,0)</f>
        <v>2</v>
      </c>
      <c r="G91" s="8">
        <v>0</v>
      </c>
      <c r="H91" s="8" t="s">
        <v>410</v>
      </c>
      <c r="I91" s="8"/>
      <c r="J91" s="8">
        <f>+TblPresupuesto185[[#This Row],[MontoBrutoProm_Mes]]/TblPresupuesto185[[#This Row],[UnidadesProm_Mes]]</f>
        <v>373.81203007518798</v>
      </c>
      <c r="K91" s="8">
        <f>+TblPresupuesto185[[#This Row],[precio]]*TblPresupuesto185[[#This Row],[Nueva Cantidad]]</f>
        <v>747.62406015037595</v>
      </c>
      <c r="L91" s="9">
        <v>497.17</v>
      </c>
      <c r="O91" t="s">
        <v>405</v>
      </c>
      <c r="P91" t="s">
        <v>406</v>
      </c>
      <c r="Q91" t="str">
        <f t="shared" si="4"/>
        <v>'924109',</v>
      </c>
      <c r="R91" t="str">
        <f t="shared" si="5"/>
        <v>'2',</v>
      </c>
      <c r="S91" t="str">
        <f t="shared" si="6"/>
        <v>'0',</v>
      </c>
      <c r="T91" t="str">
        <f t="shared" si="7"/>
        <v>'MdSoft',</v>
      </c>
      <c r="U91" t="s">
        <v>411</v>
      </c>
    </row>
    <row r="92" spans="1:21" x14ac:dyDescent="0.3">
      <c r="A92" s="7">
        <v>930139</v>
      </c>
      <c r="B92" s="7" t="s">
        <v>313</v>
      </c>
      <c r="C92" s="7" t="s">
        <v>243</v>
      </c>
      <c r="D92" s="7">
        <v>6</v>
      </c>
      <c r="E92" s="8">
        <v>16.66</v>
      </c>
      <c r="F92" s="8">
        <f>+ROUNDUP(TblPresupuesto185[[#This Row],[UnidadesProm_Mes]]*1.5,0)</f>
        <v>25</v>
      </c>
      <c r="G92" s="8">
        <v>0</v>
      </c>
      <c r="H92" s="8" t="s">
        <v>410</v>
      </c>
      <c r="I92" s="8"/>
      <c r="J92" s="8">
        <f>+TblPresupuesto185[[#This Row],[MontoBrutoProm_Mes]]/TblPresupuesto185[[#This Row],[UnidadesProm_Mes]]</f>
        <v>28.317527010804319</v>
      </c>
      <c r="K92" s="8">
        <f>+TblPresupuesto185[[#This Row],[precio]]*TblPresupuesto185[[#This Row],[Nueva Cantidad]]</f>
        <v>707.93817527010799</v>
      </c>
      <c r="L92" s="9">
        <v>471.77</v>
      </c>
      <c r="O92" t="s">
        <v>405</v>
      </c>
      <c r="P92" t="s">
        <v>406</v>
      </c>
      <c r="Q92" t="str">
        <f t="shared" si="4"/>
        <v>'930139',</v>
      </c>
      <c r="R92" t="str">
        <f t="shared" si="5"/>
        <v>'25',</v>
      </c>
      <c r="S92" t="str">
        <f t="shared" si="6"/>
        <v>'0',</v>
      </c>
      <c r="T92" t="str">
        <f t="shared" si="7"/>
        <v>'MdSoft',</v>
      </c>
      <c r="U92" t="s">
        <v>411</v>
      </c>
    </row>
    <row r="93" spans="1:21" x14ac:dyDescent="0.3">
      <c r="A93" s="7">
        <v>621057</v>
      </c>
      <c r="B93" s="7" t="s">
        <v>367</v>
      </c>
      <c r="C93" s="7" t="s">
        <v>239</v>
      </c>
      <c r="D93" s="7">
        <v>3</v>
      </c>
      <c r="E93" s="8">
        <v>2.34</v>
      </c>
      <c r="F93" s="8">
        <f>+ROUNDUP(TblPresupuesto185[[#This Row],[UnidadesProm_Mes]]*1.5,0)</f>
        <v>4</v>
      </c>
      <c r="G93" s="8">
        <v>0</v>
      </c>
      <c r="H93" s="8" t="s">
        <v>410</v>
      </c>
      <c r="I93" s="8"/>
      <c r="J93" s="8">
        <f>+TblPresupuesto185[[#This Row],[MontoBrutoProm_Mes]]/TblPresupuesto185[[#This Row],[UnidadesProm_Mes]]</f>
        <v>140.63247863247864</v>
      </c>
      <c r="K93" s="8">
        <f>+TblPresupuesto185[[#This Row],[precio]]*TblPresupuesto185[[#This Row],[Nueva Cantidad]]</f>
        <v>562.52991452991455</v>
      </c>
      <c r="L93" s="9">
        <v>329.08</v>
      </c>
      <c r="O93" t="s">
        <v>405</v>
      </c>
      <c r="P93" t="s">
        <v>406</v>
      </c>
      <c r="Q93" t="str">
        <f t="shared" si="4"/>
        <v>'621057',</v>
      </c>
      <c r="R93" t="str">
        <f t="shared" si="5"/>
        <v>'4',</v>
      </c>
      <c r="S93" t="str">
        <f t="shared" si="6"/>
        <v>'0',</v>
      </c>
      <c r="T93" t="str">
        <f t="shared" si="7"/>
        <v>'MdSoft',</v>
      </c>
      <c r="U93" t="s">
        <v>411</v>
      </c>
    </row>
    <row r="94" spans="1:21" x14ac:dyDescent="0.3">
      <c r="A94" s="7">
        <v>910105</v>
      </c>
      <c r="B94" s="7" t="s">
        <v>297</v>
      </c>
      <c r="C94" s="7" t="s">
        <v>296</v>
      </c>
      <c r="D94" s="7">
        <v>2</v>
      </c>
      <c r="E94" s="8">
        <v>12</v>
      </c>
      <c r="F94" s="8">
        <f>+ROUNDUP(TblPresupuesto185[[#This Row],[UnidadesProm_Mes]]*1.5,0)</f>
        <v>18</v>
      </c>
      <c r="G94" s="8">
        <v>0</v>
      </c>
      <c r="H94" s="8" t="s">
        <v>410</v>
      </c>
      <c r="I94" s="8"/>
      <c r="J94" s="8">
        <f>+TblPresupuesto185[[#This Row],[MontoBrutoProm_Mes]]/TblPresupuesto185[[#This Row],[UnidadesProm_Mes]]</f>
        <v>26.543333333333333</v>
      </c>
      <c r="K94" s="8">
        <f>+TblPresupuesto185[[#This Row],[precio]]*TblPresupuesto185[[#This Row],[Nueva Cantidad]]</f>
        <v>477.78</v>
      </c>
      <c r="L94" s="9">
        <v>318.52</v>
      </c>
      <c r="O94" t="s">
        <v>405</v>
      </c>
      <c r="P94" t="s">
        <v>406</v>
      </c>
      <c r="Q94" t="str">
        <f t="shared" si="4"/>
        <v>'910105',</v>
      </c>
      <c r="R94" t="str">
        <f t="shared" si="5"/>
        <v>'18',</v>
      </c>
      <c r="S94" t="str">
        <f t="shared" si="6"/>
        <v>'0',</v>
      </c>
      <c r="T94" t="str">
        <f t="shared" si="7"/>
        <v>'MdSoft',</v>
      </c>
      <c r="U94" t="s">
        <v>411</v>
      </c>
    </row>
    <row r="95" spans="1:21" x14ac:dyDescent="0.3">
      <c r="A95" s="7">
        <v>621056</v>
      </c>
      <c r="B95" s="7" t="s">
        <v>366</v>
      </c>
      <c r="C95" s="7" t="s">
        <v>239</v>
      </c>
      <c r="D95" s="7">
        <v>2</v>
      </c>
      <c r="E95" s="8">
        <v>2</v>
      </c>
      <c r="F95" s="8">
        <f>+ROUNDUP(TblPresupuesto185[[#This Row],[UnidadesProm_Mes]]*1.5,0)</f>
        <v>3</v>
      </c>
      <c r="G95" s="8">
        <v>0</v>
      </c>
      <c r="H95" s="8" t="s">
        <v>410</v>
      </c>
      <c r="I95" s="8"/>
      <c r="J95" s="8">
        <f>+TblPresupuesto185[[#This Row],[MontoBrutoProm_Mes]]/TblPresupuesto185[[#This Row],[UnidadesProm_Mes]]</f>
        <v>142.5</v>
      </c>
      <c r="K95" s="8">
        <f>+TblPresupuesto185[[#This Row],[precio]]*TblPresupuesto185[[#This Row],[Nueva Cantidad]]</f>
        <v>427.5</v>
      </c>
      <c r="L95" s="9">
        <v>285</v>
      </c>
      <c r="O95" t="s">
        <v>405</v>
      </c>
      <c r="P95" t="s">
        <v>406</v>
      </c>
      <c r="Q95" t="str">
        <f t="shared" si="4"/>
        <v>'621056',</v>
      </c>
      <c r="R95" t="str">
        <f t="shared" si="5"/>
        <v>'3',</v>
      </c>
      <c r="S95" t="str">
        <f t="shared" si="6"/>
        <v>'0',</v>
      </c>
      <c r="T95" t="str">
        <f t="shared" si="7"/>
        <v>'MdSoft',</v>
      </c>
      <c r="U95" t="s">
        <v>411</v>
      </c>
    </row>
    <row r="96" spans="1:21" x14ac:dyDescent="0.3">
      <c r="A96" s="7">
        <v>800951</v>
      </c>
      <c r="B96" s="7" t="s">
        <v>349</v>
      </c>
      <c r="C96" s="7" t="s">
        <v>350</v>
      </c>
      <c r="D96" s="7">
        <v>1</v>
      </c>
      <c r="E96" s="8">
        <v>4</v>
      </c>
      <c r="F96" s="8">
        <f>+ROUNDUP(TblPresupuesto185[[#This Row],[UnidadesProm_Mes]]*1.5,0)</f>
        <v>6</v>
      </c>
      <c r="G96" s="8">
        <v>0</v>
      </c>
      <c r="H96" s="8" t="s">
        <v>410</v>
      </c>
      <c r="I96" s="8"/>
      <c r="J96" s="8">
        <f>+TblPresupuesto185[[#This Row],[MontoBrutoProm_Mes]]/TblPresupuesto185[[#This Row],[UnidadesProm_Mes]]</f>
        <v>70.69</v>
      </c>
      <c r="K96" s="8">
        <f>+TblPresupuesto185[[#This Row],[precio]]*TblPresupuesto185[[#This Row],[Nueva Cantidad]]</f>
        <v>424.14</v>
      </c>
      <c r="L96" s="9">
        <v>282.76</v>
      </c>
      <c r="O96" t="s">
        <v>405</v>
      </c>
      <c r="P96" t="s">
        <v>406</v>
      </c>
      <c r="Q96" t="str">
        <f t="shared" si="4"/>
        <v>'800951',</v>
      </c>
      <c r="R96" t="str">
        <f t="shared" si="5"/>
        <v>'6',</v>
      </c>
      <c r="S96" t="str">
        <f t="shared" si="6"/>
        <v>'0',</v>
      </c>
      <c r="T96" t="str">
        <f t="shared" si="7"/>
        <v>'MdSoft',</v>
      </c>
      <c r="U96" t="s">
        <v>411</v>
      </c>
    </row>
    <row r="97" spans="1:21" x14ac:dyDescent="0.3">
      <c r="A97" s="7">
        <v>983028</v>
      </c>
      <c r="B97" s="7" t="s">
        <v>225</v>
      </c>
      <c r="C97" s="7" t="s">
        <v>223</v>
      </c>
      <c r="D97" s="7">
        <v>1</v>
      </c>
      <c r="E97" s="8">
        <v>6</v>
      </c>
      <c r="F97" s="8">
        <f>+ROUNDUP(TblPresupuesto185[[#This Row],[UnidadesProm_Mes]]*1.5,0)</f>
        <v>9</v>
      </c>
      <c r="G97" s="8">
        <v>0</v>
      </c>
      <c r="H97" s="8" t="s">
        <v>410</v>
      </c>
      <c r="I97" s="8"/>
      <c r="J97" s="8">
        <f>+TblPresupuesto185[[#This Row],[MontoBrutoProm_Mes]]/TblPresupuesto185[[#This Row],[UnidadesProm_Mes]]</f>
        <v>45.550000000000004</v>
      </c>
      <c r="K97" s="8">
        <f>+TblPresupuesto185[[#This Row],[precio]]*TblPresupuesto185[[#This Row],[Nueva Cantidad]]</f>
        <v>409.95000000000005</v>
      </c>
      <c r="L97" s="9">
        <v>273.3</v>
      </c>
      <c r="O97" t="s">
        <v>405</v>
      </c>
      <c r="P97" t="s">
        <v>406</v>
      </c>
      <c r="Q97" t="str">
        <f t="shared" si="4"/>
        <v>'983028',</v>
      </c>
      <c r="R97" t="str">
        <f t="shared" si="5"/>
        <v>'9',</v>
      </c>
      <c r="S97" t="str">
        <f t="shared" si="6"/>
        <v>'0',</v>
      </c>
      <c r="T97" t="str">
        <f t="shared" si="7"/>
        <v>'MdSoft',</v>
      </c>
      <c r="U97" t="s">
        <v>411</v>
      </c>
    </row>
    <row r="98" spans="1:21" x14ac:dyDescent="0.3">
      <c r="A98" s="7">
        <v>912005</v>
      </c>
      <c r="B98" s="7" t="s">
        <v>324</v>
      </c>
      <c r="C98" s="7" t="s">
        <v>325</v>
      </c>
      <c r="D98" s="7">
        <v>2</v>
      </c>
      <c r="E98" s="8">
        <v>2.33</v>
      </c>
      <c r="F98" s="8">
        <f>+ROUNDUP(TblPresupuesto185[[#This Row],[UnidadesProm_Mes]]*1.5,0)</f>
        <v>4</v>
      </c>
      <c r="G98" s="8">
        <v>0</v>
      </c>
      <c r="H98" s="8" t="s">
        <v>410</v>
      </c>
      <c r="I98" s="8"/>
      <c r="J98" s="8">
        <f>+TblPresupuesto185[[#This Row],[MontoBrutoProm_Mes]]/TblPresupuesto185[[#This Row],[UnidadesProm_Mes]]</f>
        <v>115.10729613733905</v>
      </c>
      <c r="K98" s="8">
        <f>+TblPresupuesto185[[#This Row],[precio]]*TblPresupuesto185[[#This Row],[Nueva Cantidad]]</f>
        <v>460.42918454935619</v>
      </c>
      <c r="L98" s="9">
        <v>268.2</v>
      </c>
      <c r="O98" t="s">
        <v>405</v>
      </c>
      <c r="P98" t="s">
        <v>406</v>
      </c>
      <c r="Q98" t="str">
        <f t="shared" si="4"/>
        <v>'912005',</v>
      </c>
      <c r="R98" t="str">
        <f t="shared" si="5"/>
        <v>'4',</v>
      </c>
      <c r="S98" t="str">
        <f t="shared" si="6"/>
        <v>'0',</v>
      </c>
      <c r="T98" t="str">
        <f t="shared" si="7"/>
        <v>'MdSoft',</v>
      </c>
      <c r="U98" t="s">
        <v>411</v>
      </c>
    </row>
    <row r="99" spans="1:21" x14ac:dyDescent="0.3">
      <c r="A99" s="7">
        <v>621012</v>
      </c>
      <c r="B99" s="7" t="s">
        <v>334</v>
      </c>
      <c r="C99" s="7" t="s">
        <v>239</v>
      </c>
      <c r="D99" s="7">
        <v>1</v>
      </c>
      <c r="E99" s="8">
        <v>8</v>
      </c>
      <c r="F99" s="8">
        <f>+ROUNDUP(TblPresupuesto185[[#This Row],[UnidadesProm_Mes]]*1.5,0)</f>
        <v>12</v>
      </c>
      <c r="G99" s="8">
        <v>0</v>
      </c>
      <c r="H99" s="8" t="s">
        <v>410</v>
      </c>
      <c r="I99" s="8"/>
      <c r="J99" s="8">
        <f>+TblPresupuesto185[[#This Row],[MontoBrutoProm_Mes]]/TblPresupuesto185[[#This Row],[UnidadesProm_Mes]]</f>
        <v>26.93</v>
      </c>
      <c r="K99" s="8">
        <f>+TblPresupuesto185[[#This Row],[precio]]*TblPresupuesto185[[#This Row],[Nueva Cantidad]]</f>
        <v>323.15999999999997</v>
      </c>
      <c r="L99" s="9">
        <v>215.44</v>
      </c>
      <c r="O99" t="s">
        <v>405</v>
      </c>
      <c r="P99" t="s">
        <v>406</v>
      </c>
      <c r="Q99" t="str">
        <f t="shared" si="4"/>
        <v>'621012',</v>
      </c>
      <c r="R99" t="str">
        <f t="shared" si="5"/>
        <v>'12',</v>
      </c>
      <c r="S99" t="str">
        <f t="shared" si="6"/>
        <v>'0',</v>
      </c>
      <c r="T99" t="str">
        <f t="shared" si="7"/>
        <v>'MdSoft',</v>
      </c>
      <c r="U99" t="s">
        <v>411</v>
      </c>
    </row>
    <row r="100" spans="1:21" x14ac:dyDescent="0.3">
      <c r="A100" s="7">
        <v>220006</v>
      </c>
      <c r="B100" s="7" t="s">
        <v>342</v>
      </c>
      <c r="C100" s="7" t="s">
        <v>220</v>
      </c>
      <c r="D100" s="7">
        <v>2</v>
      </c>
      <c r="E100" s="8">
        <v>1.33</v>
      </c>
      <c r="F100" s="8">
        <f>+ROUNDUP(TblPresupuesto185[[#This Row],[UnidadesProm_Mes]]*1.5,0)</f>
        <v>2</v>
      </c>
      <c r="G100" s="8">
        <v>0</v>
      </c>
      <c r="H100" s="8" t="s">
        <v>410</v>
      </c>
      <c r="I100" s="8"/>
      <c r="J100" s="8">
        <f>+TblPresupuesto185[[#This Row],[MontoBrutoProm_Mes]]/TblPresupuesto185[[#This Row],[UnidadesProm_Mes]]</f>
        <v>161.73684210526315</v>
      </c>
      <c r="K100" s="8">
        <f>+TblPresupuesto185[[#This Row],[precio]]*TblPresupuesto185[[#This Row],[Nueva Cantidad]]</f>
        <v>323.4736842105263</v>
      </c>
      <c r="L100" s="9">
        <v>215.11</v>
      </c>
      <c r="O100" t="s">
        <v>405</v>
      </c>
      <c r="P100" t="s">
        <v>406</v>
      </c>
      <c r="Q100" t="str">
        <f t="shared" si="4"/>
        <v>'220006',</v>
      </c>
      <c r="R100" t="str">
        <f t="shared" si="5"/>
        <v>'2',</v>
      </c>
      <c r="S100" t="str">
        <f t="shared" si="6"/>
        <v>'0',</v>
      </c>
      <c r="T100" t="str">
        <f t="shared" si="7"/>
        <v>'MdSoft',</v>
      </c>
      <c r="U100" t="s">
        <v>411</v>
      </c>
    </row>
    <row r="101" spans="1:21" x14ac:dyDescent="0.3">
      <c r="A101" s="7">
        <v>220007</v>
      </c>
      <c r="B101" s="7" t="s">
        <v>343</v>
      </c>
      <c r="C101" s="7" t="s">
        <v>220</v>
      </c>
      <c r="D101" s="7">
        <v>2</v>
      </c>
      <c r="E101" s="8">
        <v>1.33</v>
      </c>
      <c r="F101" s="8">
        <f>+ROUNDUP(TblPresupuesto185[[#This Row],[UnidadesProm_Mes]]*1.5,0)</f>
        <v>2</v>
      </c>
      <c r="G101" s="8">
        <v>0</v>
      </c>
      <c r="H101" s="8" t="s">
        <v>410</v>
      </c>
      <c r="I101" s="8"/>
      <c r="J101" s="8">
        <f>+TblPresupuesto185[[#This Row],[MontoBrutoProm_Mes]]/TblPresupuesto185[[#This Row],[UnidadesProm_Mes]]</f>
        <v>161.73684210526315</v>
      </c>
      <c r="K101" s="8">
        <f>+TblPresupuesto185[[#This Row],[precio]]*TblPresupuesto185[[#This Row],[Nueva Cantidad]]</f>
        <v>323.4736842105263</v>
      </c>
      <c r="L101" s="9">
        <v>215.11</v>
      </c>
      <c r="O101" t="s">
        <v>405</v>
      </c>
      <c r="P101" t="s">
        <v>406</v>
      </c>
      <c r="Q101" t="str">
        <f t="shared" si="4"/>
        <v>'220007',</v>
      </c>
      <c r="R101" t="str">
        <f t="shared" si="5"/>
        <v>'2',</v>
      </c>
      <c r="S101" t="str">
        <f t="shared" si="6"/>
        <v>'0',</v>
      </c>
      <c r="T101" t="str">
        <f t="shared" si="7"/>
        <v>'MdSoft',</v>
      </c>
      <c r="U101" t="s">
        <v>411</v>
      </c>
    </row>
    <row r="102" spans="1:21" x14ac:dyDescent="0.3">
      <c r="A102" s="7">
        <v>220008</v>
      </c>
      <c r="B102" s="7" t="s">
        <v>344</v>
      </c>
      <c r="C102" s="7" t="s">
        <v>220</v>
      </c>
      <c r="D102" s="7">
        <v>2</v>
      </c>
      <c r="E102" s="8">
        <v>1.33</v>
      </c>
      <c r="F102" s="8">
        <f>+ROUNDUP(TblPresupuesto185[[#This Row],[UnidadesProm_Mes]]*1.5,0)</f>
        <v>2</v>
      </c>
      <c r="G102" s="8">
        <v>0</v>
      </c>
      <c r="H102" s="8" t="s">
        <v>410</v>
      </c>
      <c r="I102" s="8"/>
      <c r="J102" s="8">
        <f>+TblPresupuesto185[[#This Row],[MontoBrutoProm_Mes]]/TblPresupuesto185[[#This Row],[UnidadesProm_Mes]]</f>
        <v>161.73684210526315</v>
      </c>
      <c r="K102" s="8">
        <f>+TblPresupuesto185[[#This Row],[precio]]*TblPresupuesto185[[#This Row],[Nueva Cantidad]]</f>
        <v>323.4736842105263</v>
      </c>
      <c r="L102" s="9">
        <v>215.11</v>
      </c>
      <c r="O102" t="s">
        <v>405</v>
      </c>
      <c r="P102" t="s">
        <v>406</v>
      </c>
      <c r="Q102" t="str">
        <f t="shared" si="4"/>
        <v>'220008',</v>
      </c>
      <c r="R102" t="str">
        <f t="shared" si="5"/>
        <v>'2',</v>
      </c>
      <c r="S102" t="str">
        <f t="shared" si="6"/>
        <v>'0',</v>
      </c>
      <c r="T102" t="str">
        <f t="shared" si="7"/>
        <v>'MdSoft',</v>
      </c>
      <c r="U102" t="s">
        <v>411</v>
      </c>
    </row>
    <row r="103" spans="1:21" x14ac:dyDescent="0.3">
      <c r="A103" s="7">
        <v>983014</v>
      </c>
      <c r="B103" s="7" t="s">
        <v>224</v>
      </c>
      <c r="C103" s="7" t="s">
        <v>223</v>
      </c>
      <c r="D103" s="7">
        <v>1</v>
      </c>
      <c r="E103" s="8">
        <v>0.67</v>
      </c>
      <c r="F103" s="8">
        <f>+ROUNDUP(TblPresupuesto185[[#This Row],[UnidadesProm_Mes]]*1.5,0)</f>
        <v>2</v>
      </c>
      <c r="G103" s="8">
        <v>0</v>
      </c>
      <c r="H103" s="8" t="s">
        <v>410</v>
      </c>
      <c r="I103" s="8"/>
      <c r="J103" s="8">
        <f>+TblPresupuesto185[[#This Row],[MontoBrutoProm_Mes]]/TblPresupuesto185[[#This Row],[UnidadesProm_Mes]]</f>
        <v>308.82089552238801</v>
      </c>
      <c r="K103" s="8">
        <f>+TblPresupuesto185[[#This Row],[precio]]*TblPresupuesto185[[#This Row],[Nueva Cantidad]]</f>
        <v>617.64179104477603</v>
      </c>
      <c r="L103" s="9">
        <v>206.91</v>
      </c>
      <c r="O103" t="s">
        <v>405</v>
      </c>
      <c r="P103" t="s">
        <v>406</v>
      </c>
      <c r="Q103" t="str">
        <f t="shared" si="4"/>
        <v>'983014',</v>
      </c>
      <c r="R103" t="str">
        <f t="shared" si="5"/>
        <v>'2',</v>
      </c>
      <c r="S103" t="str">
        <f t="shared" si="6"/>
        <v>'0',</v>
      </c>
      <c r="T103" t="str">
        <f t="shared" si="7"/>
        <v>'MdSoft',</v>
      </c>
      <c r="U103" t="s">
        <v>411</v>
      </c>
    </row>
    <row r="104" spans="1:21" x14ac:dyDescent="0.3">
      <c r="A104" s="7">
        <v>983045</v>
      </c>
      <c r="B104" s="7" t="s">
        <v>229</v>
      </c>
      <c r="C104" s="7" t="s">
        <v>223</v>
      </c>
      <c r="D104" s="7">
        <v>1</v>
      </c>
      <c r="E104" s="8">
        <v>1.67</v>
      </c>
      <c r="F104" s="8">
        <f>+ROUNDUP(TblPresupuesto185[[#This Row],[UnidadesProm_Mes]]*1.5,0)</f>
        <v>3</v>
      </c>
      <c r="G104" s="8">
        <v>0</v>
      </c>
      <c r="H104" s="8" t="s">
        <v>410</v>
      </c>
      <c r="I104" s="8"/>
      <c r="J104" s="8">
        <f>+TblPresupuesto185[[#This Row],[MontoBrutoProm_Mes]]/TblPresupuesto185[[#This Row],[UnidadesProm_Mes]]</f>
        <v>122.78443113772457</v>
      </c>
      <c r="K104" s="8">
        <f>+TblPresupuesto185[[#This Row],[precio]]*TblPresupuesto185[[#This Row],[Nueva Cantidad]]</f>
        <v>368.35329341317367</v>
      </c>
      <c r="L104" s="9">
        <v>205.05</v>
      </c>
      <c r="O104" t="s">
        <v>405</v>
      </c>
      <c r="P104" t="s">
        <v>406</v>
      </c>
      <c r="Q104" t="str">
        <f t="shared" si="4"/>
        <v>'983045',</v>
      </c>
      <c r="R104" t="str">
        <f t="shared" si="5"/>
        <v>'3',</v>
      </c>
      <c r="S104" t="str">
        <f t="shared" si="6"/>
        <v>'0',</v>
      </c>
      <c r="T104" t="str">
        <f t="shared" si="7"/>
        <v>'MdSoft',</v>
      </c>
      <c r="U104" t="s">
        <v>411</v>
      </c>
    </row>
    <row r="105" spans="1:21" x14ac:dyDescent="0.3">
      <c r="A105" s="7">
        <v>930174</v>
      </c>
      <c r="B105" s="7" t="s">
        <v>329</v>
      </c>
      <c r="C105" s="7" t="s">
        <v>243</v>
      </c>
      <c r="D105" s="7">
        <v>2</v>
      </c>
      <c r="E105" s="8">
        <v>1.34</v>
      </c>
      <c r="F105" s="8">
        <f>+ROUNDUP(TblPresupuesto185[[#This Row],[UnidadesProm_Mes]]*1.5,0)</f>
        <v>3</v>
      </c>
      <c r="G105" s="8">
        <v>0</v>
      </c>
      <c r="H105" s="8" t="s">
        <v>410</v>
      </c>
      <c r="I105" s="8"/>
      <c r="J105" s="8">
        <f>+TblPresupuesto185[[#This Row],[MontoBrutoProm_Mes]]/TblPresupuesto185[[#This Row],[UnidadesProm_Mes]]</f>
        <v>151.77611940298507</v>
      </c>
      <c r="K105" s="8">
        <f>+TblPresupuesto185[[#This Row],[precio]]*TblPresupuesto185[[#This Row],[Nueva Cantidad]]</f>
        <v>455.32835820895525</v>
      </c>
      <c r="L105" s="9">
        <v>203.38</v>
      </c>
      <c r="O105" t="s">
        <v>405</v>
      </c>
      <c r="P105" t="s">
        <v>406</v>
      </c>
      <c r="Q105" t="str">
        <f t="shared" si="4"/>
        <v>'930174',</v>
      </c>
      <c r="R105" t="str">
        <f t="shared" si="5"/>
        <v>'3',</v>
      </c>
      <c r="S105" t="str">
        <f t="shared" si="6"/>
        <v>'0',</v>
      </c>
      <c r="T105" t="str">
        <f t="shared" si="7"/>
        <v>'MdSoft',</v>
      </c>
      <c r="U105" t="s">
        <v>411</v>
      </c>
    </row>
    <row r="106" spans="1:21" x14ac:dyDescent="0.3">
      <c r="A106" s="7">
        <v>501137</v>
      </c>
      <c r="B106" s="7" t="s">
        <v>392</v>
      </c>
      <c r="C106" s="7" t="s">
        <v>393</v>
      </c>
      <c r="D106" s="7">
        <v>1</v>
      </c>
      <c r="E106" s="8">
        <v>16</v>
      </c>
      <c r="F106" s="8">
        <f>+ROUNDUP(TblPresupuesto185[[#This Row],[UnidadesProm_Mes]]*1.5,0)</f>
        <v>24</v>
      </c>
      <c r="G106" s="8">
        <v>0</v>
      </c>
      <c r="H106" s="8" t="s">
        <v>410</v>
      </c>
      <c r="I106" s="8"/>
      <c r="J106" s="8">
        <f>+TblPresupuesto185[[#This Row],[MontoBrutoProm_Mes]]/TblPresupuesto185[[#This Row],[UnidadesProm_Mes]]</f>
        <v>12.65</v>
      </c>
      <c r="K106" s="8">
        <f>+TblPresupuesto185[[#This Row],[precio]]*TblPresupuesto185[[#This Row],[Nueva Cantidad]]</f>
        <v>303.60000000000002</v>
      </c>
      <c r="L106" s="9">
        <v>202.4</v>
      </c>
      <c r="O106" t="s">
        <v>405</v>
      </c>
      <c r="P106" t="s">
        <v>406</v>
      </c>
      <c r="Q106" t="str">
        <f t="shared" si="4"/>
        <v>'501137',</v>
      </c>
      <c r="R106" t="str">
        <f t="shared" si="5"/>
        <v>'24',</v>
      </c>
      <c r="S106" t="str">
        <f t="shared" si="6"/>
        <v>'0',</v>
      </c>
      <c r="T106" t="str">
        <f t="shared" si="7"/>
        <v>'MdSoft',</v>
      </c>
      <c r="U106" t="s">
        <v>411</v>
      </c>
    </row>
    <row r="107" spans="1:21" x14ac:dyDescent="0.3">
      <c r="A107" s="7">
        <v>104023</v>
      </c>
      <c r="B107" s="7" t="s">
        <v>341</v>
      </c>
      <c r="C107" s="7" t="s">
        <v>215</v>
      </c>
      <c r="D107" s="7">
        <v>1</v>
      </c>
      <c r="E107" s="8">
        <v>0.67</v>
      </c>
      <c r="F107" s="8">
        <f>+ROUNDUP(TblPresupuesto185[[#This Row],[UnidadesProm_Mes]]*1.5,0)</f>
        <v>2</v>
      </c>
      <c r="G107" s="8">
        <v>0</v>
      </c>
      <c r="H107" s="8" t="s">
        <v>410</v>
      </c>
      <c r="I107" s="8"/>
      <c r="J107" s="8">
        <f>+TblPresupuesto185[[#This Row],[MontoBrutoProm_Mes]]/TblPresupuesto185[[#This Row],[UnidadesProm_Mes]]</f>
        <v>294.40298507462683</v>
      </c>
      <c r="K107" s="8">
        <f>+TblPresupuesto185[[#This Row],[precio]]*TblPresupuesto185[[#This Row],[Nueva Cantidad]]</f>
        <v>588.80597014925365</v>
      </c>
      <c r="L107" s="9">
        <v>197.25</v>
      </c>
      <c r="O107" t="s">
        <v>405</v>
      </c>
      <c r="P107" t="s">
        <v>406</v>
      </c>
      <c r="Q107" t="str">
        <f t="shared" si="4"/>
        <v>'104023',</v>
      </c>
      <c r="R107" t="str">
        <f t="shared" si="5"/>
        <v>'2',</v>
      </c>
      <c r="S107" t="str">
        <f t="shared" si="6"/>
        <v>'0',</v>
      </c>
      <c r="T107" t="str">
        <f t="shared" si="7"/>
        <v>'MdSoft',</v>
      </c>
      <c r="U107" t="s">
        <v>411</v>
      </c>
    </row>
    <row r="108" spans="1:21" x14ac:dyDescent="0.3">
      <c r="A108" s="7">
        <v>912007</v>
      </c>
      <c r="B108" s="7" t="s">
        <v>326</v>
      </c>
      <c r="C108" s="7" t="s">
        <v>325</v>
      </c>
      <c r="D108" s="7">
        <v>1</v>
      </c>
      <c r="E108" s="8">
        <v>1.67</v>
      </c>
      <c r="F108" s="8">
        <f>+ROUNDUP(TblPresupuesto185[[#This Row],[UnidadesProm_Mes]]*1.5,0)</f>
        <v>3</v>
      </c>
      <c r="G108" s="8">
        <v>0</v>
      </c>
      <c r="H108" s="8" t="s">
        <v>410</v>
      </c>
      <c r="I108" s="8"/>
      <c r="J108" s="8">
        <f>+TblPresupuesto185[[#This Row],[MontoBrutoProm_Mes]]/TblPresupuesto185[[#This Row],[UnidadesProm_Mes]]</f>
        <v>116.71856287425149</v>
      </c>
      <c r="K108" s="8">
        <f>+TblPresupuesto185[[#This Row],[precio]]*TblPresupuesto185[[#This Row],[Nueva Cantidad]]</f>
        <v>350.1556886227545</v>
      </c>
      <c r="L108" s="9">
        <v>194.92</v>
      </c>
      <c r="O108" t="s">
        <v>405</v>
      </c>
      <c r="P108" t="s">
        <v>406</v>
      </c>
      <c r="Q108" t="str">
        <f t="shared" si="4"/>
        <v>'912007',</v>
      </c>
      <c r="R108" t="str">
        <f t="shared" si="5"/>
        <v>'3',</v>
      </c>
      <c r="S108" t="str">
        <f t="shared" si="6"/>
        <v>'0',</v>
      </c>
      <c r="T108" t="str">
        <f t="shared" si="7"/>
        <v>'MdSoft',</v>
      </c>
      <c r="U108" t="s">
        <v>411</v>
      </c>
    </row>
    <row r="109" spans="1:21" x14ac:dyDescent="0.3">
      <c r="A109" s="7">
        <v>930033</v>
      </c>
      <c r="B109" s="7" t="s">
        <v>353</v>
      </c>
      <c r="C109" s="7" t="s">
        <v>243</v>
      </c>
      <c r="D109" s="7">
        <v>2</v>
      </c>
      <c r="E109" s="8">
        <v>2</v>
      </c>
      <c r="F109" s="8">
        <f>+ROUNDUP(TblPresupuesto185[[#This Row],[UnidadesProm_Mes]]*1.5,0)</f>
        <v>3</v>
      </c>
      <c r="G109" s="8">
        <v>0</v>
      </c>
      <c r="H109" s="8" t="s">
        <v>410</v>
      </c>
      <c r="I109" s="8"/>
      <c r="J109" s="8">
        <f>+TblPresupuesto185[[#This Row],[MontoBrutoProm_Mes]]/TblPresupuesto185[[#This Row],[UnidadesProm_Mes]]</f>
        <v>81.709999999999994</v>
      </c>
      <c r="K109" s="8">
        <f>+TblPresupuesto185[[#This Row],[precio]]*TblPresupuesto185[[#This Row],[Nueva Cantidad]]</f>
        <v>245.13</v>
      </c>
      <c r="L109" s="9">
        <v>163.41999999999999</v>
      </c>
      <c r="O109" t="s">
        <v>405</v>
      </c>
      <c r="P109" t="s">
        <v>406</v>
      </c>
      <c r="Q109" t="str">
        <f t="shared" si="4"/>
        <v>'930033',</v>
      </c>
      <c r="R109" t="str">
        <f t="shared" si="5"/>
        <v>'3',</v>
      </c>
      <c r="S109" t="str">
        <f t="shared" si="6"/>
        <v>'0',</v>
      </c>
      <c r="T109" t="str">
        <f t="shared" si="7"/>
        <v>'MdSoft',</v>
      </c>
      <c r="U109" t="s">
        <v>411</v>
      </c>
    </row>
    <row r="110" spans="1:21" x14ac:dyDescent="0.3">
      <c r="A110" s="7">
        <v>930104</v>
      </c>
      <c r="B110" s="7" t="s">
        <v>328</v>
      </c>
      <c r="C110" s="7" t="s">
        <v>243</v>
      </c>
      <c r="D110" s="7">
        <v>3</v>
      </c>
      <c r="E110" s="8">
        <v>1.66</v>
      </c>
      <c r="F110" s="8">
        <f>+ROUNDUP(TblPresupuesto185[[#This Row],[UnidadesProm_Mes]]*1.5,0)</f>
        <v>3</v>
      </c>
      <c r="G110" s="8">
        <v>0</v>
      </c>
      <c r="H110" s="8" t="s">
        <v>410</v>
      </c>
      <c r="I110" s="8"/>
      <c r="J110" s="8">
        <f>+TblPresupuesto185[[#This Row],[MontoBrutoProm_Mes]]/TblPresupuesto185[[#This Row],[UnidadesProm_Mes]]</f>
        <v>89.361445783132538</v>
      </c>
      <c r="K110" s="8">
        <f>+TblPresupuesto185[[#This Row],[precio]]*TblPresupuesto185[[#This Row],[Nueva Cantidad]]</f>
        <v>268.08433734939763</v>
      </c>
      <c r="L110" s="9">
        <v>148.34</v>
      </c>
      <c r="O110" t="s">
        <v>405</v>
      </c>
      <c r="P110" t="s">
        <v>406</v>
      </c>
      <c r="Q110" t="str">
        <f t="shared" si="4"/>
        <v>'930104',</v>
      </c>
      <c r="R110" t="str">
        <f t="shared" si="5"/>
        <v>'3',</v>
      </c>
      <c r="S110" t="str">
        <f t="shared" si="6"/>
        <v>'0',</v>
      </c>
      <c r="T110" t="str">
        <f t="shared" si="7"/>
        <v>'MdSoft',</v>
      </c>
      <c r="U110" t="s">
        <v>411</v>
      </c>
    </row>
    <row r="111" spans="1:21" x14ac:dyDescent="0.3">
      <c r="A111" s="7">
        <v>930168</v>
      </c>
      <c r="B111" s="7" t="s">
        <v>337</v>
      </c>
      <c r="C111" s="7" t="s">
        <v>243</v>
      </c>
      <c r="D111" s="7">
        <v>2</v>
      </c>
      <c r="E111" s="8">
        <v>6</v>
      </c>
      <c r="F111" s="8">
        <f>+ROUNDUP(TblPresupuesto185[[#This Row],[UnidadesProm_Mes]]*1.5,0)</f>
        <v>9</v>
      </c>
      <c r="G111" s="8">
        <v>0</v>
      </c>
      <c r="H111" s="8" t="s">
        <v>410</v>
      </c>
      <c r="I111" s="8"/>
      <c r="J111" s="8">
        <f>+TblPresupuesto185[[#This Row],[MontoBrutoProm_Mes]]/TblPresupuesto185[[#This Row],[UnidadesProm_Mes]]</f>
        <v>23.709999999999997</v>
      </c>
      <c r="K111" s="8">
        <f>+TblPresupuesto185[[#This Row],[precio]]*TblPresupuesto185[[#This Row],[Nueva Cantidad]]</f>
        <v>213.39</v>
      </c>
      <c r="L111" s="9">
        <v>142.26</v>
      </c>
      <c r="O111" t="s">
        <v>405</v>
      </c>
      <c r="P111" t="s">
        <v>406</v>
      </c>
      <c r="Q111" t="str">
        <f t="shared" si="4"/>
        <v>'930168',</v>
      </c>
      <c r="R111" t="str">
        <f t="shared" si="5"/>
        <v>'9',</v>
      </c>
      <c r="S111" t="str">
        <f t="shared" si="6"/>
        <v>'0',</v>
      </c>
      <c r="T111" t="str">
        <f t="shared" si="7"/>
        <v>'MdSoft',</v>
      </c>
      <c r="U111" t="s">
        <v>411</v>
      </c>
    </row>
    <row r="112" spans="1:21" x14ac:dyDescent="0.3">
      <c r="A112" s="7">
        <v>960104</v>
      </c>
      <c r="B112" s="7" t="s">
        <v>374</v>
      </c>
      <c r="C112" s="7" t="s">
        <v>306</v>
      </c>
      <c r="D112" s="7">
        <v>1</v>
      </c>
      <c r="E112" s="8">
        <v>2</v>
      </c>
      <c r="F112" s="8">
        <f>+ROUNDUP(TblPresupuesto185[[#This Row],[UnidadesProm_Mes]]*1.5,0)</f>
        <v>3</v>
      </c>
      <c r="G112" s="8">
        <v>0</v>
      </c>
      <c r="H112" s="8" t="s">
        <v>410</v>
      </c>
      <c r="I112" s="8"/>
      <c r="J112" s="8">
        <f>+TblPresupuesto185[[#This Row],[MontoBrutoProm_Mes]]/TblPresupuesto185[[#This Row],[UnidadesProm_Mes]]</f>
        <v>67.75</v>
      </c>
      <c r="K112" s="8">
        <f>+TblPresupuesto185[[#This Row],[precio]]*TblPresupuesto185[[#This Row],[Nueva Cantidad]]</f>
        <v>203.25</v>
      </c>
      <c r="L112" s="9">
        <v>135.5</v>
      </c>
      <c r="O112" t="s">
        <v>405</v>
      </c>
      <c r="P112" t="s">
        <v>406</v>
      </c>
      <c r="Q112" t="str">
        <f t="shared" si="4"/>
        <v>'960104',</v>
      </c>
      <c r="R112" t="str">
        <f t="shared" si="5"/>
        <v>'3',</v>
      </c>
      <c r="S112" t="str">
        <f t="shared" si="6"/>
        <v>'0',</v>
      </c>
      <c r="T112" t="str">
        <f t="shared" si="7"/>
        <v>'MdSoft',</v>
      </c>
      <c r="U112" t="s">
        <v>411</v>
      </c>
    </row>
    <row r="113" spans="1:21" x14ac:dyDescent="0.3">
      <c r="A113" s="7">
        <v>950109</v>
      </c>
      <c r="B113" s="7" t="s">
        <v>283</v>
      </c>
      <c r="C113" s="7" t="s">
        <v>284</v>
      </c>
      <c r="D113" s="7">
        <v>1</v>
      </c>
      <c r="E113" s="8">
        <v>12</v>
      </c>
      <c r="F113" s="8">
        <f>+ROUNDUP(TblPresupuesto185[[#This Row],[UnidadesProm_Mes]]*1.5,0)</f>
        <v>18</v>
      </c>
      <c r="G113" s="8">
        <v>0</v>
      </c>
      <c r="H113" s="8" t="s">
        <v>410</v>
      </c>
      <c r="I113" s="8"/>
      <c r="J113" s="8">
        <f>+TblPresupuesto185[[#This Row],[MontoBrutoProm_Mes]]/TblPresupuesto185[[#This Row],[UnidadesProm_Mes]]</f>
        <v>11.29</v>
      </c>
      <c r="K113" s="8">
        <f>+TblPresupuesto185[[#This Row],[precio]]*TblPresupuesto185[[#This Row],[Nueva Cantidad]]</f>
        <v>203.21999999999997</v>
      </c>
      <c r="L113" s="9">
        <v>135.47999999999999</v>
      </c>
      <c r="O113" t="s">
        <v>405</v>
      </c>
      <c r="P113" t="s">
        <v>406</v>
      </c>
      <c r="Q113" t="str">
        <f t="shared" si="4"/>
        <v>'950109',</v>
      </c>
      <c r="R113" t="str">
        <f t="shared" si="5"/>
        <v>'18',</v>
      </c>
      <c r="S113" t="str">
        <f t="shared" si="6"/>
        <v>'0',</v>
      </c>
      <c r="T113" t="str">
        <f t="shared" si="7"/>
        <v>'MdSoft',</v>
      </c>
      <c r="U113" t="s">
        <v>411</v>
      </c>
    </row>
    <row r="114" spans="1:21" x14ac:dyDescent="0.3">
      <c r="A114" s="7">
        <v>930016</v>
      </c>
      <c r="B114" s="7" t="s">
        <v>385</v>
      </c>
      <c r="C114" s="7" t="s">
        <v>243</v>
      </c>
      <c r="D114" s="7">
        <v>2</v>
      </c>
      <c r="E114" s="8">
        <v>1</v>
      </c>
      <c r="F114" s="8">
        <f>+ROUNDUP(TblPresupuesto185[[#This Row],[UnidadesProm_Mes]]*1.5,0)</f>
        <v>2</v>
      </c>
      <c r="G114" s="8">
        <v>0</v>
      </c>
      <c r="H114" s="8" t="s">
        <v>410</v>
      </c>
      <c r="I114" s="8"/>
      <c r="J114" s="8">
        <f>+TblPresupuesto185[[#This Row],[MontoBrutoProm_Mes]]/TblPresupuesto185[[#This Row],[UnidadesProm_Mes]]</f>
        <v>109.48</v>
      </c>
      <c r="K114" s="8">
        <f>+TblPresupuesto185[[#This Row],[precio]]*TblPresupuesto185[[#This Row],[Nueva Cantidad]]</f>
        <v>218.96</v>
      </c>
      <c r="L114" s="9">
        <v>109.48</v>
      </c>
      <c r="O114" t="s">
        <v>405</v>
      </c>
      <c r="P114" t="s">
        <v>406</v>
      </c>
      <c r="Q114" t="str">
        <f t="shared" si="4"/>
        <v>'930016',</v>
      </c>
      <c r="R114" t="str">
        <f t="shared" si="5"/>
        <v>'2',</v>
      </c>
      <c r="S114" t="str">
        <f t="shared" si="6"/>
        <v>'0',</v>
      </c>
      <c r="T114" t="str">
        <f t="shared" si="7"/>
        <v>'MdSoft',</v>
      </c>
      <c r="U114" t="s">
        <v>411</v>
      </c>
    </row>
    <row r="115" spans="1:21" x14ac:dyDescent="0.3">
      <c r="A115" s="7">
        <v>983031</v>
      </c>
      <c r="B115" s="7" t="s">
        <v>226</v>
      </c>
      <c r="C115" s="7" t="s">
        <v>223</v>
      </c>
      <c r="D115" s="7">
        <v>1</v>
      </c>
      <c r="E115" s="8">
        <v>0.33</v>
      </c>
      <c r="F115" s="8">
        <f>+ROUNDUP(TblPresupuesto185[[#This Row],[UnidadesProm_Mes]]*1.5,0)</f>
        <v>1</v>
      </c>
      <c r="G115" s="8">
        <v>0</v>
      </c>
      <c r="H115" s="8" t="s">
        <v>410</v>
      </c>
      <c r="I115" s="8"/>
      <c r="J115" s="8">
        <f>+TblPresupuesto185[[#This Row],[MontoBrutoProm_Mes]]/TblPresupuesto185[[#This Row],[UnidadesProm_Mes]]</f>
        <v>315.24242424242425</v>
      </c>
      <c r="K115" s="8">
        <f>+TblPresupuesto185[[#This Row],[precio]]*TblPresupuesto185[[#This Row],[Nueva Cantidad]]</f>
        <v>315.24242424242425</v>
      </c>
      <c r="L115" s="9">
        <v>104.03</v>
      </c>
      <c r="O115" t="s">
        <v>405</v>
      </c>
      <c r="P115" t="s">
        <v>406</v>
      </c>
      <c r="Q115" t="str">
        <f t="shared" si="4"/>
        <v>'983031',</v>
      </c>
      <c r="R115" t="str">
        <f t="shared" si="5"/>
        <v>'1',</v>
      </c>
      <c r="S115" t="str">
        <f t="shared" si="6"/>
        <v>'0',</v>
      </c>
      <c r="T115" t="str">
        <f t="shared" si="7"/>
        <v>'MdSoft',</v>
      </c>
      <c r="U115" t="s">
        <v>411</v>
      </c>
    </row>
    <row r="116" spans="1:21" x14ac:dyDescent="0.3">
      <c r="A116" s="7">
        <v>983043</v>
      </c>
      <c r="B116" s="7" t="s">
        <v>228</v>
      </c>
      <c r="C116" s="7" t="s">
        <v>223</v>
      </c>
      <c r="D116" s="7">
        <v>1</v>
      </c>
      <c r="E116" s="8">
        <v>2</v>
      </c>
      <c r="F116" s="8">
        <f>+ROUNDUP(TblPresupuesto185[[#This Row],[UnidadesProm_Mes]]*1.5,0)</f>
        <v>3</v>
      </c>
      <c r="G116" s="8">
        <v>0</v>
      </c>
      <c r="H116" s="8" t="s">
        <v>410</v>
      </c>
      <c r="I116" s="8"/>
      <c r="J116" s="8">
        <f>+TblPresupuesto185[[#This Row],[MontoBrutoProm_Mes]]/TblPresupuesto185[[#This Row],[UnidadesProm_Mes]]</f>
        <v>41.05</v>
      </c>
      <c r="K116" s="8">
        <f>+TblPresupuesto185[[#This Row],[precio]]*TblPresupuesto185[[#This Row],[Nueva Cantidad]]</f>
        <v>123.14999999999999</v>
      </c>
      <c r="L116" s="9">
        <v>82.1</v>
      </c>
      <c r="O116" t="s">
        <v>405</v>
      </c>
      <c r="P116" t="s">
        <v>406</v>
      </c>
      <c r="Q116" t="str">
        <f t="shared" si="4"/>
        <v>'983043',</v>
      </c>
      <c r="R116" t="str">
        <f t="shared" si="5"/>
        <v>'3',</v>
      </c>
      <c r="S116" t="str">
        <f t="shared" si="6"/>
        <v>'0',</v>
      </c>
      <c r="T116" t="str">
        <f t="shared" si="7"/>
        <v>'MdSoft',</v>
      </c>
      <c r="U116" t="s">
        <v>411</v>
      </c>
    </row>
    <row r="117" spans="1:21" x14ac:dyDescent="0.3">
      <c r="A117" s="7">
        <v>501138</v>
      </c>
      <c r="B117" s="7" t="s">
        <v>394</v>
      </c>
      <c r="C117" s="7" t="s">
        <v>393</v>
      </c>
      <c r="D117" s="7">
        <v>1</v>
      </c>
      <c r="E117" s="8">
        <v>0.33</v>
      </c>
      <c r="F117" s="8">
        <f>+ROUNDUP(TblPresupuesto185[[#This Row],[UnidadesProm_Mes]]*1.5,0)</f>
        <v>1</v>
      </c>
      <c r="G117" s="8">
        <v>0</v>
      </c>
      <c r="H117" s="8" t="s">
        <v>410</v>
      </c>
      <c r="I117" s="8"/>
      <c r="J117" s="8">
        <f>+TblPresupuesto185[[#This Row],[MontoBrutoProm_Mes]]/TblPresupuesto185[[#This Row],[UnidadesProm_Mes]]</f>
        <v>237.06060606060606</v>
      </c>
      <c r="K117" s="8">
        <f>+TblPresupuesto185[[#This Row],[precio]]*TblPresupuesto185[[#This Row],[Nueva Cantidad]]</f>
        <v>237.06060606060606</v>
      </c>
      <c r="L117" s="9">
        <v>78.23</v>
      </c>
      <c r="O117" t="s">
        <v>405</v>
      </c>
      <c r="P117" t="s">
        <v>406</v>
      </c>
      <c r="Q117" t="str">
        <f t="shared" si="4"/>
        <v>'501138',</v>
      </c>
      <c r="R117" t="str">
        <f t="shared" si="5"/>
        <v>'1',</v>
      </c>
      <c r="S117" t="str">
        <f t="shared" si="6"/>
        <v>'0',</v>
      </c>
      <c r="T117" t="str">
        <f t="shared" si="7"/>
        <v>'MdSoft',</v>
      </c>
      <c r="U117" t="s">
        <v>411</v>
      </c>
    </row>
    <row r="118" spans="1:21" x14ac:dyDescent="0.3">
      <c r="A118" s="7">
        <v>930017</v>
      </c>
      <c r="B118" s="7" t="s">
        <v>386</v>
      </c>
      <c r="C118" s="7" t="s">
        <v>243</v>
      </c>
      <c r="D118" s="7">
        <v>1</v>
      </c>
      <c r="E118" s="8">
        <v>0.67</v>
      </c>
      <c r="F118" s="8">
        <f>+ROUNDUP(TblPresupuesto185[[#This Row],[UnidadesProm_Mes]]*1.5,0)</f>
        <v>2</v>
      </c>
      <c r="G118" s="8">
        <v>0</v>
      </c>
      <c r="H118" s="8" t="s">
        <v>410</v>
      </c>
      <c r="I118" s="8"/>
      <c r="J118" s="8">
        <f>+TblPresupuesto185[[#This Row],[MontoBrutoProm_Mes]]/TblPresupuesto185[[#This Row],[UnidadesProm_Mes]]</f>
        <v>92.77611940298506</v>
      </c>
      <c r="K118" s="8">
        <f>+TblPresupuesto185[[#This Row],[precio]]*TblPresupuesto185[[#This Row],[Nueva Cantidad]]</f>
        <v>185.55223880597012</v>
      </c>
      <c r="L118" s="9">
        <v>62.16</v>
      </c>
      <c r="O118" t="s">
        <v>405</v>
      </c>
      <c r="P118" t="s">
        <v>406</v>
      </c>
      <c r="Q118" t="str">
        <f t="shared" si="4"/>
        <v>'930017',</v>
      </c>
      <c r="R118" t="str">
        <f t="shared" si="5"/>
        <v>'2',</v>
      </c>
      <c r="S118" t="str">
        <f t="shared" si="6"/>
        <v>'0',</v>
      </c>
      <c r="T118" t="str">
        <f t="shared" si="7"/>
        <v>'MdSoft',</v>
      </c>
      <c r="U118" t="s">
        <v>411</v>
      </c>
    </row>
    <row r="119" spans="1:21" x14ac:dyDescent="0.3">
      <c r="A119" s="7">
        <v>983041</v>
      </c>
      <c r="B119" s="7" t="s">
        <v>227</v>
      </c>
      <c r="C119" s="7" t="s">
        <v>223</v>
      </c>
      <c r="D119" s="7">
        <v>1</v>
      </c>
      <c r="E119" s="8">
        <v>0.33</v>
      </c>
      <c r="F119" s="8">
        <f>+ROUNDUP(TblPresupuesto185[[#This Row],[UnidadesProm_Mes]]*1.5,0)</f>
        <v>1</v>
      </c>
      <c r="G119" s="8">
        <v>0</v>
      </c>
      <c r="H119" s="8" t="s">
        <v>410</v>
      </c>
      <c r="I119" s="8"/>
      <c r="J119" s="8">
        <f>+TblPresupuesto185[[#This Row],[MontoBrutoProm_Mes]]/TblPresupuesto185[[#This Row],[UnidadesProm_Mes]]</f>
        <v>116.60606060606059</v>
      </c>
      <c r="K119" s="8">
        <f>+TblPresupuesto185[[#This Row],[precio]]*TblPresupuesto185[[#This Row],[Nueva Cantidad]]</f>
        <v>116.60606060606059</v>
      </c>
      <c r="L119" s="9">
        <v>38.479999999999997</v>
      </c>
      <c r="O119" t="s">
        <v>405</v>
      </c>
      <c r="P119" t="s">
        <v>406</v>
      </c>
      <c r="Q119" t="str">
        <f t="shared" si="4"/>
        <v>'983041',</v>
      </c>
      <c r="R119" t="str">
        <f t="shared" si="5"/>
        <v>'1',</v>
      </c>
      <c r="S119" t="str">
        <f t="shared" si="6"/>
        <v>'0',</v>
      </c>
      <c r="T119" t="str">
        <f t="shared" si="7"/>
        <v>'MdSoft',</v>
      </c>
      <c r="U119" t="s">
        <v>411</v>
      </c>
    </row>
    <row r="120" spans="1:21" x14ac:dyDescent="0.3">
      <c r="A120" s="7">
        <v>930046</v>
      </c>
      <c r="B120" s="7" t="s">
        <v>327</v>
      </c>
      <c r="C120" s="7" t="s">
        <v>243</v>
      </c>
      <c r="D120" s="7">
        <v>1</v>
      </c>
      <c r="E120" s="8">
        <v>0.33</v>
      </c>
      <c r="F120" s="8">
        <f>+ROUNDUP(TblPresupuesto185[[#This Row],[UnidadesProm_Mes]]*1.5,0)</f>
        <v>1</v>
      </c>
      <c r="G120" s="8">
        <v>0</v>
      </c>
      <c r="H120" s="8" t="s">
        <v>410</v>
      </c>
      <c r="I120" s="8"/>
      <c r="J120" s="8">
        <f>+TblPresupuesto185[[#This Row],[MontoBrutoProm_Mes]]/TblPresupuesto185[[#This Row],[UnidadesProm_Mes]]</f>
        <v>67.424242424242422</v>
      </c>
      <c r="K120" s="8">
        <f>+TblPresupuesto185[[#This Row],[precio]]*TblPresupuesto185[[#This Row],[Nueva Cantidad]]</f>
        <v>67.424242424242422</v>
      </c>
      <c r="L120" s="9">
        <v>22.25</v>
      </c>
      <c r="O120" t="s">
        <v>405</v>
      </c>
      <c r="P120" t="s">
        <v>406</v>
      </c>
      <c r="Q120" t="str">
        <f t="shared" si="4"/>
        <v>'930046',</v>
      </c>
      <c r="R120" t="str">
        <f t="shared" si="5"/>
        <v>'1',</v>
      </c>
      <c r="S120" t="str">
        <f t="shared" si="6"/>
        <v>'0',</v>
      </c>
      <c r="T120" t="str">
        <f t="shared" si="7"/>
        <v>'MdSoft',</v>
      </c>
      <c r="U120" t="s">
        <v>411</v>
      </c>
    </row>
    <row r="121" spans="1:21" x14ac:dyDescent="0.3">
      <c r="A121" s="7">
        <v>983055</v>
      </c>
      <c r="B121" s="7" t="s">
        <v>230</v>
      </c>
      <c r="C121" s="7" t="s">
        <v>223</v>
      </c>
      <c r="D121" s="7">
        <v>1</v>
      </c>
      <c r="E121" s="8">
        <v>0.33</v>
      </c>
      <c r="F121" s="8">
        <f>+ROUNDUP(TblPresupuesto185[[#This Row],[UnidadesProm_Mes]]*1.5,0)</f>
        <v>1</v>
      </c>
      <c r="G121" s="8">
        <v>0</v>
      </c>
      <c r="H121" s="8" t="s">
        <v>410</v>
      </c>
      <c r="I121" s="8"/>
      <c r="J121" s="8">
        <f>+TblPresupuesto185[[#This Row],[MontoBrutoProm_Mes]]/TblPresupuesto185[[#This Row],[UnidadesProm_Mes]]</f>
        <v>66.030303030303031</v>
      </c>
      <c r="K121" s="8">
        <f>+TblPresupuesto185[[#This Row],[precio]]*TblPresupuesto185[[#This Row],[Nueva Cantidad]]</f>
        <v>66.030303030303031</v>
      </c>
      <c r="L121" s="9">
        <v>21.79</v>
      </c>
      <c r="O121" t="s">
        <v>405</v>
      </c>
      <c r="P121" t="s">
        <v>406</v>
      </c>
      <c r="Q121" t="str">
        <f t="shared" si="4"/>
        <v>'983055',</v>
      </c>
      <c r="R121" t="str">
        <f t="shared" si="5"/>
        <v>'1',</v>
      </c>
      <c r="S121" t="str">
        <f t="shared" si="6"/>
        <v>'0',</v>
      </c>
      <c r="T121" t="str">
        <f t="shared" si="7"/>
        <v>'MdSoft',</v>
      </c>
      <c r="U121" t="s">
        <v>411</v>
      </c>
    </row>
    <row r="122" spans="1:21" x14ac:dyDescent="0.3">
      <c r="A122" s="7">
        <v>930188</v>
      </c>
      <c r="B122" s="7" t="s">
        <v>354</v>
      </c>
      <c r="C122" s="7" t="s">
        <v>243</v>
      </c>
      <c r="D122" s="7">
        <v>1</v>
      </c>
      <c r="E122" s="8">
        <v>0.33</v>
      </c>
      <c r="F122" s="8">
        <f>+ROUNDUP(TblPresupuesto185[[#This Row],[UnidadesProm_Mes]]*1.5,0)</f>
        <v>1</v>
      </c>
      <c r="G122" s="8">
        <v>0</v>
      </c>
      <c r="H122" s="8" t="s">
        <v>410</v>
      </c>
      <c r="I122" s="8"/>
      <c r="J122" s="8">
        <f>+TblPresupuesto185[[#This Row],[MontoBrutoProm_Mes]]/TblPresupuesto185[[#This Row],[UnidadesProm_Mes]]</f>
        <v>56.939393939393938</v>
      </c>
      <c r="K122" s="8">
        <f>+TblPresupuesto185[[#This Row],[precio]]*TblPresupuesto185[[#This Row],[Nueva Cantidad]]</f>
        <v>56.939393939393938</v>
      </c>
      <c r="L122" s="9">
        <v>18.79</v>
      </c>
      <c r="O122" t="s">
        <v>405</v>
      </c>
      <c r="P122" t="s">
        <v>406</v>
      </c>
      <c r="Q122" t="str">
        <f t="shared" si="4"/>
        <v>'930188',</v>
      </c>
      <c r="R122" t="str">
        <f t="shared" si="5"/>
        <v>'1',</v>
      </c>
      <c r="S122" t="str">
        <f t="shared" si="6"/>
        <v>'0',</v>
      </c>
      <c r="T122" t="str">
        <f t="shared" si="7"/>
        <v>'MdSoft',</v>
      </c>
      <c r="U122" t="s">
        <v>411</v>
      </c>
    </row>
    <row r="123" spans="1:21" x14ac:dyDescent="0.3">
      <c r="A123" s="7">
        <v>101130</v>
      </c>
      <c r="B123" s="7" t="s">
        <v>247</v>
      </c>
      <c r="C123" s="7" t="s">
        <v>215</v>
      </c>
      <c r="D123" s="7">
        <v>19</v>
      </c>
      <c r="E123" s="8">
        <v>453.98</v>
      </c>
      <c r="F123" s="8">
        <f>+ROUNDUP(TblPresupuesto185[[#This Row],[UnidadesProm_Mes]]*1.5,0)</f>
        <v>681</v>
      </c>
      <c r="G123" s="8">
        <v>0</v>
      </c>
      <c r="H123" s="8" t="s">
        <v>410</v>
      </c>
      <c r="I123" s="8"/>
      <c r="J123" s="8">
        <f>+TblPresupuesto185[[#This Row],[MontoBrutoProm_Mes]]/TblPresupuesto185[[#This Row],[UnidadesProm_Mes]]</f>
        <v>9.9563857438653668E-3</v>
      </c>
      <c r="K123" s="8">
        <f>+TblPresupuesto185[[#This Row],[precio]]*TblPresupuesto185[[#This Row],[Nueva Cantidad]]</f>
        <v>6.7802986915723151</v>
      </c>
      <c r="L123" s="9">
        <v>4.5199999999999996</v>
      </c>
      <c r="O123" t="s">
        <v>405</v>
      </c>
      <c r="P123" t="s">
        <v>406</v>
      </c>
      <c r="Q123" t="str">
        <f t="shared" si="4"/>
        <v>'101130',</v>
      </c>
      <c r="R123" t="str">
        <f t="shared" si="5"/>
        <v>'681',</v>
      </c>
      <c r="S123" t="str">
        <f t="shared" si="6"/>
        <v>'0',</v>
      </c>
      <c r="T123" t="str">
        <f t="shared" si="7"/>
        <v>'MdSoft',</v>
      </c>
      <c r="U123" t="s">
        <v>411</v>
      </c>
    </row>
    <row r="124" spans="1:21" x14ac:dyDescent="0.3">
      <c r="A124" s="7">
        <v>924104</v>
      </c>
      <c r="B124" s="7" t="s">
        <v>277</v>
      </c>
      <c r="C124" s="7" t="s">
        <v>215</v>
      </c>
      <c r="D124" s="7">
        <v>7</v>
      </c>
      <c r="E124" s="8">
        <v>33.33</v>
      </c>
      <c r="F124" s="8">
        <f>+ROUNDUP(TblPresupuesto185[[#This Row],[UnidadesProm_Mes]]*1.5,0)</f>
        <v>50</v>
      </c>
      <c r="G124" s="8">
        <v>0</v>
      </c>
      <c r="H124" s="8" t="s">
        <v>410</v>
      </c>
      <c r="I124" s="8"/>
      <c r="J124" s="8">
        <f>+TblPresupuesto185[[#This Row],[MontoBrutoProm_Mes]]/TblPresupuesto185[[#This Row],[UnidadesProm_Mes]]</f>
        <v>9.9009900990099011E-3</v>
      </c>
      <c r="K124" s="8">
        <f>+TblPresupuesto185[[#This Row],[precio]]*TblPresupuesto185[[#This Row],[Nueva Cantidad]]</f>
        <v>0.49504950495049505</v>
      </c>
      <c r="L124" s="9">
        <v>0.33</v>
      </c>
      <c r="O124" t="s">
        <v>405</v>
      </c>
      <c r="P124" t="s">
        <v>406</v>
      </c>
      <c r="Q124" t="str">
        <f t="shared" si="4"/>
        <v>'924104',</v>
      </c>
      <c r="R124" t="str">
        <f t="shared" si="5"/>
        <v>'50',</v>
      </c>
      <c r="S124" t="str">
        <f t="shared" si="6"/>
        <v>'0',</v>
      </c>
      <c r="T124" t="str">
        <f t="shared" si="7"/>
        <v>'MdSoft',</v>
      </c>
      <c r="U124" t="s">
        <v>411</v>
      </c>
    </row>
    <row r="125" spans="1:21" x14ac:dyDescent="0.3">
      <c r="A125" s="7">
        <v>611507</v>
      </c>
      <c r="B125" s="7" t="s">
        <v>255</v>
      </c>
      <c r="C125" s="7" t="s">
        <v>215</v>
      </c>
      <c r="D125" s="7">
        <v>5</v>
      </c>
      <c r="E125" s="8">
        <v>29.34</v>
      </c>
      <c r="F125" s="8">
        <f>+ROUNDUP(TblPresupuesto185[[#This Row],[UnidadesProm_Mes]]*1.5,0)</f>
        <v>45</v>
      </c>
      <c r="G125" s="8">
        <v>0</v>
      </c>
      <c r="H125" s="8" t="s">
        <v>410</v>
      </c>
      <c r="I125" s="8"/>
      <c r="J125" s="8">
        <f>+TblPresupuesto185[[#This Row],[MontoBrutoProm_Mes]]/TblPresupuesto185[[#This Row],[UnidadesProm_Mes]]</f>
        <v>1.0224948875255624E-2</v>
      </c>
      <c r="K125" s="8">
        <f>+TblPresupuesto185[[#This Row],[precio]]*TblPresupuesto185[[#This Row],[Nueva Cantidad]]</f>
        <v>0.46012269938650308</v>
      </c>
      <c r="L125" s="9">
        <v>0.3</v>
      </c>
      <c r="O125" t="s">
        <v>405</v>
      </c>
      <c r="P125" t="s">
        <v>406</v>
      </c>
      <c r="Q125" t="str">
        <f t="shared" si="4"/>
        <v>'611507',</v>
      </c>
      <c r="R125" t="str">
        <f t="shared" si="5"/>
        <v>'45',</v>
      </c>
      <c r="S125" t="str">
        <f t="shared" si="6"/>
        <v>'0',</v>
      </c>
      <c r="T125" t="str">
        <f t="shared" si="7"/>
        <v>'MdSoft',</v>
      </c>
      <c r="U125" t="s">
        <v>411</v>
      </c>
    </row>
    <row r="126" spans="1:21" x14ac:dyDescent="0.3">
      <c r="A126" s="7">
        <v>925059</v>
      </c>
      <c r="B126" s="7" t="s">
        <v>262</v>
      </c>
      <c r="C126" s="7" t="s">
        <v>220</v>
      </c>
      <c r="D126" s="7">
        <v>11</v>
      </c>
      <c r="E126" s="8">
        <v>14.99</v>
      </c>
      <c r="F126" s="8">
        <f>+ROUNDUP(TblPresupuesto185[[#This Row],[UnidadesProm_Mes]]*1.5,0)</f>
        <v>23</v>
      </c>
      <c r="G126" s="8">
        <v>0</v>
      </c>
      <c r="H126" s="8" t="s">
        <v>410</v>
      </c>
      <c r="I126" s="8"/>
      <c r="J126" s="8">
        <f>+TblPresupuesto185[[#This Row],[MontoBrutoProm_Mes]]/TblPresupuesto185[[#This Row],[UnidadesProm_Mes]]</f>
        <v>9.3395597064709814E-3</v>
      </c>
      <c r="K126" s="8">
        <f>+TblPresupuesto185[[#This Row],[precio]]*TblPresupuesto185[[#This Row],[Nueva Cantidad]]</f>
        <v>0.21480987324883258</v>
      </c>
      <c r="L126" s="9">
        <v>0.14000000000000001</v>
      </c>
      <c r="O126" t="s">
        <v>405</v>
      </c>
      <c r="P126" t="s">
        <v>406</v>
      </c>
      <c r="Q126" t="str">
        <f t="shared" si="4"/>
        <v>'925059',</v>
      </c>
      <c r="R126" t="str">
        <f t="shared" si="5"/>
        <v>'23',</v>
      </c>
      <c r="S126" t="str">
        <f t="shared" si="6"/>
        <v>'0',</v>
      </c>
      <c r="T126" t="str">
        <f t="shared" si="7"/>
        <v>'MdSoft',</v>
      </c>
      <c r="U126" t="s">
        <v>411</v>
      </c>
    </row>
    <row r="127" spans="1:21" x14ac:dyDescent="0.3">
      <c r="A127" s="7">
        <v>621043</v>
      </c>
      <c r="B127" s="7" t="s">
        <v>257</v>
      </c>
      <c r="C127" s="7" t="s">
        <v>239</v>
      </c>
      <c r="D127" s="7">
        <v>12</v>
      </c>
      <c r="E127" s="8">
        <v>33.32</v>
      </c>
      <c r="F127" s="8">
        <f>+ROUNDUP(TblPresupuesto185[[#This Row],[UnidadesProm_Mes]]*1.5,0)</f>
        <v>50</v>
      </c>
      <c r="G127" s="8">
        <v>0</v>
      </c>
      <c r="H127" s="8" t="s">
        <v>410</v>
      </c>
      <c r="I127" s="8"/>
      <c r="J127" s="8">
        <f>+TblPresupuesto185[[#This Row],[MontoBrutoProm_Mes]]/TblPresupuesto185[[#This Row],[UnidadesProm_Mes]]</f>
        <v>3.6014405762304922E-3</v>
      </c>
      <c r="K127" s="8">
        <f>+TblPresupuesto185[[#This Row],[precio]]*TblPresupuesto185[[#This Row],[Nueva Cantidad]]</f>
        <v>0.18007202881152462</v>
      </c>
      <c r="L127" s="9">
        <v>0.12</v>
      </c>
      <c r="O127" t="s">
        <v>405</v>
      </c>
      <c r="P127" t="s">
        <v>406</v>
      </c>
      <c r="Q127" t="str">
        <f t="shared" si="4"/>
        <v>'621043',</v>
      </c>
      <c r="R127" t="str">
        <f t="shared" si="5"/>
        <v>'50',</v>
      </c>
      <c r="S127" t="str">
        <f t="shared" si="6"/>
        <v>'0',</v>
      </c>
      <c r="T127" t="str">
        <f t="shared" si="7"/>
        <v>'MdSoft',</v>
      </c>
      <c r="U127" t="s">
        <v>411</v>
      </c>
    </row>
    <row r="128" spans="1:21" x14ac:dyDescent="0.3">
      <c r="A128" s="7">
        <v>800783</v>
      </c>
      <c r="B128" s="7" t="s">
        <v>258</v>
      </c>
      <c r="C128" s="7" t="s">
        <v>243</v>
      </c>
      <c r="D128" s="7">
        <v>4</v>
      </c>
      <c r="E128" s="8">
        <v>1.32</v>
      </c>
      <c r="F128" s="8">
        <f>+ROUNDUP(TblPresupuesto185[[#This Row],[UnidadesProm_Mes]]*1.5,0)</f>
        <v>2</v>
      </c>
      <c r="G128" s="8">
        <v>0</v>
      </c>
      <c r="H128" s="8" t="s">
        <v>410</v>
      </c>
      <c r="I128" s="8"/>
      <c r="J128" s="8">
        <f>+TblPresupuesto185[[#This Row],[MontoBrutoProm_Mes]]/TblPresupuesto185[[#This Row],[UnidadesProm_Mes]]</f>
        <v>6.0606060606060608E-2</v>
      </c>
      <c r="K128" s="8">
        <f>+TblPresupuesto185[[#This Row],[precio]]*TblPresupuesto185[[#This Row],[Nueva Cantidad]]</f>
        <v>0.12121212121212122</v>
      </c>
      <c r="L128" s="9">
        <v>0.08</v>
      </c>
      <c r="O128" t="s">
        <v>405</v>
      </c>
      <c r="P128" t="s">
        <v>406</v>
      </c>
      <c r="Q128" t="str">
        <f t="shared" si="4"/>
        <v>'800783',</v>
      </c>
      <c r="R128" t="str">
        <f t="shared" si="5"/>
        <v>'2',</v>
      </c>
      <c r="S128" t="str">
        <f t="shared" si="6"/>
        <v>'0',</v>
      </c>
      <c r="T128" t="str">
        <f t="shared" si="7"/>
        <v>'MdSoft',</v>
      </c>
      <c r="U128" t="s">
        <v>411</v>
      </c>
    </row>
    <row r="129" spans="1:21" x14ac:dyDescent="0.3">
      <c r="A129" s="7">
        <v>925105</v>
      </c>
      <c r="B129" s="7" t="s">
        <v>290</v>
      </c>
      <c r="C129" s="7" t="s">
        <v>220</v>
      </c>
      <c r="D129" s="7">
        <v>4</v>
      </c>
      <c r="E129" s="8">
        <v>4.66</v>
      </c>
      <c r="F129" s="8">
        <f>+ROUNDUP(TblPresupuesto185[[#This Row],[UnidadesProm_Mes]]*1.5,0)</f>
        <v>7</v>
      </c>
      <c r="G129" s="8">
        <v>0</v>
      </c>
      <c r="H129" s="8" t="s">
        <v>410</v>
      </c>
      <c r="I129" s="8"/>
      <c r="J129" s="8">
        <f>+TblPresupuesto185[[#This Row],[MontoBrutoProm_Mes]]/TblPresupuesto185[[#This Row],[UnidadesProm_Mes]]</f>
        <v>8.5836909871244635E-3</v>
      </c>
      <c r="K129" s="8">
        <f>+TblPresupuesto185[[#This Row],[precio]]*TblPresupuesto185[[#This Row],[Nueva Cantidad]]</f>
        <v>6.0085836909871244E-2</v>
      </c>
      <c r="L129" s="9">
        <v>0.04</v>
      </c>
      <c r="O129" t="s">
        <v>405</v>
      </c>
      <c r="P129" t="s">
        <v>406</v>
      </c>
      <c r="Q129" t="str">
        <f t="shared" si="4"/>
        <v>'925105',</v>
      </c>
      <c r="R129" t="str">
        <f t="shared" si="5"/>
        <v>'7',</v>
      </c>
      <c r="S129" t="str">
        <f t="shared" si="6"/>
        <v>'0',</v>
      </c>
      <c r="T129" t="str">
        <f t="shared" si="7"/>
        <v>'MdSoft',</v>
      </c>
      <c r="U129" t="s">
        <v>411</v>
      </c>
    </row>
    <row r="130" spans="1:21" x14ac:dyDescent="0.3">
      <c r="A130" s="7">
        <v>101100</v>
      </c>
      <c r="B130" s="7" t="s">
        <v>274</v>
      </c>
      <c r="C130" s="7" t="s">
        <v>215</v>
      </c>
      <c r="D130" s="7">
        <v>2</v>
      </c>
      <c r="E130" s="8">
        <v>2.67</v>
      </c>
      <c r="F130" s="8">
        <f>+ROUNDUP(TblPresupuesto185[[#This Row],[UnidadesProm_Mes]]*1.5,0)</f>
        <v>5</v>
      </c>
      <c r="G130" s="8">
        <v>0</v>
      </c>
      <c r="H130" s="8" t="s">
        <v>410</v>
      </c>
      <c r="I130" s="8"/>
      <c r="J130" s="8">
        <f>+TblPresupuesto185[[#This Row],[MontoBrutoProm_Mes]]/TblPresupuesto185[[#This Row],[UnidadesProm_Mes]]</f>
        <v>1.1235955056179775E-2</v>
      </c>
      <c r="K130" s="8">
        <f>+TblPresupuesto185[[#This Row],[precio]]*TblPresupuesto185[[#This Row],[Nueva Cantidad]]</f>
        <v>5.6179775280898875E-2</v>
      </c>
      <c r="L130" s="9">
        <v>0.03</v>
      </c>
      <c r="O130" t="s">
        <v>405</v>
      </c>
      <c r="P130" t="s">
        <v>406</v>
      </c>
      <c r="Q130" t="str">
        <f t="shared" si="4"/>
        <v>'101100',</v>
      </c>
      <c r="R130" t="str">
        <f t="shared" si="5"/>
        <v>'5',</v>
      </c>
      <c r="S130" t="str">
        <f t="shared" si="6"/>
        <v>'0',</v>
      </c>
      <c r="T130" t="str">
        <f t="shared" si="7"/>
        <v>'MdSoft',</v>
      </c>
      <c r="U130" t="s">
        <v>411</v>
      </c>
    </row>
    <row r="131" spans="1:21" x14ac:dyDescent="0.3">
      <c r="A131" s="7">
        <v>925062</v>
      </c>
      <c r="B131" s="7" t="s">
        <v>345</v>
      </c>
      <c r="C131" s="7" t="s">
        <v>220</v>
      </c>
      <c r="D131" s="7">
        <v>2</v>
      </c>
      <c r="E131" s="8">
        <v>1.66</v>
      </c>
      <c r="F131" s="8">
        <f>+ROUNDUP(TblPresupuesto185[[#This Row],[UnidadesProm_Mes]]*1.5,0)</f>
        <v>3</v>
      </c>
      <c r="G131" s="8">
        <v>0</v>
      </c>
      <c r="H131" s="8" t="s">
        <v>410</v>
      </c>
      <c r="I131" s="8"/>
      <c r="J131" s="8">
        <f>+TblPresupuesto185[[#This Row],[MontoBrutoProm_Mes]]/TblPresupuesto185[[#This Row],[UnidadesProm_Mes]]</f>
        <v>6.024096385542169E-3</v>
      </c>
      <c r="K131" s="8">
        <f>+TblPresupuesto185[[#This Row],[precio]]*TblPresupuesto185[[#This Row],[Nueva Cantidad]]</f>
        <v>1.8072289156626509E-2</v>
      </c>
      <c r="L131" s="9">
        <v>0.01</v>
      </c>
      <c r="O131" t="s">
        <v>405</v>
      </c>
      <c r="P131" t="s">
        <v>406</v>
      </c>
      <c r="Q131" t="str">
        <f t="shared" ref="Q131:Q138" si="8">+CONCATENATE("'",A131,"'",",")</f>
        <v>'925062',</v>
      </c>
      <c r="R131" t="str">
        <f t="shared" ref="R131:R138" si="9">+CONCATENATE("'",F131,"'",",")</f>
        <v>'3',</v>
      </c>
      <c r="S131" t="str">
        <f t="shared" ref="S131:S138" si="10">+CONCATENATE("'",G131,"'",",")</f>
        <v>'0',</v>
      </c>
      <c r="T131" t="str">
        <f t="shared" ref="T131:T138" si="11">+CONCATENATE("'",H131,"'",",")</f>
        <v>'MdSoft',</v>
      </c>
      <c r="U131" t="s">
        <v>411</v>
      </c>
    </row>
    <row r="132" spans="1:21" x14ac:dyDescent="0.3">
      <c r="A132" s="7">
        <v>910010</v>
      </c>
      <c r="B132" s="7" t="s">
        <v>373</v>
      </c>
      <c r="C132" s="7" t="s">
        <v>215</v>
      </c>
      <c r="D132" s="7">
        <v>1</v>
      </c>
      <c r="E132" s="8">
        <v>0.67</v>
      </c>
      <c r="F132" s="8">
        <f>+ROUNDUP(TblPresupuesto185[[#This Row],[UnidadesProm_Mes]]*1.5,0)</f>
        <v>2</v>
      </c>
      <c r="G132" s="8">
        <v>0</v>
      </c>
      <c r="H132" s="8" t="s">
        <v>410</v>
      </c>
      <c r="I132" s="8"/>
      <c r="J132" s="8">
        <f>+TblPresupuesto185[[#This Row],[MontoBrutoProm_Mes]]/TblPresupuesto185[[#This Row],[UnidadesProm_Mes]]</f>
        <v>1.4925373134328358E-2</v>
      </c>
      <c r="K132" s="8">
        <f>+TblPresupuesto185[[#This Row],[precio]]*TblPresupuesto185[[#This Row],[Nueva Cantidad]]</f>
        <v>2.9850746268656716E-2</v>
      </c>
      <c r="L132" s="9">
        <v>0.01</v>
      </c>
      <c r="O132" t="s">
        <v>405</v>
      </c>
      <c r="P132" t="s">
        <v>406</v>
      </c>
      <c r="Q132" t="str">
        <f t="shared" si="8"/>
        <v>'910010',</v>
      </c>
      <c r="R132" t="str">
        <f t="shared" si="9"/>
        <v>'2',</v>
      </c>
      <c r="S132" t="str">
        <f t="shared" si="10"/>
        <v>'0',</v>
      </c>
      <c r="T132" t="str">
        <f t="shared" si="11"/>
        <v>'MdSoft',</v>
      </c>
      <c r="U132" t="s">
        <v>411</v>
      </c>
    </row>
    <row r="133" spans="1:21" x14ac:dyDescent="0.3">
      <c r="A133" s="7">
        <v>930183</v>
      </c>
      <c r="B133" s="7" t="s">
        <v>381</v>
      </c>
      <c r="C133" s="7" t="s">
        <v>243</v>
      </c>
      <c r="D133" s="7">
        <v>1</v>
      </c>
      <c r="E133" s="8">
        <v>0.33</v>
      </c>
      <c r="F133" s="8">
        <f>+ROUNDUP(TblPresupuesto185[[#This Row],[UnidadesProm_Mes]]*1.5,0)</f>
        <v>1</v>
      </c>
      <c r="G133" s="8">
        <v>0</v>
      </c>
      <c r="H133" s="8" t="s">
        <v>410</v>
      </c>
      <c r="I133" s="8"/>
      <c r="J133" s="8">
        <f>+TblPresupuesto185[[#This Row],[MontoBrutoProm_Mes]]/TblPresupuesto185[[#This Row],[UnidadesProm_Mes]]</f>
        <v>0</v>
      </c>
      <c r="K133" s="8">
        <f>+TblPresupuesto185[[#This Row],[precio]]*TblPresupuesto185[[#This Row],[Nueva Cantidad]]</f>
        <v>0</v>
      </c>
      <c r="L133" s="9">
        <v>0</v>
      </c>
      <c r="O133" t="s">
        <v>405</v>
      </c>
      <c r="P133" t="s">
        <v>406</v>
      </c>
      <c r="Q133" t="str">
        <f t="shared" si="8"/>
        <v>'930183',</v>
      </c>
      <c r="R133" t="str">
        <f t="shared" si="9"/>
        <v>'1',</v>
      </c>
      <c r="S133" t="str">
        <f t="shared" si="10"/>
        <v>'0',</v>
      </c>
      <c r="T133" t="str">
        <f t="shared" si="11"/>
        <v>'MdSoft',</v>
      </c>
      <c r="U133" t="s">
        <v>411</v>
      </c>
    </row>
    <row r="134" spans="1:21" x14ac:dyDescent="0.3">
      <c r="A134" s="7">
        <v>930135</v>
      </c>
      <c r="B134" s="7" t="s">
        <v>380</v>
      </c>
      <c r="C134" s="7" t="s">
        <v>243</v>
      </c>
      <c r="D134" s="7">
        <v>1</v>
      </c>
      <c r="E134" s="8">
        <v>0.33</v>
      </c>
      <c r="F134" s="8">
        <f>+ROUNDUP(TblPresupuesto185[[#This Row],[UnidadesProm_Mes]]*1.5,0)</f>
        <v>1</v>
      </c>
      <c r="G134" s="8">
        <v>0</v>
      </c>
      <c r="H134" s="8" t="s">
        <v>410</v>
      </c>
      <c r="I134" s="8"/>
      <c r="J134" s="8">
        <f>+TblPresupuesto185[[#This Row],[MontoBrutoProm_Mes]]/TblPresupuesto185[[#This Row],[UnidadesProm_Mes]]</f>
        <v>0</v>
      </c>
      <c r="K134" s="8">
        <f>+TblPresupuesto185[[#This Row],[precio]]*TblPresupuesto185[[#This Row],[Nueva Cantidad]]</f>
        <v>0</v>
      </c>
      <c r="L134" s="9">
        <v>0</v>
      </c>
      <c r="O134" t="s">
        <v>405</v>
      </c>
      <c r="P134" t="s">
        <v>406</v>
      </c>
      <c r="Q134" t="str">
        <f t="shared" si="8"/>
        <v>'930135',</v>
      </c>
      <c r="R134" t="str">
        <f t="shared" si="9"/>
        <v>'1',</v>
      </c>
      <c r="S134" t="str">
        <f t="shared" si="10"/>
        <v>'0',</v>
      </c>
      <c r="T134" t="str">
        <f t="shared" si="11"/>
        <v>'MdSoft',</v>
      </c>
      <c r="U134" t="s">
        <v>411</v>
      </c>
    </row>
    <row r="135" spans="1:21" x14ac:dyDescent="0.3">
      <c r="A135" s="7">
        <v>800952</v>
      </c>
      <c r="B135" s="7" t="s">
        <v>351</v>
      </c>
      <c r="C135" s="7" t="s">
        <v>350</v>
      </c>
      <c r="D135" s="7">
        <v>1</v>
      </c>
      <c r="E135" s="8">
        <v>0.33</v>
      </c>
      <c r="F135" s="8">
        <f>+ROUNDUP(TblPresupuesto185[[#This Row],[UnidadesProm_Mes]]*1.5,0)</f>
        <v>1</v>
      </c>
      <c r="G135" s="8">
        <v>0</v>
      </c>
      <c r="H135" s="8" t="s">
        <v>410</v>
      </c>
      <c r="I135" s="8"/>
      <c r="J135" s="8">
        <f>+TblPresupuesto185[[#This Row],[MontoBrutoProm_Mes]]/TblPresupuesto185[[#This Row],[UnidadesProm_Mes]]</f>
        <v>0</v>
      </c>
      <c r="K135" s="8">
        <f>+TblPresupuesto185[[#This Row],[precio]]*TblPresupuesto185[[#This Row],[Nueva Cantidad]]</f>
        <v>0</v>
      </c>
      <c r="L135" s="9">
        <v>0</v>
      </c>
      <c r="O135" t="s">
        <v>405</v>
      </c>
      <c r="P135" t="s">
        <v>406</v>
      </c>
      <c r="Q135" t="str">
        <f t="shared" si="8"/>
        <v>'800952',</v>
      </c>
      <c r="R135" t="str">
        <f t="shared" si="9"/>
        <v>'1',</v>
      </c>
      <c r="S135" t="str">
        <f t="shared" si="10"/>
        <v>'0',</v>
      </c>
      <c r="T135" t="str">
        <f t="shared" si="11"/>
        <v>'MdSoft',</v>
      </c>
      <c r="U135" t="s">
        <v>411</v>
      </c>
    </row>
    <row r="136" spans="1:21" x14ac:dyDescent="0.3">
      <c r="A136" s="7">
        <v>930193</v>
      </c>
      <c r="B136" s="7" t="s">
        <v>268</v>
      </c>
      <c r="C136" s="7" t="s">
        <v>243</v>
      </c>
      <c r="D136" s="7">
        <v>4</v>
      </c>
      <c r="E136" s="8">
        <v>1.66</v>
      </c>
      <c r="F136" s="8">
        <f>+ROUNDUP(TblPresupuesto185[[#This Row],[UnidadesProm_Mes]]*1.5,0)</f>
        <v>3</v>
      </c>
      <c r="G136" s="8">
        <v>0</v>
      </c>
      <c r="H136" s="8" t="s">
        <v>410</v>
      </c>
      <c r="I136" s="8"/>
      <c r="J136" s="8">
        <f>+TblPresupuesto185[[#This Row],[MontoBrutoProm_Mes]]/TblPresupuesto185[[#This Row],[UnidadesProm_Mes]]</f>
        <v>0</v>
      </c>
      <c r="K136" s="8">
        <f>+TblPresupuesto185[[#This Row],[precio]]*TblPresupuesto185[[#This Row],[Nueva Cantidad]]</f>
        <v>0</v>
      </c>
      <c r="L136" s="9">
        <v>0</v>
      </c>
      <c r="O136" t="s">
        <v>405</v>
      </c>
      <c r="P136" t="s">
        <v>406</v>
      </c>
      <c r="Q136" t="str">
        <f t="shared" si="8"/>
        <v>'930193',</v>
      </c>
      <c r="R136" t="str">
        <f t="shared" si="9"/>
        <v>'3',</v>
      </c>
      <c r="S136" t="str">
        <f t="shared" si="10"/>
        <v>'0',</v>
      </c>
      <c r="T136" t="str">
        <f t="shared" si="11"/>
        <v>'MdSoft',</v>
      </c>
      <c r="U136" t="s">
        <v>411</v>
      </c>
    </row>
    <row r="137" spans="1:21" x14ac:dyDescent="0.3">
      <c r="A137" s="7">
        <v>101141</v>
      </c>
      <c r="B137" s="7" t="s">
        <v>370</v>
      </c>
      <c r="C137" s="7" t="s">
        <v>215</v>
      </c>
      <c r="D137" s="7">
        <v>1</v>
      </c>
      <c r="E137" s="8">
        <v>0.67</v>
      </c>
      <c r="F137" s="8">
        <f>+ROUNDUP(TblPresupuesto185[[#This Row],[UnidadesProm_Mes]]*1.5,0)</f>
        <v>2</v>
      </c>
      <c r="G137" s="8">
        <v>0</v>
      </c>
      <c r="H137" s="8" t="s">
        <v>410</v>
      </c>
      <c r="I137" s="8"/>
      <c r="J137" s="8">
        <f>+TblPresupuesto185[[#This Row],[MontoBrutoProm_Mes]]/TblPresupuesto185[[#This Row],[UnidadesProm_Mes]]</f>
        <v>0</v>
      </c>
      <c r="K137" s="8">
        <f>+TblPresupuesto185[[#This Row],[precio]]*TblPresupuesto185[[#This Row],[Nueva Cantidad]]</f>
        <v>0</v>
      </c>
      <c r="L137" s="9">
        <v>0</v>
      </c>
      <c r="O137" t="s">
        <v>405</v>
      </c>
      <c r="P137" t="s">
        <v>406</v>
      </c>
      <c r="Q137" t="str">
        <f t="shared" si="8"/>
        <v>'101141',</v>
      </c>
      <c r="R137" t="str">
        <f t="shared" si="9"/>
        <v>'2',</v>
      </c>
      <c r="S137" t="str">
        <f t="shared" si="10"/>
        <v>'0',</v>
      </c>
      <c r="T137" t="str">
        <f t="shared" si="11"/>
        <v>'MdSoft',</v>
      </c>
      <c r="U137" t="s">
        <v>411</v>
      </c>
    </row>
    <row r="138" spans="1:21" x14ac:dyDescent="0.3">
      <c r="A138" s="7">
        <v>101136</v>
      </c>
      <c r="B138" s="7" t="s">
        <v>308</v>
      </c>
      <c r="C138" s="7" t="s">
        <v>215</v>
      </c>
      <c r="D138" s="7">
        <v>1</v>
      </c>
      <c r="E138" s="8">
        <v>0.33</v>
      </c>
      <c r="F138" s="8">
        <f>+ROUNDUP(TblPresupuesto185[[#This Row],[UnidadesProm_Mes]]*1.5,0)</f>
        <v>1</v>
      </c>
      <c r="G138" s="8">
        <v>0</v>
      </c>
      <c r="H138" s="8" t="s">
        <v>410</v>
      </c>
      <c r="I138" s="8"/>
      <c r="J138" s="8">
        <f>+TblPresupuesto185[[#This Row],[MontoBrutoProm_Mes]]/TblPresupuesto185[[#This Row],[UnidadesProm_Mes]]</f>
        <v>0</v>
      </c>
      <c r="K138" s="8">
        <f>+TblPresupuesto185[[#This Row],[precio]]*TblPresupuesto185[[#This Row],[Nueva Cantidad]]</f>
        <v>0</v>
      </c>
      <c r="L138" s="9">
        <v>0</v>
      </c>
      <c r="O138" t="s">
        <v>405</v>
      </c>
      <c r="P138" t="s">
        <v>406</v>
      </c>
      <c r="Q138" t="str">
        <f t="shared" si="8"/>
        <v>'101136',</v>
      </c>
      <c r="R138" t="str">
        <f t="shared" si="9"/>
        <v>'1',</v>
      </c>
      <c r="S138" t="str">
        <f t="shared" si="10"/>
        <v>'0',</v>
      </c>
      <c r="T138" t="str">
        <f t="shared" si="11"/>
        <v>'MdSoft',</v>
      </c>
      <c r="U138" t="s">
        <v>411</v>
      </c>
    </row>
  </sheetData>
  <phoneticPr fontId="9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38"/>
  <sheetViews>
    <sheetView workbookViewId="0">
      <pane ySplit="1" topLeftCell="A2" activePane="bottomLeft" state="frozen"/>
      <selection pane="bottomLeft" activeCell="A9" sqref="A9"/>
    </sheetView>
  </sheetViews>
  <sheetFormatPr baseColWidth="10" defaultColWidth="8.88671875" defaultRowHeight="14.4" x14ac:dyDescent="0.3"/>
  <cols>
    <col min="1" max="1" width="11" customWidth="1"/>
    <col min="2" max="2" width="31" customWidth="1"/>
    <col min="3" max="3" width="10" customWidth="1"/>
    <col min="4" max="4" width="55" customWidth="1"/>
    <col min="5" max="5" width="27" customWidth="1"/>
    <col min="6" max="6" width="18" customWidth="1"/>
    <col min="7" max="7" width="27" customWidth="1"/>
    <col min="8" max="8" width="24" customWidth="1"/>
    <col min="9" max="9" width="18" customWidth="1"/>
    <col min="10" max="10" width="17" customWidth="1"/>
  </cols>
  <sheetData>
    <row r="1" spans="1:10" ht="28.05" customHeight="1" x14ac:dyDescent="0.3">
      <c r="A1" s="6" t="s">
        <v>206</v>
      </c>
      <c r="B1" s="6" t="s">
        <v>207</v>
      </c>
      <c r="C1" s="6" t="s">
        <v>208</v>
      </c>
      <c r="D1" s="6" t="s">
        <v>209</v>
      </c>
      <c r="E1" s="6" t="s">
        <v>210</v>
      </c>
      <c r="F1" s="6" t="s">
        <v>211</v>
      </c>
      <c r="G1" s="6" t="s">
        <v>398</v>
      </c>
      <c r="H1" s="6" t="s">
        <v>399</v>
      </c>
      <c r="I1" s="6" t="s">
        <v>400</v>
      </c>
      <c r="J1" s="6" t="s">
        <v>401</v>
      </c>
    </row>
    <row r="2" spans="1:10" x14ac:dyDescent="0.3">
      <c r="A2" s="7">
        <v>3</v>
      </c>
      <c r="B2" s="7" t="s">
        <v>213</v>
      </c>
      <c r="C2" s="7">
        <v>101028</v>
      </c>
      <c r="D2" s="7" t="s">
        <v>214</v>
      </c>
      <c r="E2" s="7" t="s">
        <v>215</v>
      </c>
      <c r="F2" s="8">
        <v>6</v>
      </c>
      <c r="G2" s="8">
        <v>0</v>
      </c>
      <c r="H2" s="7" t="s">
        <v>75</v>
      </c>
      <c r="I2" s="8">
        <f t="shared" ref="I2:I65" si="0">MAX(0,G2-F2)</f>
        <v>0</v>
      </c>
      <c r="J2" s="7" t="str">
        <f t="shared" ref="J2:J65" si="1">IF(H2="No","Sin fila previa",IF(G2&lt;F2,"Queda en 0","OK"))</f>
        <v>Sin fila previa</v>
      </c>
    </row>
    <row r="3" spans="1:10" x14ac:dyDescent="0.3">
      <c r="A3" s="7">
        <v>3</v>
      </c>
      <c r="B3" s="7" t="s">
        <v>213</v>
      </c>
      <c r="C3" s="7">
        <v>201001</v>
      </c>
      <c r="D3" s="7" t="s">
        <v>216</v>
      </c>
      <c r="E3" s="7" t="s">
        <v>217</v>
      </c>
      <c r="F3" s="8">
        <v>0.67</v>
      </c>
      <c r="G3" s="8">
        <v>0</v>
      </c>
      <c r="H3" s="7" t="s">
        <v>75</v>
      </c>
      <c r="I3" s="8">
        <f t="shared" si="0"/>
        <v>0</v>
      </c>
      <c r="J3" s="7" t="str">
        <f t="shared" si="1"/>
        <v>Sin fila previa</v>
      </c>
    </row>
    <row r="4" spans="1:10" x14ac:dyDescent="0.3">
      <c r="A4" s="7">
        <v>6</v>
      </c>
      <c r="B4" s="7" t="s">
        <v>218</v>
      </c>
      <c r="C4" s="7">
        <v>220004</v>
      </c>
      <c r="D4" s="7" t="s">
        <v>219</v>
      </c>
      <c r="E4" s="7" t="s">
        <v>220</v>
      </c>
      <c r="F4" s="8">
        <v>0.33</v>
      </c>
      <c r="G4" s="8">
        <v>0.46</v>
      </c>
      <c r="H4" s="7" t="s">
        <v>26</v>
      </c>
      <c r="I4" s="8">
        <f t="shared" si="0"/>
        <v>0.13</v>
      </c>
      <c r="J4" s="7" t="str">
        <f t="shared" si="1"/>
        <v>OK</v>
      </c>
    </row>
    <row r="5" spans="1:10" x14ac:dyDescent="0.3">
      <c r="A5" s="7">
        <v>6</v>
      </c>
      <c r="B5" s="7" t="s">
        <v>218</v>
      </c>
      <c r="C5" s="7">
        <v>925078</v>
      </c>
      <c r="D5" s="7" t="s">
        <v>221</v>
      </c>
      <c r="E5" s="7" t="s">
        <v>220</v>
      </c>
      <c r="F5" s="8">
        <v>2</v>
      </c>
      <c r="G5" s="8">
        <v>72.209999999999994</v>
      </c>
      <c r="H5" s="7" t="s">
        <v>26</v>
      </c>
      <c r="I5" s="8">
        <f t="shared" si="0"/>
        <v>70.209999999999994</v>
      </c>
      <c r="J5" s="7" t="str">
        <f t="shared" si="1"/>
        <v>OK</v>
      </c>
    </row>
    <row r="6" spans="1:10" x14ac:dyDescent="0.3">
      <c r="A6" s="7">
        <v>6</v>
      </c>
      <c r="B6" s="7" t="s">
        <v>218</v>
      </c>
      <c r="C6" s="7">
        <v>983000</v>
      </c>
      <c r="D6" s="7" t="s">
        <v>222</v>
      </c>
      <c r="E6" s="7" t="s">
        <v>223</v>
      </c>
      <c r="F6" s="8">
        <v>0.33</v>
      </c>
      <c r="G6" s="8">
        <v>1.18</v>
      </c>
      <c r="H6" s="7" t="s">
        <v>26</v>
      </c>
      <c r="I6" s="8">
        <f t="shared" si="0"/>
        <v>0.84999999999999987</v>
      </c>
      <c r="J6" s="7" t="str">
        <f t="shared" si="1"/>
        <v>OK</v>
      </c>
    </row>
    <row r="7" spans="1:10" x14ac:dyDescent="0.3">
      <c r="A7" s="7">
        <v>6</v>
      </c>
      <c r="B7" s="7" t="s">
        <v>218</v>
      </c>
      <c r="C7" s="7">
        <v>983014</v>
      </c>
      <c r="D7" s="7" t="s">
        <v>224</v>
      </c>
      <c r="E7" s="7" t="s">
        <v>223</v>
      </c>
      <c r="F7" s="8">
        <v>0.67</v>
      </c>
      <c r="G7" s="8">
        <v>314.57</v>
      </c>
      <c r="H7" s="7" t="s">
        <v>26</v>
      </c>
      <c r="I7" s="8">
        <f t="shared" si="0"/>
        <v>313.89999999999998</v>
      </c>
      <c r="J7" s="7" t="str">
        <f t="shared" si="1"/>
        <v>OK</v>
      </c>
    </row>
    <row r="8" spans="1:10" x14ac:dyDescent="0.3">
      <c r="A8" s="7">
        <v>6</v>
      </c>
      <c r="B8" s="7" t="s">
        <v>218</v>
      </c>
      <c r="C8" s="7">
        <v>983028</v>
      </c>
      <c r="D8" s="7" t="s">
        <v>225</v>
      </c>
      <c r="E8" s="7" t="s">
        <v>223</v>
      </c>
      <c r="F8" s="8">
        <v>6</v>
      </c>
      <c r="G8" s="8">
        <v>1372.45</v>
      </c>
      <c r="H8" s="7" t="s">
        <v>26</v>
      </c>
      <c r="I8" s="8">
        <f t="shared" si="0"/>
        <v>1366.45</v>
      </c>
      <c r="J8" s="7" t="str">
        <f t="shared" si="1"/>
        <v>OK</v>
      </c>
    </row>
    <row r="9" spans="1:10" x14ac:dyDescent="0.3">
      <c r="A9" s="7">
        <v>6</v>
      </c>
      <c r="B9" s="7" t="s">
        <v>218</v>
      </c>
      <c r="C9" s="7">
        <v>983031</v>
      </c>
      <c r="D9" s="7" t="s">
        <v>226</v>
      </c>
      <c r="E9" s="7" t="s">
        <v>223</v>
      </c>
      <c r="F9" s="8">
        <v>0.33</v>
      </c>
      <c r="G9" s="8">
        <v>34.159999999999997</v>
      </c>
      <c r="H9" s="7" t="s">
        <v>26</v>
      </c>
      <c r="I9" s="8">
        <f t="shared" si="0"/>
        <v>33.83</v>
      </c>
      <c r="J9" s="7" t="str">
        <f t="shared" si="1"/>
        <v>OK</v>
      </c>
    </row>
    <row r="10" spans="1:10" x14ac:dyDescent="0.3">
      <c r="A10" s="7">
        <v>6</v>
      </c>
      <c r="B10" s="7" t="s">
        <v>218</v>
      </c>
      <c r="C10" s="7">
        <v>983041</v>
      </c>
      <c r="D10" s="7" t="s">
        <v>227</v>
      </c>
      <c r="E10" s="7" t="s">
        <v>223</v>
      </c>
      <c r="F10" s="8">
        <v>0.33</v>
      </c>
      <c r="G10" s="8">
        <v>35</v>
      </c>
      <c r="H10" s="7" t="s">
        <v>26</v>
      </c>
      <c r="I10" s="8">
        <f t="shared" si="0"/>
        <v>34.67</v>
      </c>
      <c r="J10" s="7" t="str">
        <f t="shared" si="1"/>
        <v>OK</v>
      </c>
    </row>
    <row r="11" spans="1:10" x14ac:dyDescent="0.3">
      <c r="A11" s="7">
        <v>6</v>
      </c>
      <c r="B11" s="7" t="s">
        <v>218</v>
      </c>
      <c r="C11" s="7">
        <v>983043</v>
      </c>
      <c r="D11" s="7" t="s">
        <v>228</v>
      </c>
      <c r="E11" s="7" t="s">
        <v>223</v>
      </c>
      <c r="F11" s="8">
        <v>2</v>
      </c>
      <c r="G11" s="8">
        <v>2243.77</v>
      </c>
      <c r="H11" s="7" t="s">
        <v>26</v>
      </c>
      <c r="I11" s="8">
        <f t="shared" si="0"/>
        <v>2241.77</v>
      </c>
      <c r="J11" s="7" t="str">
        <f t="shared" si="1"/>
        <v>OK</v>
      </c>
    </row>
    <row r="12" spans="1:10" x14ac:dyDescent="0.3">
      <c r="A12" s="7">
        <v>6</v>
      </c>
      <c r="B12" s="7" t="s">
        <v>218</v>
      </c>
      <c r="C12" s="7">
        <v>983045</v>
      </c>
      <c r="D12" s="7" t="s">
        <v>229</v>
      </c>
      <c r="E12" s="7" t="s">
        <v>223</v>
      </c>
      <c r="F12" s="8">
        <v>1.67</v>
      </c>
      <c r="G12" s="8">
        <v>398.84</v>
      </c>
      <c r="H12" s="7" t="s">
        <v>26</v>
      </c>
      <c r="I12" s="8">
        <f t="shared" si="0"/>
        <v>397.16999999999996</v>
      </c>
      <c r="J12" s="7" t="str">
        <f t="shared" si="1"/>
        <v>OK</v>
      </c>
    </row>
    <row r="13" spans="1:10" x14ac:dyDescent="0.3">
      <c r="A13" s="7">
        <v>6</v>
      </c>
      <c r="B13" s="7" t="s">
        <v>218</v>
      </c>
      <c r="C13" s="7">
        <v>983055</v>
      </c>
      <c r="D13" s="7" t="s">
        <v>230</v>
      </c>
      <c r="E13" s="7" t="s">
        <v>223</v>
      </c>
      <c r="F13" s="8">
        <v>0.33</v>
      </c>
      <c r="G13" s="8">
        <v>245.01</v>
      </c>
      <c r="H13" s="7" t="s">
        <v>26</v>
      </c>
      <c r="I13" s="8">
        <f t="shared" si="0"/>
        <v>244.67999999999998</v>
      </c>
      <c r="J13" s="7" t="str">
        <f t="shared" si="1"/>
        <v>OK</v>
      </c>
    </row>
    <row r="14" spans="1:10" x14ac:dyDescent="0.3">
      <c r="A14" s="7">
        <v>7</v>
      </c>
      <c r="B14" s="7" t="s">
        <v>231</v>
      </c>
      <c r="C14" s="7">
        <v>101005</v>
      </c>
      <c r="D14" s="7" t="s">
        <v>232</v>
      </c>
      <c r="E14" s="7" t="s">
        <v>215</v>
      </c>
      <c r="F14" s="8">
        <v>30</v>
      </c>
      <c r="G14" s="8">
        <v>63.44</v>
      </c>
      <c r="H14" s="7" t="s">
        <v>26</v>
      </c>
      <c r="I14" s="8">
        <f t="shared" si="0"/>
        <v>33.44</v>
      </c>
      <c r="J14" s="7" t="str">
        <f t="shared" si="1"/>
        <v>OK</v>
      </c>
    </row>
    <row r="15" spans="1:10" x14ac:dyDescent="0.3">
      <c r="A15" s="7">
        <v>7</v>
      </c>
      <c r="B15" s="7" t="s">
        <v>231</v>
      </c>
      <c r="C15" s="7">
        <v>101026</v>
      </c>
      <c r="D15" s="7" t="s">
        <v>233</v>
      </c>
      <c r="E15" s="7" t="s">
        <v>215</v>
      </c>
      <c r="F15" s="8">
        <v>16</v>
      </c>
      <c r="G15" s="8">
        <v>68.8</v>
      </c>
      <c r="H15" s="7" t="s">
        <v>26</v>
      </c>
      <c r="I15" s="8">
        <f t="shared" si="0"/>
        <v>52.8</v>
      </c>
      <c r="J15" s="7" t="str">
        <f t="shared" si="1"/>
        <v>OK</v>
      </c>
    </row>
    <row r="16" spans="1:10" x14ac:dyDescent="0.3">
      <c r="A16" s="7">
        <v>7</v>
      </c>
      <c r="B16" s="7" t="s">
        <v>231</v>
      </c>
      <c r="C16" s="7">
        <v>101027</v>
      </c>
      <c r="D16" s="7" t="s">
        <v>234</v>
      </c>
      <c r="E16" s="7" t="s">
        <v>215</v>
      </c>
      <c r="F16" s="8">
        <v>16</v>
      </c>
      <c r="G16" s="8">
        <v>41.82</v>
      </c>
      <c r="H16" s="7" t="s">
        <v>26</v>
      </c>
      <c r="I16" s="8">
        <f t="shared" si="0"/>
        <v>25.82</v>
      </c>
      <c r="J16" s="7" t="str">
        <f t="shared" si="1"/>
        <v>OK</v>
      </c>
    </row>
    <row r="17" spans="1:10" x14ac:dyDescent="0.3">
      <c r="A17" s="7">
        <v>7</v>
      </c>
      <c r="B17" s="7" t="s">
        <v>231</v>
      </c>
      <c r="C17" s="7">
        <v>101028</v>
      </c>
      <c r="D17" s="7" t="s">
        <v>214</v>
      </c>
      <c r="E17" s="7" t="s">
        <v>215</v>
      </c>
      <c r="F17" s="8">
        <v>18</v>
      </c>
      <c r="G17" s="8">
        <v>90.85</v>
      </c>
      <c r="H17" s="7" t="s">
        <v>26</v>
      </c>
      <c r="I17" s="8">
        <f t="shared" si="0"/>
        <v>72.849999999999994</v>
      </c>
      <c r="J17" s="7" t="str">
        <f t="shared" si="1"/>
        <v>OK</v>
      </c>
    </row>
    <row r="18" spans="1:10" x14ac:dyDescent="0.3">
      <c r="A18" s="7">
        <v>7</v>
      </c>
      <c r="B18" s="7" t="s">
        <v>231</v>
      </c>
      <c r="C18" s="7">
        <v>101038</v>
      </c>
      <c r="D18" s="7" t="s">
        <v>235</v>
      </c>
      <c r="E18" s="7" t="s">
        <v>215</v>
      </c>
      <c r="F18" s="8">
        <v>3.33</v>
      </c>
      <c r="G18" s="8">
        <v>448.44</v>
      </c>
      <c r="H18" s="7" t="s">
        <v>26</v>
      </c>
      <c r="I18" s="8">
        <f t="shared" si="0"/>
        <v>445.11</v>
      </c>
      <c r="J18" s="7" t="str">
        <f t="shared" si="1"/>
        <v>OK</v>
      </c>
    </row>
    <row r="19" spans="1:10" x14ac:dyDescent="0.3">
      <c r="A19" s="7">
        <v>7</v>
      </c>
      <c r="B19" s="7" t="s">
        <v>231</v>
      </c>
      <c r="C19" s="7">
        <v>103208</v>
      </c>
      <c r="D19" s="7" t="s">
        <v>236</v>
      </c>
      <c r="E19" s="7" t="s">
        <v>215</v>
      </c>
      <c r="F19" s="8">
        <v>8</v>
      </c>
      <c r="G19" s="8">
        <v>4.43</v>
      </c>
      <c r="H19" s="7" t="s">
        <v>26</v>
      </c>
      <c r="I19" s="8">
        <f t="shared" si="0"/>
        <v>0</v>
      </c>
      <c r="J19" s="7" t="str">
        <f t="shared" si="1"/>
        <v>Queda en 0</v>
      </c>
    </row>
    <row r="20" spans="1:10" x14ac:dyDescent="0.3">
      <c r="A20" s="7">
        <v>7</v>
      </c>
      <c r="B20" s="7" t="s">
        <v>231</v>
      </c>
      <c r="C20" s="7">
        <v>201001</v>
      </c>
      <c r="D20" s="7" t="s">
        <v>216</v>
      </c>
      <c r="E20" s="7" t="s">
        <v>217</v>
      </c>
      <c r="F20" s="8">
        <v>10</v>
      </c>
      <c r="G20" s="8">
        <v>557.29</v>
      </c>
      <c r="H20" s="7" t="s">
        <v>26</v>
      </c>
      <c r="I20" s="8">
        <f t="shared" si="0"/>
        <v>547.29</v>
      </c>
      <c r="J20" s="7" t="str">
        <f t="shared" si="1"/>
        <v>OK</v>
      </c>
    </row>
    <row r="21" spans="1:10" x14ac:dyDescent="0.3">
      <c r="A21" s="7">
        <v>7</v>
      </c>
      <c r="B21" s="7" t="s">
        <v>231</v>
      </c>
      <c r="C21" s="7">
        <v>501000</v>
      </c>
      <c r="D21" s="7" t="s">
        <v>237</v>
      </c>
      <c r="E21" s="7" t="s">
        <v>217</v>
      </c>
      <c r="F21" s="8">
        <v>2.67</v>
      </c>
      <c r="G21" s="8">
        <v>501.87</v>
      </c>
      <c r="H21" s="7" t="s">
        <v>26</v>
      </c>
      <c r="I21" s="8">
        <f t="shared" si="0"/>
        <v>499.2</v>
      </c>
      <c r="J21" s="7" t="str">
        <f t="shared" si="1"/>
        <v>OK</v>
      </c>
    </row>
    <row r="22" spans="1:10" x14ac:dyDescent="0.3">
      <c r="A22" s="7">
        <v>7</v>
      </c>
      <c r="B22" s="7" t="s">
        <v>231</v>
      </c>
      <c r="C22" s="7">
        <v>621045</v>
      </c>
      <c r="D22" s="7" t="s">
        <v>238</v>
      </c>
      <c r="E22" s="7" t="s">
        <v>239</v>
      </c>
      <c r="F22" s="8">
        <v>4</v>
      </c>
      <c r="G22" s="8">
        <v>316.58</v>
      </c>
      <c r="H22" s="7" t="s">
        <v>26</v>
      </c>
      <c r="I22" s="8">
        <f t="shared" si="0"/>
        <v>312.58</v>
      </c>
      <c r="J22" s="7" t="str">
        <f t="shared" si="1"/>
        <v>OK</v>
      </c>
    </row>
    <row r="23" spans="1:10" x14ac:dyDescent="0.3">
      <c r="A23" s="7">
        <v>7</v>
      </c>
      <c r="B23" s="7" t="s">
        <v>231</v>
      </c>
      <c r="C23" s="7">
        <v>800088</v>
      </c>
      <c r="D23" s="7" t="s">
        <v>240</v>
      </c>
      <c r="E23" s="7" t="s">
        <v>215</v>
      </c>
      <c r="F23" s="8">
        <v>4</v>
      </c>
      <c r="G23" s="8">
        <v>213.41</v>
      </c>
      <c r="H23" s="7" t="s">
        <v>26</v>
      </c>
      <c r="I23" s="8">
        <f t="shared" si="0"/>
        <v>209.41</v>
      </c>
      <c r="J23" s="7" t="str">
        <f t="shared" si="1"/>
        <v>OK</v>
      </c>
    </row>
    <row r="24" spans="1:10" x14ac:dyDescent="0.3">
      <c r="A24" s="7">
        <v>7</v>
      </c>
      <c r="B24" s="7" t="s">
        <v>231</v>
      </c>
      <c r="C24" s="7">
        <v>800089</v>
      </c>
      <c r="D24" s="7" t="s">
        <v>241</v>
      </c>
      <c r="E24" s="7" t="s">
        <v>215</v>
      </c>
      <c r="F24" s="8">
        <v>2.67</v>
      </c>
      <c r="G24" s="8">
        <v>235.04</v>
      </c>
      <c r="H24" s="7" t="s">
        <v>26</v>
      </c>
      <c r="I24" s="8">
        <f t="shared" si="0"/>
        <v>232.37</v>
      </c>
      <c r="J24" s="7" t="str">
        <f t="shared" si="1"/>
        <v>OK</v>
      </c>
    </row>
    <row r="25" spans="1:10" x14ac:dyDescent="0.3">
      <c r="A25" s="7">
        <v>7</v>
      </c>
      <c r="B25" s="7" t="s">
        <v>231</v>
      </c>
      <c r="C25" s="7">
        <v>800792</v>
      </c>
      <c r="D25" s="7" t="s">
        <v>242</v>
      </c>
      <c r="E25" s="7" t="s">
        <v>243</v>
      </c>
      <c r="F25" s="8">
        <v>9.67</v>
      </c>
      <c r="G25" s="8">
        <v>323.83</v>
      </c>
      <c r="H25" s="7" t="s">
        <v>26</v>
      </c>
      <c r="I25" s="8">
        <f t="shared" si="0"/>
        <v>314.15999999999997</v>
      </c>
      <c r="J25" s="7" t="str">
        <f t="shared" si="1"/>
        <v>OK</v>
      </c>
    </row>
    <row r="26" spans="1:10" x14ac:dyDescent="0.3">
      <c r="A26" s="7">
        <v>7</v>
      </c>
      <c r="B26" s="7" t="s">
        <v>231</v>
      </c>
      <c r="C26" s="7">
        <v>930025</v>
      </c>
      <c r="D26" s="7" t="s">
        <v>244</v>
      </c>
      <c r="E26" s="7" t="s">
        <v>243</v>
      </c>
      <c r="F26" s="8">
        <v>2.67</v>
      </c>
      <c r="G26" s="8">
        <v>156.69</v>
      </c>
      <c r="H26" s="7" t="s">
        <v>26</v>
      </c>
      <c r="I26" s="8">
        <f t="shared" si="0"/>
        <v>154.02000000000001</v>
      </c>
      <c r="J26" s="7" t="str">
        <f t="shared" si="1"/>
        <v>OK</v>
      </c>
    </row>
    <row r="27" spans="1:10" x14ac:dyDescent="0.3">
      <c r="A27" s="7">
        <v>7</v>
      </c>
      <c r="B27" s="7" t="s">
        <v>231</v>
      </c>
      <c r="C27" s="7">
        <v>930154</v>
      </c>
      <c r="D27" s="7" t="s">
        <v>245</v>
      </c>
      <c r="E27" s="7" t="s">
        <v>243</v>
      </c>
      <c r="F27" s="8">
        <v>0.33</v>
      </c>
      <c r="G27" s="8">
        <v>59.57</v>
      </c>
      <c r="H27" s="7" t="s">
        <v>26</v>
      </c>
      <c r="I27" s="8">
        <f t="shared" si="0"/>
        <v>59.24</v>
      </c>
      <c r="J27" s="7" t="str">
        <f t="shared" si="1"/>
        <v>OK</v>
      </c>
    </row>
    <row r="28" spans="1:10" x14ac:dyDescent="0.3">
      <c r="A28" s="7">
        <v>8</v>
      </c>
      <c r="B28" s="7" t="s">
        <v>246</v>
      </c>
      <c r="C28" s="7">
        <v>101005</v>
      </c>
      <c r="D28" s="7" t="s">
        <v>232</v>
      </c>
      <c r="E28" s="7" t="s">
        <v>215</v>
      </c>
      <c r="F28" s="8">
        <v>44</v>
      </c>
      <c r="G28" s="8">
        <v>113.68</v>
      </c>
      <c r="H28" s="7" t="s">
        <v>26</v>
      </c>
      <c r="I28" s="8">
        <f t="shared" si="0"/>
        <v>69.680000000000007</v>
      </c>
      <c r="J28" s="7" t="str">
        <f t="shared" si="1"/>
        <v>OK</v>
      </c>
    </row>
    <row r="29" spans="1:10" x14ac:dyDescent="0.3">
      <c r="A29" s="7">
        <v>8</v>
      </c>
      <c r="B29" s="7" t="s">
        <v>246</v>
      </c>
      <c r="C29" s="7">
        <v>101026</v>
      </c>
      <c r="D29" s="7" t="s">
        <v>233</v>
      </c>
      <c r="E29" s="7" t="s">
        <v>215</v>
      </c>
      <c r="F29" s="8">
        <v>12</v>
      </c>
      <c r="G29" s="8">
        <v>81.709999999999994</v>
      </c>
      <c r="H29" s="7" t="s">
        <v>26</v>
      </c>
      <c r="I29" s="8">
        <f t="shared" si="0"/>
        <v>69.709999999999994</v>
      </c>
      <c r="J29" s="7" t="str">
        <f t="shared" si="1"/>
        <v>OK</v>
      </c>
    </row>
    <row r="30" spans="1:10" x14ac:dyDescent="0.3">
      <c r="A30" s="7">
        <v>8</v>
      </c>
      <c r="B30" s="7" t="s">
        <v>246</v>
      </c>
      <c r="C30" s="7">
        <v>101027</v>
      </c>
      <c r="D30" s="7" t="s">
        <v>234</v>
      </c>
      <c r="E30" s="7" t="s">
        <v>215</v>
      </c>
      <c r="F30" s="8">
        <v>27.33</v>
      </c>
      <c r="G30" s="8">
        <v>80.59</v>
      </c>
      <c r="H30" s="7" t="s">
        <v>26</v>
      </c>
      <c r="I30" s="8">
        <f t="shared" si="0"/>
        <v>53.260000000000005</v>
      </c>
      <c r="J30" s="7" t="str">
        <f t="shared" si="1"/>
        <v>OK</v>
      </c>
    </row>
    <row r="31" spans="1:10" x14ac:dyDescent="0.3">
      <c r="A31" s="7">
        <v>8</v>
      </c>
      <c r="B31" s="7" t="s">
        <v>246</v>
      </c>
      <c r="C31" s="7">
        <v>101028</v>
      </c>
      <c r="D31" s="7" t="s">
        <v>214</v>
      </c>
      <c r="E31" s="7" t="s">
        <v>215</v>
      </c>
      <c r="F31" s="8">
        <v>63.33</v>
      </c>
      <c r="G31" s="8">
        <v>211.84</v>
      </c>
      <c r="H31" s="7" t="s">
        <v>26</v>
      </c>
      <c r="I31" s="8">
        <f t="shared" si="0"/>
        <v>148.51</v>
      </c>
      <c r="J31" s="7" t="str">
        <f t="shared" si="1"/>
        <v>OK</v>
      </c>
    </row>
    <row r="32" spans="1:10" x14ac:dyDescent="0.3">
      <c r="A32" s="7">
        <v>8</v>
      </c>
      <c r="B32" s="7" t="s">
        <v>246</v>
      </c>
      <c r="C32" s="7">
        <v>101038</v>
      </c>
      <c r="D32" s="7" t="s">
        <v>235</v>
      </c>
      <c r="E32" s="7" t="s">
        <v>215</v>
      </c>
      <c r="F32" s="8">
        <v>17</v>
      </c>
      <c r="G32" s="8">
        <v>405.05</v>
      </c>
      <c r="H32" s="7" t="s">
        <v>26</v>
      </c>
      <c r="I32" s="8">
        <f t="shared" si="0"/>
        <v>388.05</v>
      </c>
      <c r="J32" s="7" t="str">
        <f t="shared" si="1"/>
        <v>OK</v>
      </c>
    </row>
    <row r="33" spans="1:10" x14ac:dyDescent="0.3">
      <c r="A33" s="7">
        <v>8</v>
      </c>
      <c r="B33" s="7" t="s">
        <v>246</v>
      </c>
      <c r="C33" s="7">
        <v>101130</v>
      </c>
      <c r="D33" s="7" t="s">
        <v>247</v>
      </c>
      <c r="E33" s="7" t="s">
        <v>215</v>
      </c>
      <c r="F33" s="8">
        <v>17.329999999999998</v>
      </c>
      <c r="G33" s="8">
        <v>0</v>
      </c>
      <c r="H33" s="7" t="s">
        <v>26</v>
      </c>
      <c r="I33" s="8">
        <f t="shared" si="0"/>
        <v>0</v>
      </c>
      <c r="J33" s="7" t="str">
        <f t="shared" si="1"/>
        <v>Queda en 0</v>
      </c>
    </row>
    <row r="34" spans="1:10" x14ac:dyDescent="0.3">
      <c r="A34" s="7">
        <v>8</v>
      </c>
      <c r="B34" s="7" t="s">
        <v>246</v>
      </c>
      <c r="C34" s="7">
        <v>103001</v>
      </c>
      <c r="D34" s="7" t="s">
        <v>248</v>
      </c>
      <c r="E34" s="7" t="s">
        <v>215</v>
      </c>
      <c r="F34" s="8">
        <v>32</v>
      </c>
      <c r="G34" s="8">
        <v>2391.9499999999998</v>
      </c>
      <c r="H34" s="7" t="s">
        <v>26</v>
      </c>
      <c r="I34" s="8">
        <f t="shared" si="0"/>
        <v>2359.9499999999998</v>
      </c>
      <c r="J34" s="7" t="str">
        <f t="shared" si="1"/>
        <v>OK</v>
      </c>
    </row>
    <row r="35" spans="1:10" x14ac:dyDescent="0.3">
      <c r="A35" s="7">
        <v>8</v>
      </c>
      <c r="B35" s="7" t="s">
        <v>246</v>
      </c>
      <c r="C35" s="7">
        <v>201001</v>
      </c>
      <c r="D35" s="7" t="s">
        <v>216</v>
      </c>
      <c r="E35" s="7" t="s">
        <v>217</v>
      </c>
      <c r="F35" s="8">
        <v>52</v>
      </c>
      <c r="G35" s="8">
        <v>553.79999999999995</v>
      </c>
      <c r="H35" s="7" t="s">
        <v>26</v>
      </c>
      <c r="I35" s="8">
        <f t="shared" si="0"/>
        <v>501.79999999999995</v>
      </c>
      <c r="J35" s="7" t="str">
        <f t="shared" si="1"/>
        <v>OK</v>
      </c>
    </row>
    <row r="36" spans="1:10" x14ac:dyDescent="0.3">
      <c r="A36" s="7">
        <v>8</v>
      </c>
      <c r="B36" s="7" t="s">
        <v>246</v>
      </c>
      <c r="C36" s="7">
        <v>501000</v>
      </c>
      <c r="D36" s="7" t="s">
        <v>237</v>
      </c>
      <c r="E36" s="7" t="s">
        <v>217</v>
      </c>
      <c r="F36" s="8">
        <v>1.33</v>
      </c>
      <c r="G36" s="8">
        <v>408.03</v>
      </c>
      <c r="H36" s="7" t="s">
        <v>26</v>
      </c>
      <c r="I36" s="8">
        <f t="shared" si="0"/>
        <v>406.7</v>
      </c>
      <c r="J36" s="7" t="str">
        <f t="shared" si="1"/>
        <v>OK</v>
      </c>
    </row>
    <row r="37" spans="1:10" x14ac:dyDescent="0.3">
      <c r="A37" s="7">
        <v>8</v>
      </c>
      <c r="B37" s="7" t="s">
        <v>246</v>
      </c>
      <c r="C37" s="7">
        <v>511005</v>
      </c>
      <c r="D37" s="7" t="s">
        <v>249</v>
      </c>
      <c r="E37" s="7" t="s">
        <v>217</v>
      </c>
      <c r="F37" s="8">
        <v>8</v>
      </c>
      <c r="G37" s="8">
        <v>24.63</v>
      </c>
      <c r="H37" s="7" t="s">
        <v>26</v>
      </c>
      <c r="I37" s="8">
        <f t="shared" si="0"/>
        <v>16.63</v>
      </c>
      <c r="J37" s="7" t="str">
        <f t="shared" si="1"/>
        <v>OK</v>
      </c>
    </row>
    <row r="38" spans="1:10" x14ac:dyDescent="0.3">
      <c r="A38" s="7">
        <v>8</v>
      </c>
      <c r="B38" s="7" t="s">
        <v>246</v>
      </c>
      <c r="C38" s="7">
        <v>611048</v>
      </c>
      <c r="D38" s="7" t="s">
        <v>250</v>
      </c>
      <c r="E38" s="7" t="s">
        <v>217</v>
      </c>
      <c r="F38" s="8">
        <v>33.33</v>
      </c>
      <c r="G38" s="8">
        <v>77.08</v>
      </c>
      <c r="H38" s="7" t="s">
        <v>26</v>
      </c>
      <c r="I38" s="8">
        <f t="shared" si="0"/>
        <v>43.75</v>
      </c>
      <c r="J38" s="7" t="str">
        <f t="shared" si="1"/>
        <v>OK</v>
      </c>
    </row>
    <row r="39" spans="1:10" x14ac:dyDescent="0.3">
      <c r="A39" s="7">
        <v>8</v>
      </c>
      <c r="B39" s="7" t="s">
        <v>246</v>
      </c>
      <c r="C39" s="7">
        <v>611049</v>
      </c>
      <c r="D39" s="7" t="s">
        <v>251</v>
      </c>
      <c r="E39" s="7" t="s">
        <v>217</v>
      </c>
      <c r="F39" s="8">
        <v>56.67</v>
      </c>
      <c r="G39" s="8">
        <v>331.78</v>
      </c>
      <c r="H39" s="7" t="s">
        <v>26</v>
      </c>
      <c r="I39" s="8">
        <f t="shared" si="0"/>
        <v>275.10999999999996</v>
      </c>
      <c r="J39" s="7" t="str">
        <f t="shared" si="1"/>
        <v>OK</v>
      </c>
    </row>
    <row r="40" spans="1:10" x14ac:dyDescent="0.3">
      <c r="A40" s="7">
        <v>8</v>
      </c>
      <c r="B40" s="7" t="s">
        <v>246</v>
      </c>
      <c r="C40" s="7">
        <v>611052</v>
      </c>
      <c r="D40" s="7" t="s">
        <v>252</v>
      </c>
      <c r="E40" s="7" t="s">
        <v>217</v>
      </c>
      <c r="F40" s="8">
        <v>8</v>
      </c>
      <c r="G40" s="8">
        <v>119.95</v>
      </c>
      <c r="H40" s="7" t="s">
        <v>26</v>
      </c>
      <c r="I40" s="8">
        <f t="shared" si="0"/>
        <v>111.95</v>
      </c>
      <c r="J40" s="7" t="str">
        <f t="shared" si="1"/>
        <v>OK</v>
      </c>
    </row>
    <row r="41" spans="1:10" x14ac:dyDescent="0.3">
      <c r="A41" s="7">
        <v>8</v>
      </c>
      <c r="B41" s="7" t="s">
        <v>246</v>
      </c>
      <c r="C41" s="7">
        <v>611053</v>
      </c>
      <c r="D41" s="7" t="s">
        <v>253</v>
      </c>
      <c r="E41" s="7" t="s">
        <v>217</v>
      </c>
      <c r="F41" s="8">
        <v>16</v>
      </c>
      <c r="G41" s="8">
        <v>508.7</v>
      </c>
      <c r="H41" s="7" t="s">
        <v>26</v>
      </c>
      <c r="I41" s="8">
        <f t="shared" si="0"/>
        <v>492.7</v>
      </c>
      <c r="J41" s="7" t="str">
        <f t="shared" si="1"/>
        <v>OK</v>
      </c>
    </row>
    <row r="42" spans="1:10" x14ac:dyDescent="0.3">
      <c r="A42" s="7">
        <v>8</v>
      </c>
      <c r="B42" s="7" t="s">
        <v>246</v>
      </c>
      <c r="C42" s="7">
        <v>611055</v>
      </c>
      <c r="D42" s="7" t="s">
        <v>254</v>
      </c>
      <c r="E42" s="7" t="s">
        <v>217</v>
      </c>
      <c r="F42" s="8">
        <v>2.67</v>
      </c>
      <c r="G42" s="8">
        <v>81.39</v>
      </c>
      <c r="H42" s="7" t="s">
        <v>26</v>
      </c>
      <c r="I42" s="8">
        <f t="shared" si="0"/>
        <v>78.72</v>
      </c>
      <c r="J42" s="7" t="str">
        <f t="shared" si="1"/>
        <v>OK</v>
      </c>
    </row>
    <row r="43" spans="1:10" x14ac:dyDescent="0.3">
      <c r="A43" s="7">
        <v>8</v>
      </c>
      <c r="B43" s="7" t="s">
        <v>246</v>
      </c>
      <c r="C43" s="7">
        <v>611507</v>
      </c>
      <c r="D43" s="7" t="s">
        <v>255</v>
      </c>
      <c r="E43" s="7" t="s">
        <v>215</v>
      </c>
      <c r="F43" s="8">
        <v>5.33</v>
      </c>
      <c r="G43" s="8">
        <v>0</v>
      </c>
      <c r="H43" s="7" t="s">
        <v>26</v>
      </c>
      <c r="I43" s="8">
        <f t="shared" si="0"/>
        <v>0</v>
      </c>
      <c r="J43" s="7" t="str">
        <f t="shared" si="1"/>
        <v>Queda en 0</v>
      </c>
    </row>
    <row r="44" spans="1:10" x14ac:dyDescent="0.3">
      <c r="A44" s="7">
        <v>8</v>
      </c>
      <c r="B44" s="7" t="s">
        <v>246</v>
      </c>
      <c r="C44" s="7">
        <v>621004</v>
      </c>
      <c r="D44" s="7" t="s">
        <v>256</v>
      </c>
      <c r="E44" s="7" t="s">
        <v>239</v>
      </c>
      <c r="F44" s="8">
        <v>8</v>
      </c>
      <c r="G44" s="8">
        <v>20.51</v>
      </c>
      <c r="H44" s="7" t="s">
        <v>26</v>
      </c>
      <c r="I44" s="8">
        <f t="shared" si="0"/>
        <v>12.510000000000002</v>
      </c>
      <c r="J44" s="7" t="str">
        <f t="shared" si="1"/>
        <v>OK</v>
      </c>
    </row>
    <row r="45" spans="1:10" x14ac:dyDescent="0.3">
      <c r="A45" s="7">
        <v>8</v>
      </c>
      <c r="B45" s="7" t="s">
        <v>246</v>
      </c>
      <c r="C45" s="7">
        <v>621043</v>
      </c>
      <c r="D45" s="7" t="s">
        <v>257</v>
      </c>
      <c r="E45" s="7" t="s">
        <v>239</v>
      </c>
      <c r="F45" s="8">
        <v>4</v>
      </c>
      <c r="G45" s="8">
        <v>0</v>
      </c>
      <c r="H45" s="7" t="s">
        <v>26</v>
      </c>
      <c r="I45" s="8">
        <f t="shared" si="0"/>
        <v>0</v>
      </c>
      <c r="J45" s="7" t="str">
        <f t="shared" si="1"/>
        <v>Queda en 0</v>
      </c>
    </row>
    <row r="46" spans="1:10" x14ac:dyDescent="0.3">
      <c r="A46" s="7">
        <v>8</v>
      </c>
      <c r="B46" s="7" t="s">
        <v>246</v>
      </c>
      <c r="C46" s="7">
        <v>621045</v>
      </c>
      <c r="D46" s="7" t="s">
        <v>238</v>
      </c>
      <c r="E46" s="7" t="s">
        <v>239</v>
      </c>
      <c r="F46" s="8">
        <v>20</v>
      </c>
      <c r="G46" s="8">
        <v>238.15</v>
      </c>
      <c r="H46" s="7" t="s">
        <v>26</v>
      </c>
      <c r="I46" s="8">
        <f t="shared" si="0"/>
        <v>218.15</v>
      </c>
      <c r="J46" s="7" t="str">
        <f t="shared" si="1"/>
        <v>OK</v>
      </c>
    </row>
    <row r="47" spans="1:10" x14ac:dyDescent="0.3">
      <c r="A47" s="7">
        <v>8</v>
      </c>
      <c r="B47" s="7" t="s">
        <v>246</v>
      </c>
      <c r="C47" s="7">
        <v>800088</v>
      </c>
      <c r="D47" s="7" t="s">
        <v>240</v>
      </c>
      <c r="E47" s="7" t="s">
        <v>215</v>
      </c>
      <c r="F47" s="8">
        <v>5.33</v>
      </c>
      <c r="G47" s="8">
        <v>192.2</v>
      </c>
      <c r="H47" s="7" t="s">
        <v>26</v>
      </c>
      <c r="I47" s="8">
        <f t="shared" si="0"/>
        <v>186.86999999999998</v>
      </c>
      <c r="J47" s="7" t="str">
        <f t="shared" si="1"/>
        <v>OK</v>
      </c>
    </row>
    <row r="48" spans="1:10" x14ac:dyDescent="0.3">
      <c r="A48" s="7">
        <v>8</v>
      </c>
      <c r="B48" s="7" t="s">
        <v>246</v>
      </c>
      <c r="C48" s="7">
        <v>800089</v>
      </c>
      <c r="D48" s="7" t="s">
        <v>241</v>
      </c>
      <c r="E48" s="7" t="s">
        <v>215</v>
      </c>
      <c r="F48" s="8">
        <v>2.67</v>
      </c>
      <c r="G48" s="8">
        <v>188.06</v>
      </c>
      <c r="H48" s="7" t="s">
        <v>26</v>
      </c>
      <c r="I48" s="8">
        <f t="shared" si="0"/>
        <v>185.39000000000001</v>
      </c>
      <c r="J48" s="7" t="str">
        <f t="shared" si="1"/>
        <v>OK</v>
      </c>
    </row>
    <row r="49" spans="1:10" x14ac:dyDescent="0.3">
      <c r="A49" s="7">
        <v>8</v>
      </c>
      <c r="B49" s="7" t="s">
        <v>246</v>
      </c>
      <c r="C49" s="7">
        <v>800783</v>
      </c>
      <c r="D49" s="7" t="s">
        <v>258</v>
      </c>
      <c r="E49" s="7" t="s">
        <v>243</v>
      </c>
      <c r="F49" s="8">
        <v>0.33</v>
      </c>
      <c r="G49" s="8">
        <v>0</v>
      </c>
      <c r="H49" s="7" t="s">
        <v>26</v>
      </c>
      <c r="I49" s="8">
        <f t="shared" si="0"/>
        <v>0</v>
      </c>
      <c r="J49" s="7" t="str">
        <f t="shared" si="1"/>
        <v>Queda en 0</v>
      </c>
    </row>
    <row r="50" spans="1:10" x14ac:dyDescent="0.3">
      <c r="A50" s="7">
        <v>8</v>
      </c>
      <c r="B50" s="7" t="s">
        <v>246</v>
      </c>
      <c r="C50" s="7">
        <v>800791</v>
      </c>
      <c r="D50" s="7" t="s">
        <v>259</v>
      </c>
      <c r="E50" s="7" t="s">
        <v>243</v>
      </c>
      <c r="F50" s="8">
        <v>1</v>
      </c>
      <c r="G50" s="8">
        <v>94.66</v>
      </c>
      <c r="H50" s="7" t="s">
        <v>26</v>
      </c>
      <c r="I50" s="8">
        <f t="shared" si="0"/>
        <v>93.66</v>
      </c>
      <c r="J50" s="7" t="str">
        <f t="shared" si="1"/>
        <v>OK</v>
      </c>
    </row>
    <row r="51" spans="1:10" x14ac:dyDescent="0.3">
      <c r="A51" s="7">
        <v>8</v>
      </c>
      <c r="B51" s="7" t="s">
        <v>246</v>
      </c>
      <c r="C51" s="7">
        <v>800792</v>
      </c>
      <c r="D51" s="7" t="s">
        <v>242</v>
      </c>
      <c r="E51" s="7" t="s">
        <v>243</v>
      </c>
      <c r="F51" s="8">
        <v>2.33</v>
      </c>
      <c r="G51" s="8">
        <v>157.77000000000001</v>
      </c>
      <c r="H51" s="7" t="s">
        <v>26</v>
      </c>
      <c r="I51" s="8">
        <f t="shared" si="0"/>
        <v>155.44</v>
      </c>
      <c r="J51" s="7" t="str">
        <f t="shared" si="1"/>
        <v>OK</v>
      </c>
    </row>
    <row r="52" spans="1:10" x14ac:dyDescent="0.3">
      <c r="A52" s="7">
        <v>8</v>
      </c>
      <c r="B52" s="7" t="s">
        <v>246</v>
      </c>
      <c r="C52" s="7">
        <v>800793</v>
      </c>
      <c r="D52" s="7" t="s">
        <v>260</v>
      </c>
      <c r="E52" s="7" t="s">
        <v>243</v>
      </c>
      <c r="F52" s="8">
        <v>0.67</v>
      </c>
      <c r="G52" s="8">
        <v>45.47</v>
      </c>
      <c r="H52" s="7" t="s">
        <v>26</v>
      </c>
      <c r="I52" s="8">
        <f t="shared" si="0"/>
        <v>44.8</v>
      </c>
      <c r="J52" s="7" t="str">
        <f t="shared" si="1"/>
        <v>OK</v>
      </c>
    </row>
    <row r="53" spans="1:10" x14ac:dyDescent="0.3">
      <c r="A53" s="7">
        <v>8</v>
      </c>
      <c r="B53" s="7" t="s">
        <v>246</v>
      </c>
      <c r="C53" s="7">
        <v>925050</v>
      </c>
      <c r="D53" s="7" t="s">
        <v>261</v>
      </c>
      <c r="E53" s="7" t="s">
        <v>220</v>
      </c>
      <c r="F53" s="8">
        <v>8</v>
      </c>
      <c r="G53" s="8">
        <v>92.26</v>
      </c>
      <c r="H53" s="7" t="s">
        <v>26</v>
      </c>
      <c r="I53" s="8">
        <f t="shared" si="0"/>
        <v>84.26</v>
      </c>
      <c r="J53" s="7" t="str">
        <f t="shared" si="1"/>
        <v>OK</v>
      </c>
    </row>
    <row r="54" spans="1:10" x14ac:dyDescent="0.3">
      <c r="A54" s="7">
        <v>8</v>
      </c>
      <c r="B54" s="7" t="s">
        <v>246</v>
      </c>
      <c r="C54" s="7">
        <v>925059</v>
      </c>
      <c r="D54" s="7" t="s">
        <v>262</v>
      </c>
      <c r="E54" s="7" t="s">
        <v>220</v>
      </c>
      <c r="F54" s="8">
        <v>0.67</v>
      </c>
      <c r="G54" s="8">
        <v>0</v>
      </c>
      <c r="H54" s="7" t="s">
        <v>26</v>
      </c>
      <c r="I54" s="8">
        <f t="shared" si="0"/>
        <v>0</v>
      </c>
      <c r="J54" s="7" t="str">
        <f t="shared" si="1"/>
        <v>Queda en 0</v>
      </c>
    </row>
    <row r="55" spans="1:10" x14ac:dyDescent="0.3">
      <c r="A55" s="7">
        <v>8</v>
      </c>
      <c r="B55" s="7" t="s">
        <v>246</v>
      </c>
      <c r="C55" s="7">
        <v>925064</v>
      </c>
      <c r="D55" s="7" t="s">
        <v>263</v>
      </c>
      <c r="E55" s="7" t="s">
        <v>220</v>
      </c>
      <c r="F55" s="8">
        <v>2</v>
      </c>
      <c r="G55" s="8">
        <v>403.54</v>
      </c>
      <c r="H55" s="7" t="s">
        <v>26</v>
      </c>
      <c r="I55" s="8">
        <f t="shared" si="0"/>
        <v>401.54</v>
      </c>
      <c r="J55" s="7" t="str">
        <f t="shared" si="1"/>
        <v>OK</v>
      </c>
    </row>
    <row r="56" spans="1:10" x14ac:dyDescent="0.3">
      <c r="A56" s="7">
        <v>8</v>
      </c>
      <c r="B56" s="7" t="s">
        <v>246</v>
      </c>
      <c r="C56" s="7">
        <v>930012</v>
      </c>
      <c r="D56" s="7" t="s">
        <v>264</v>
      </c>
      <c r="E56" s="7" t="s">
        <v>243</v>
      </c>
      <c r="F56" s="8">
        <v>17</v>
      </c>
      <c r="G56" s="8">
        <v>209.73</v>
      </c>
      <c r="H56" s="7" t="s">
        <v>26</v>
      </c>
      <c r="I56" s="8">
        <f t="shared" si="0"/>
        <v>192.73</v>
      </c>
      <c r="J56" s="7" t="str">
        <f t="shared" si="1"/>
        <v>OK</v>
      </c>
    </row>
    <row r="57" spans="1:10" x14ac:dyDescent="0.3">
      <c r="A57" s="7">
        <v>8</v>
      </c>
      <c r="B57" s="7" t="s">
        <v>246</v>
      </c>
      <c r="C57" s="7">
        <v>930022</v>
      </c>
      <c r="D57" s="7" t="s">
        <v>265</v>
      </c>
      <c r="E57" s="7" t="s">
        <v>243</v>
      </c>
      <c r="F57" s="8">
        <v>5.33</v>
      </c>
      <c r="G57" s="8">
        <v>60.33</v>
      </c>
      <c r="H57" s="7" t="s">
        <v>26</v>
      </c>
      <c r="I57" s="8">
        <f t="shared" si="0"/>
        <v>55</v>
      </c>
      <c r="J57" s="7" t="str">
        <f t="shared" si="1"/>
        <v>OK</v>
      </c>
    </row>
    <row r="58" spans="1:10" x14ac:dyDescent="0.3">
      <c r="A58" s="7">
        <v>8</v>
      </c>
      <c r="B58" s="7" t="s">
        <v>246</v>
      </c>
      <c r="C58" s="7">
        <v>930025</v>
      </c>
      <c r="D58" s="7" t="s">
        <v>244</v>
      </c>
      <c r="E58" s="7" t="s">
        <v>243</v>
      </c>
      <c r="F58" s="8">
        <v>3.67</v>
      </c>
      <c r="G58" s="8">
        <v>166.12</v>
      </c>
      <c r="H58" s="7" t="s">
        <v>26</v>
      </c>
      <c r="I58" s="8">
        <f t="shared" si="0"/>
        <v>162.45000000000002</v>
      </c>
      <c r="J58" s="7" t="str">
        <f t="shared" si="1"/>
        <v>OK</v>
      </c>
    </row>
    <row r="59" spans="1:10" x14ac:dyDescent="0.3">
      <c r="A59" s="7">
        <v>8</v>
      </c>
      <c r="B59" s="7" t="s">
        <v>246</v>
      </c>
      <c r="C59" s="7">
        <v>930034</v>
      </c>
      <c r="D59" s="7" t="s">
        <v>266</v>
      </c>
      <c r="E59" s="7" t="s">
        <v>243</v>
      </c>
      <c r="F59" s="8">
        <v>3.33</v>
      </c>
      <c r="G59" s="8">
        <v>17.63</v>
      </c>
      <c r="H59" s="7" t="s">
        <v>26</v>
      </c>
      <c r="I59" s="8">
        <f t="shared" si="0"/>
        <v>14.299999999999999</v>
      </c>
      <c r="J59" s="7" t="str">
        <f t="shared" si="1"/>
        <v>OK</v>
      </c>
    </row>
    <row r="60" spans="1:10" x14ac:dyDescent="0.3">
      <c r="A60" s="7">
        <v>8</v>
      </c>
      <c r="B60" s="7" t="s">
        <v>246</v>
      </c>
      <c r="C60" s="7">
        <v>930154</v>
      </c>
      <c r="D60" s="7" t="s">
        <v>245</v>
      </c>
      <c r="E60" s="7" t="s">
        <v>243</v>
      </c>
      <c r="F60" s="8">
        <v>1.33</v>
      </c>
      <c r="G60" s="8">
        <v>42.68</v>
      </c>
      <c r="H60" s="7" t="s">
        <v>26</v>
      </c>
      <c r="I60" s="8">
        <f t="shared" si="0"/>
        <v>41.35</v>
      </c>
      <c r="J60" s="7" t="str">
        <f t="shared" si="1"/>
        <v>OK</v>
      </c>
    </row>
    <row r="61" spans="1:10" x14ac:dyDescent="0.3">
      <c r="A61" s="7">
        <v>8</v>
      </c>
      <c r="B61" s="7" t="s">
        <v>246</v>
      </c>
      <c r="C61" s="7">
        <v>930178</v>
      </c>
      <c r="D61" s="7" t="s">
        <v>267</v>
      </c>
      <c r="E61" s="7" t="s">
        <v>243</v>
      </c>
      <c r="F61" s="8">
        <v>0.33</v>
      </c>
      <c r="G61" s="8">
        <v>43.61</v>
      </c>
      <c r="H61" s="7" t="s">
        <v>26</v>
      </c>
      <c r="I61" s="8">
        <f t="shared" si="0"/>
        <v>43.28</v>
      </c>
      <c r="J61" s="7" t="str">
        <f t="shared" si="1"/>
        <v>OK</v>
      </c>
    </row>
    <row r="62" spans="1:10" x14ac:dyDescent="0.3">
      <c r="A62" s="7">
        <v>8</v>
      </c>
      <c r="B62" s="7" t="s">
        <v>246</v>
      </c>
      <c r="C62" s="7">
        <v>930193</v>
      </c>
      <c r="D62" s="7" t="s">
        <v>268</v>
      </c>
      <c r="E62" s="7" t="s">
        <v>243</v>
      </c>
      <c r="F62" s="8">
        <v>0.33</v>
      </c>
      <c r="G62" s="8">
        <v>0</v>
      </c>
      <c r="H62" s="7" t="s">
        <v>26</v>
      </c>
      <c r="I62" s="8">
        <f t="shared" si="0"/>
        <v>0</v>
      </c>
      <c r="J62" s="7" t="str">
        <f t="shared" si="1"/>
        <v>Queda en 0</v>
      </c>
    </row>
    <row r="63" spans="1:10" x14ac:dyDescent="0.3">
      <c r="A63" s="7">
        <v>8</v>
      </c>
      <c r="B63" s="7" t="s">
        <v>246</v>
      </c>
      <c r="C63" s="7">
        <v>982003</v>
      </c>
      <c r="D63" s="7" t="s">
        <v>269</v>
      </c>
      <c r="E63" s="7" t="s">
        <v>270</v>
      </c>
      <c r="F63" s="8">
        <v>3.33</v>
      </c>
      <c r="G63" s="8">
        <v>43.78</v>
      </c>
      <c r="H63" s="7" t="s">
        <v>26</v>
      </c>
      <c r="I63" s="8">
        <f t="shared" si="0"/>
        <v>40.450000000000003</v>
      </c>
      <c r="J63" s="7" t="str">
        <f t="shared" si="1"/>
        <v>OK</v>
      </c>
    </row>
    <row r="64" spans="1:10" x14ac:dyDescent="0.3">
      <c r="A64" s="7">
        <v>11</v>
      </c>
      <c r="B64" s="7" t="s">
        <v>271</v>
      </c>
      <c r="C64" s="7">
        <v>101005</v>
      </c>
      <c r="D64" s="7" t="s">
        <v>232</v>
      </c>
      <c r="E64" s="7" t="s">
        <v>215</v>
      </c>
      <c r="F64" s="8">
        <v>13.33</v>
      </c>
      <c r="G64" s="8">
        <v>63.48</v>
      </c>
      <c r="H64" s="7" t="s">
        <v>26</v>
      </c>
      <c r="I64" s="8">
        <f t="shared" si="0"/>
        <v>50.15</v>
      </c>
      <c r="J64" s="7" t="str">
        <f t="shared" si="1"/>
        <v>OK</v>
      </c>
    </row>
    <row r="65" spans="1:10" x14ac:dyDescent="0.3">
      <c r="A65" s="7">
        <v>11</v>
      </c>
      <c r="B65" s="7" t="s">
        <v>271</v>
      </c>
      <c r="C65" s="7">
        <v>101026</v>
      </c>
      <c r="D65" s="7" t="s">
        <v>233</v>
      </c>
      <c r="E65" s="7" t="s">
        <v>215</v>
      </c>
      <c r="F65" s="8">
        <v>32</v>
      </c>
      <c r="G65" s="8">
        <v>91.28</v>
      </c>
      <c r="H65" s="7" t="s">
        <v>26</v>
      </c>
      <c r="I65" s="8">
        <f t="shared" si="0"/>
        <v>59.28</v>
      </c>
      <c r="J65" s="7" t="str">
        <f t="shared" si="1"/>
        <v>OK</v>
      </c>
    </row>
    <row r="66" spans="1:10" x14ac:dyDescent="0.3">
      <c r="A66" s="7">
        <v>11</v>
      </c>
      <c r="B66" s="7" t="s">
        <v>271</v>
      </c>
      <c r="C66" s="7">
        <v>101027</v>
      </c>
      <c r="D66" s="7" t="s">
        <v>234</v>
      </c>
      <c r="E66" s="7" t="s">
        <v>215</v>
      </c>
      <c r="F66" s="8">
        <v>13</v>
      </c>
      <c r="G66" s="8">
        <v>63.48</v>
      </c>
      <c r="H66" s="7" t="s">
        <v>26</v>
      </c>
      <c r="I66" s="8">
        <f t="shared" ref="I66:I129" si="2">MAX(0,G66-F66)</f>
        <v>50.48</v>
      </c>
      <c r="J66" s="7" t="str">
        <f t="shared" ref="J66:J129" si="3">IF(H66="No","Sin fila previa",IF(G66&lt;F66,"Queda en 0","OK"))</f>
        <v>OK</v>
      </c>
    </row>
    <row r="67" spans="1:10" x14ac:dyDescent="0.3">
      <c r="A67" s="7">
        <v>11</v>
      </c>
      <c r="B67" s="7" t="s">
        <v>271</v>
      </c>
      <c r="C67" s="7">
        <v>101028</v>
      </c>
      <c r="D67" s="7" t="s">
        <v>214</v>
      </c>
      <c r="E67" s="7" t="s">
        <v>215</v>
      </c>
      <c r="F67" s="8">
        <v>30</v>
      </c>
      <c r="G67" s="8">
        <v>144.08000000000001</v>
      </c>
      <c r="H67" s="7" t="s">
        <v>26</v>
      </c>
      <c r="I67" s="8">
        <f t="shared" si="2"/>
        <v>114.08000000000001</v>
      </c>
      <c r="J67" s="7" t="str">
        <f t="shared" si="3"/>
        <v>OK</v>
      </c>
    </row>
    <row r="68" spans="1:10" x14ac:dyDescent="0.3">
      <c r="A68" s="7">
        <v>11</v>
      </c>
      <c r="B68" s="7" t="s">
        <v>271</v>
      </c>
      <c r="C68" s="7">
        <v>101034</v>
      </c>
      <c r="D68" s="7" t="s">
        <v>272</v>
      </c>
      <c r="E68" s="7" t="s">
        <v>215</v>
      </c>
      <c r="F68" s="8">
        <v>6.67</v>
      </c>
      <c r="G68" s="8">
        <v>117.62</v>
      </c>
      <c r="H68" s="7" t="s">
        <v>26</v>
      </c>
      <c r="I68" s="8">
        <f t="shared" si="2"/>
        <v>110.95</v>
      </c>
      <c r="J68" s="7" t="str">
        <f t="shared" si="3"/>
        <v>OK</v>
      </c>
    </row>
    <row r="69" spans="1:10" x14ac:dyDescent="0.3">
      <c r="A69" s="7">
        <v>11</v>
      </c>
      <c r="B69" s="7" t="s">
        <v>271</v>
      </c>
      <c r="C69" s="7">
        <v>101038</v>
      </c>
      <c r="D69" s="7" t="s">
        <v>235</v>
      </c>
      <c r="E69" s="7" t="s">
        <v>215</v>
      </c>
      <c r="F69" s="8">
        <v>71.67</v>
      </c>
      <c r="G69" s="8">
        <v>545.45000000000005</v>
      </c>
      <c r="H69" s="7" t="s">
        <v>26</v>
      </c>
      <c r="I69" s="8">
        <f t="shared" si="2"/>
        <v>473.78000000000003</v>
      </c>
      <c r="J69" s="7" t="str">
        <f t="shared" si="3"/>
        <v>OK</v>
      </c>
    </row>
    <row r="70" spans="1:10" x14ac:dyDescent="0.3">
      <c r="A70" s="7">
        <v>11</v>
      </c>
      <c r="B70" s="7" t="s">
        <v>271</v>
      </c>
      <c r="C70" s="7">
        <v>101072</v>
      </c>
      <c r="D70" s="7" t="s">
        <v>273</v>
      </c>
      <c r="E70" s="7" t="s">
        <v>215</v>
      </c>
      <c r="F70" s="8">
        <v>24</v>
      </c>
      <c r="G70" s="8">
        <v>678.53</v>
      </c>
      <c r="H70" s="7" t="s">
        <v>26</v>
      </c>
      <c r="I70" s="8">
        <f t="shared" si="2"/>
        <v>654.53</v>
      </c>
      <c r="J70" s="7" t="str">
        <f t="shared" si="3"/>
        <v>OK</v>
      </c>
    </row>
    <row r="71" spans="1:10" x14ac:dyDescent="0.3">
      <c r="A71" s="7">
        <v>11</v>
      </c>
      <c r="B71" s="7" t="s">
        <v>271</v>
      </c>
      <c r="C71" s="7">
        <v>101100</v>
      </c>
      <c r="D71" s="7" t="s">
        <v>274</v>
      </c>
      <c r="E71" s="7" t="s">
        <v>215</v>
      </c>
      <c r="F71" s="8">
        <v>2</v>
      </c>
      <c r="G71" s="8">
        <v>0</v>
      </c>
      <c r="H71" s="7" t="s">
        <v>26</v>
      </c>
      <c r="I71" s="8">
        <f t="shared" si="2"/>
        <v>0</v>
      </c>
      <c r="J71" s="7" t="str">
        <f t="shared" si="3"/>
        <v>Queda en 0</v>
      </c>
    </row>
    <row r="72" spans="1:10" x14ac:dyDescent="0.3">
      <c r="A72" s="7">
        <v>11</v>
      </c>
      <c r="B72" s="7" t="s">
        <v>271</v>
      </c>
      <c r="C72" s="7">
        <v>101130</v>
      </c>
      <c r="D72" s="7" t="s">
        <v>247</v>
      </c>
      <c r="E72" s="7" t="s">
        <v>215</v>
      </c>
      <c r="F72" s="8">
        <v>33.33</v>
      </c>
      <c r="G72" s="8">
        <v>0</v>
      </c>
      <c r="H72" s="7" t="s">
        <v>26</v>
      </c>
      <c r="I72" s="8">
        <f t="shared" si="2"/>
        <v>0</v>
      </c>
      <c r="J72" s="7" t="str">
        <f t="shared" si="3"/>
        <v>Queda en 0</v>
      </c>
    </row>
    <row r="73" spans="1:10" x14ac:dyDescent="0.3">
      <c r="A73" s="7">
        <v>11</v>
      </c>
      <c r="B73" s="7" t="s">
        <v>271</v>
      </c>
      <c r="C73" s="7">
        <v>101145</v>
      </c>
      <c r="D73" s="7" t="s">
        <v>275</v>
      </c>
      <c r="E73" s="7" t="s">
        <v>215</v>
      </c>
      <c r="F73" s="8">
        <v>64</v>
      </c>
      <c r="G73" s="8">
        <v>0</v>
      </c>
      <c r="H73" s="7" t="s">
        <v>26</v>
      </c>
      <c r="I73" s="8">
        <f t="shared" si="2"/>
        <v>0</v>
      </c>
      <c r="J73" s="7" t="str">
        <f t="shared" si="3"/>
        <v>Queda en 0</v>
      </c>
    </row>
    <row r="74" spans="1:10" x14ac:dyDescent="0.3">
      <c r="A74" s="7">
        <v>11</v>
      </c>
      <c r="B74" s="7" t="s">
        <v>271</v>
      </c>
      <c r="C74" s="7">
        <v>103001</v>
      </c>
      <c r="D74" s="7" t="s">
        <v>248</v>
      </c>
      <c r="E74" s="7" t="s">
        <v>215</v>
      </c>
      <c r="F74" s="8">
        <v>248</v>
      </c>
      <c r="G74" s="8">
        <v>3028.25</v>
      </c>
      <c r="H74" s="7" t="s">
        <v>26</v>
      </c>
      <c r="I74" s="8">
        <f t="shared" si="2"/>
        <v>2780.25</v>
      </c>
      <c r="J74" s="7" t="str">
        <f t="shared" si="3"/>
        <v>OK</v>
      </c>
    </row>
    <row r="75" spans="1:10" x14ac:dyDescent="0.3">
      <c r="A75" s="7">
        <v>11</v>
      </c>
      <c r="B75" s="7" t="s">
        <v>271</v>
      </c>
      <c r="C75" s="7">
        <v>201001</v>
      </c>
      <c r="D75" s="7" t="s">
        <v>216</v>
      </c>
      <c r="E75" s="7" t="s">
        <v>217</v>
      </c>
      <c r="F75" s="8">
        <v>64.67</v>
      </c>
      <c r="G75" s="8">
        <v>640.1</v>
      </c>
      <c r="H75" s="7" t="s">
        <v>26</v>
      </c>
      <c r="I75" s="8">
        <f t="shared" si="2"/>
        <v>575.43000000000006</v>
      </c>
      <c r="J75" s="7" t="str">
        <f t="shared" si="3"/>
        <v>OK</v>
      </c>
    </row>
    <row r="76" spans="1:10" x14ac:dyDescent="0.3">
      <c r="A76" s="7">
        <v>11</v>
      </c>
      <c r="B76" s="7" t="s">
        <v>271</v>
      </c>
      <c r="C76" s="7">
        <v>501000</v>
      </c>
      <c r="D76" s="7" t="s">
        <v>237</v>
      </c>
      <c r="E76" s="7" t="s">
        <v>217</v>
      </c>
      <c r="F76" s="8">
        <v>25.33</v>
      </c>
      <c r="G76" s="8">
        <v>350.96</v>
      </c>
      <c r="H76" s="7" t="s">
        <v>26</v>
      </c>
      <c r="I76" s="8">
        <f t="shared" si="2"/>
        <v>325.63</v>
      </c>
      <c r="J76" s="7" t="str">
        <f t="shared" si="3"/>
        <v>OK</v>
      </c>
    </row>
    <row r="77" spans="1:10" x14ac:dyDescent="0.3">
      <c r="A77" s="7">
        <v>11</v>
      </c>
      <c r="B77" s="7" t="s">
        <v>271</v>
      </c>
      <c r="C77" s="7">
        <v>611049</v>
      </c>
      <c r="D77" s="7" t="s">
        <v>251</v>
      </c>
      <c r="E77" s="7" t="s">
        <v>217</v>
      </c>
      <c r="F77" s="8">
        <v>8</v>
      </c>
      <c r="G77" s="8">
        <v>150.41</v>
      </c>
      <c r="H77" s="7" t="s">
        <v>26</v>
      </c>
      <c r="I77" s="8">
        <f t="shared" si="2"/>
        <v>142.41</v>
      </c>
      <c r="J77" s="7" t="str">
        <f t="shared" si="3"/>
        <v>OK</v>
      </c>
    </row>
    <row r="78" spans="1:10" x14ac:dyDescent="0.3">
      <c r="A78" s="7">
        <v>11</v>
      </c>
      <c r="B78" s="7" t="s">
        <v>271</v>
      </c>
      <c r="C78" s="7">
        <v>611053</v>
      </c>
      <c r="D78" s="7" t="s">
        <v>253</v>
      </c>
      <c r="E78" s="7" t="s">
        <v>217</v>
      </c>
      <c r="F78" s="8">
        <v>8</v>
      </c>
      <c r="G78" s="8">
        <v>757.8</v>
      </c>
      <c r="H78" s="7" t="s">
        <v>26</v>
      </c>
      <c r="I78" s="8">
        <f t="shared" si="2"/>
        <v>749.8</v>
      </c>
      <c r="J78" s="7" t="str">
        <f t="shared" si="3"/>
        <v>OK</v>
      </c>
    </row>
    <row r="79" spans="1:10" x14ac:dyDescent="0.3">
      <c r="A79" s="7">
        <v>11</v>
      </c>
      <c r="B79" s="7" t="s">
        <v>271</v>
      </c>
      <c r="C79" s="7">
        <v>611055</v>
      </c>
      <c r="D79" s="7" t="s">
        <v>254</v>
      </c>
      <c r="E79" s="7" t="s">
        <v>217</v>
      </c>
      <c r="F79" s="8">
        <v>20</v>
      </c>
      <c r="G79" s="8">
        <v>190.99</v>
      </c>
      <c r="H79" s="7" t="s">
        <v>26</v>
      </c>
      <c r="I79" s="8">
        <f t="shared" si="2"/>
        <v>170.99</v>
      </c>
      <c r="J79" s="7" t="str">
        <f t="shared" si="3"/>
        <v>OK</v>
      </c>
    </row>
    <row r="80" spans="1:10" x14ac:dyDescent="0.3">
      <c r="A80" s="7">
        <v>11</v>
      </c>
      <c r="B80" s="7" t="s">
        <v>271</v>
      </c>
      <c r="C80" s="7">
        <v>621043</v>
      </c>
      <c r="D80" s="7" t="s">
        <v>257</v>
      </c>
      <c r="E80" s="7" t="s">
        <v>239</v>
      </c>
      <c r="F80" s="8">
        <v>8</v>
      </c>
      <c r="G80" s="8">
        <v>0</v>
      </c>
      <c r="H80" s="7" t="s">
        <v>26</v>
      </c>
      <c r="I80" s="8">
        <f t="shared" si="2"/>
        <v>0</v>
      </c>
      <c r="J80" s="7" t="str">
        <f t="shared" si="3"/>
        <v>Queda en 0</v>
      </c>
    </row>
    <row r="81" spans="1:10" x14ac:dyDescent="0.3">
      <c r="A81" s="7">
        <v>11</v>
      </c>
      <c r="B81" s="7" t="s">
        <v>271</v>
      </c>
      <c r="C81" s="7">
        <v>621045</v>
      </c>
      <c r="D81" s="7" t="s">
        <v>238</v>
      </c>
      <c r="E81" s="7" t="s">
        <v>239</v>
      </c>
      <c r="F81" s="8">
        <v>32</v>
      </c>
      <c r="G81" s="8">
        <v>356.31</v>
      </c>
      <c r="H81" s="7" t="s">
        <v>26</v>
      </c>
      <c r="I81" s="8">
        <f t="shared" si="2"/>
        <v>324.31</v>
      </c>
      <c r="J81" s="7" t="str">
        <f t="shared" si="3"/>
        <v>OK</v>
      </c>
    </row>
    <row r="82" spans="1:10" x14ac:dyDescent="0.3">
      <c r="A82" s="7">
        <v>11</v>
      </c>
      <c r="B82" s="7" t="s">
        <v>271</v>
      </c>
      <c r="C82" s="7">
        <v>800088</v>
      </c>
      <c r="D82" s="7" t="s">
        <v>240</v>
      </c>
      <c r="E82" s="7" t="s">
        <v>215</v>
      </c>
      <c r="F82" s="8">
        <v>40</v>
      </c>
      <c r="G82" s="8">
        <v>262.47000000000003</v>
      </c>
      <c r="H82" s="7" t="s">
        <v>26</v>
      </c>
      <c r="I82" s="8">
        <f t="shared" si="2"/>
        <v>222.47000000000003</v>
      </c>
      <c r="J82" s="7" t="str">
        <f t="shared" si="3"/>
        <v>OK</v>
      </c>
    </row>
    <row r="83" spans="1:10" x14ac:dyDescent="0.3">
      <c r="A83" s="7">
        <v>11</v>
      </c>
      <c r="B83" s="7" t="s">
        <v>271</v>
      </c>
      <c r="C83" s="7">
        <v>800089</v>
      </c>
      <c r="D83" s="7" t="s">
        <v>241</v>
      </c>
      <c r="E83" s="7" t="s">
        <v>215</v>
      </c>
      <c r="F83" s="8">
        <v>34.67</v>
      </c>
      <c r="G83" s="8">
        <v>252.16</v>
      </c>
      <c r="H83" s="7" t="s">
        <v>26</v>
      </c>
      <c r="I83" s="8">
        <f t="shared" si="2"/>
        <v>217.49</v>
      </c>
      <c r="J83" s="7" t="str">
        <f t="shared" si="3"/>
        <v>OK</v>
      </c>
    </row>
    <row r="84" spans="1:10" x14ac:dyDescent="0.3">
      <c r="A84" s="7">
        <v>11</v>
      </c>
      <c r="B84" s="7" t="s">
        <v>271</v>
      </c>
      <c r="C84" s="7">
        <v>800791</v>
      </c>
      <c r="D84" s="7" t="s">
        <v>259</v>
      </c>
      <c r="E84" s="7" t="s">
        <v>243</v>
      </c>
      <c r="F84" s="8">
        <v>30.67</v>
      </c>
      <c r="G84" s="8">
        <v>391.08</v>
      </c>
      <c r="H84" s="7" t="s">
        <v>26</v>
      </c>
      <c r="I84" s="8">
        <f t="shared" si="2"/>
        <v>360.40999999999997</v>
      </c>
      <c r="J84" s="7" t="str">
        <f t="shared" si="3"/>
        <v>OK</v>
      </c>
    </row>
    <row r="85" spans="1:10" x14ac:dyDescent="0.3">
      <c r="A85" s="7">
        <v>11</v>
      </c>
      <c r="B85" s="7" t="s">
        <v>271</v>
      </c>
      <c r="C85" s="7">
        <v>800792</v>
      </c>
      <c r="D85" s="7" t="s">
        <v>242</v>
      </c>
      <c r="E85" s="7" t="s">
        <v>243</v>
      </c>
      <c r="F85" s="8">
        <v>8.33</v>
      </c>
      <c r="G85" s="8">
        <v>16.93</v>
      </c>
      <c r="H85" s="7" t="s">
        <v>26</v>
      </c>
      <c r="I85" s="8">
        <f t="shared" si="2"/>
        <v>8.6</v>
      </c>
      <c r="J85" s="7" t="str">
        <f t="shared" si="3"/>
        <v>OK</v>
      </c>
    </row>
    <row r="86" spans="1:10" x14ac:dyDescent="0.3">
      <c r="A86" s="7">
        <v>11</v>
      </c>
      <c r="B86" s="7" t="s">
        <v>271</v>
      </c>
      <c r="C86" s="7">
        <v>800793</v>
      </c>
      <c r="D86" s="7" t="s">
        <v>260</v>
      </c>
      <c r="E86" s="7" t="s">
        <v>243</v>
      </c>
      <c r="F86" s="8">
        <v>1.67</v>
      </c>
      <c r="G86" s="8">
        <v>48.88</v>
      </c>
      <c r="H86" s="7" t="s">
        <v>26</v>
      </c>
      <c r="I86" s="8">
        <f t="shared" si="2"/>
        <v>47.21</v>
      </c>
      <c r="J86" s="7" t="str">
        <f t="shared" si="3"/>
        <v>OK</v>
      </c>
    </row>
    <row r="87" spans="1:10" x14ac:dyDescent="0.3">
      <c r="A87" s="7">
        <v>11</v>
      </c>
      <c r="B87" s="7" t="s">
        <v>271</v>
      </c>
      <c r="C87" s="7">
        <v>800796</v>
      </c>
      <c r="D87" s="7" t="s">
        <v>276</v>
      </c>
      <c r="E87" s="7" t="s">
        <v>243</v>
      </c>
      <c r="F87" s="8">
        <v>1.33</v>
      </c>
      <c r="G87" s="8">
        <v>28.2</v>
      </c>
      <c r="H87" s="7" t="s">
        <v>26</v>
      </c>
      <c r="I87" s="8">
        <f t="shared" si="2"/>
        <v>26.869999999999997</v>
      </c>
      <c r="J87" s="7" t="str">
        <f t="shared" si="3"/>
        <v>OK</v>
      </c>
    </row>
    <row r="88" spans="1:10" x14ac:dyDescent="0.3">
      <c r="A88" s="7">
        <v>11</v>
      </c>
      <c r="B88" s="7" t="s">
        <v>271</v>
      </c>
      <c r="C88" s="7">
        <v>924104</v>
      </c>
      <c r="D88" s="7" t="s">
        <v>277</v>
      </c>
      <c r="E88" s="7" t="s">
        <v>215</v>
      </c>
      <c r="F88" s="8">
        <v>4</v>
      </c>
      <c r="G88" s="8">
        <v>0</v>
      </c>
      <c r="H88" s="7" t="s">
        <v>26</v>
      </c>
      <c r="I88" s="8">
        <f t="shared" si="2"/>
        <v>0</v>
      </c>
      <c r="J88" s="7" t="str">
        <f t="shared" si="3"/>
        <v>Queda en 0</v>
      </c>
    </row>
    <row r="89" spans="1:10" x14ac:dyDescent="0.3">
      <c r="A89" s="7">
        <v>11</v>
      </c>
      <c r="B89" s="7" t="s">
        <v>271</v>
      </c>
      <c r="C89" s="7">
        <v>925050</v>
      </c>
      <c r="D89" s="7" t="s">
        <v>261</v>
      </c>
      <c r="E89" s="7" t="s">
        <v>220</v>
      </c>
      <c r="F89" s="8">
        <v>48</v>
      </c>
      <c r="G89" s="8">
        <v>111.8</v>
      </c>
      <c r="H89" s="7" t="s">
        <v>26</v>
      </c>
      <c r="I89" s="8">
        <f t="shared" si="2"/>
        <v>63.8</v>
      </c>
      <c r="J89" s="7" t="str">
        <f t="shared" si="3"/>
        <v>OK</v>
      </c>
    </row>
    <row r="90" spans="1:10" x14ac:dyDescent="0.3">
      <c r="A90" s="7">
        <v>11</v>
      </c>
      <c r="B90" s="7" t="s">
        <v>271</v>
      </c>
      <c r="C90" s="7">
        <v>925059</v>
      </c>
      <c r="D90" s="7" t="s">
        <v>262</v>
      </c>
      <c r="E90" s="7" t="s">
        <v>220</v>
      </c>
      <c r="F90" s="8">
        <v>3.33</v>
      </c>
      <c r="G90" s="8">
        <v>0</v>
      </c>
      <c r="H90" s="7" t="s">
        <v>26</v>
      </c>
      <c r="I90" s="8">
        <f t="shared" si="2"/>
        <v>0</v>
      </c>
      <c r="J90" s="7" t="str">
        <f t="shared" si="3"/>
        <v>Queda en 0</v>
      </c>
    </row>
    <row r="91" spans="1:10" x14ac:dyDescent="0.3">
      <c r="A91" s="7">
        <v>11</v>
      </c>
      <c r="B91" s="7" t="s">
        <v>271</v>
      </c>
      <c r="C91" s="7">
        <v>925064</v>
      </c>
      <c r="D91" s="7" t="s">
        <v>263</v>
      </c>
      <c r="E91" s="7" t="s">
        <v>220</v>
      </c>
      <c r="F91" s="8">
        <v>33.33</v>
      </c>
      <c r="G91" s="8">
        <v>527.32000000000005</v>
      </c>
      <c r="H91" s="7" t="s">
        <v>26</v>
      </c>
      <c r="I91" s="8">
        <f t="shared" si="2"/>
        <v>493.99000000000007</v>
      </c>
      <c r="J91" s="7" t="str">
        <f t="shared" si="3"/>
        <v>OK</v>
      </c>
    </row>
    <row r="92" spans="1:10" x14ac:dyDescent="0.3">
      <c r="A92" s="7">
        <v>11</v>
      </c>
      <c r="B92" s="7" t="s">
        <v>271</v>
      </c>
      <c r="C92" s="7">
        <v>925076</v>
      </c>
      <c r="D92" s="7" t="s">
        <v>278</v>
      </c>
      <c r="E92" s="7" t="s">
        <v>220</v>
      </c>
      <c r="F92" s="8">
        <v>32</v>
      </c>
      <c r="G92" s="8">
        <v>115.13</v>
      </c>
      <c r="H92" s="7" t="s">
        <v>26</v>
      </c>
      <c r="I92" s="8">
        <f t="shared" si="2"/>
        <v>83.13</v>
      </c>
      <c r="J92" s="7" t="str">
        <f t="shared" si="3"/>
        <v>OK</v>
      </c>
    </row>
    <row r="93" spans="1:10" x14ac:dyDescent="0.3">
      <c r="A93" s="7">
        <v>11</v>
      </c>
      <c r="B93" s="7" t="s">
        <v>271</v>
      </c>
      <c r="C93" s="7">
        <v>925079</v>
      </c>
      <c r="D93" s="7" t="s">
        <v>279</v>
      </c>
      <c r="E93" s="7" t="s">
        <v>220</v>
      </c>
      <c r="F93" s="8">
        <v>4</v>
      </c>
      <c r="G93" s="8">
        <v>98.45</v>
      </c>
      <c r="H93" s="7" t="s">
        <v>26</v>
      </c>
      <c r="I93" s="8">
        <f t="shared" si="2"/>
        <v>94.45</v>
      </c>
      <c r="J93" s="7" t="str">
        <f t="shared" si="3"/>
        <v>OK</v>
      </c>
    </row>
    <row r="94" spans="1:10" x14ac:dyDescent="0.3">
      <c r="A94" s="7">
        <v>11</v>
      </c>
      <c r="B94" s="7" t="s">
        <v>271</v>
      </c>
      <c r="C94" s="7">
        <v>925095</v>
      </c>
      <c r="D94" s="7" t="s">
        <v>280</v>
      </c>
      <c r="E94" s="7" t="s">
        <v>220</v>
      </c>
      <c r="F94" s="8">
        <v>4</v>
      </c>
      <c r="G94" s="8">
        <v>30.04</v>
      </c>
      <c r="H94" s="7" t="s">
        <v>26</v>
      </c>
      <c r="I94" s="8">
        <f t="shared" si="2"/>
        <v>26.04</v>
      </c>
      <c r="J94" s="7" t="str">
        <f t="shared" si="3"/>
        <v>OK</v>
      </c>
    </row>
    <row r="95" spans="1:10" x14ac:dyDescent="0.3">
      <c r="A95" s="7">
        <v>11</v>
      </c>
      <c r="B95" s="7" t="s">
        <v>271</v>
      </c>
      <c r="C95" s="7">
        <v>930025</v>
      </c>
      <c r="D95" s="7" t="s">
        <v>244</v>
      </c>
      <c r="E95" s="7" t="s">
        <v>243</v>
      </c>
      <c r="F95" s="8">
        <v>10.33</v>
      </c>
      <c r="G95" s="8">
        <v>191.38</v>
      </c>
      <c r="H95" s="7" t="s">
        <v>26</v>
      </c>
      <c r="I95" s="8">
        <f t="shared" si="2"/>
        <v>181.04999999999998</v>
      </c>
      <c r="J95" s="7" t="str">
        <f t="shared" si="3"/>
        <v>OK</v>
      </c>
    </row>
    <row r="96" spans="1:10" x14ac:dyDescent="0.3">
      <c r="A96" s="7">
        <v>11</v>
      </c>
      <c r="B96" s="7" t="s">
        <v>271</v>
      </c>
      <c r="C96" s="7">
        <v>930039</v>
      </c>
      <c r="D96" s="7" t="s">
        <v>281</v>
      </c>
      <c r="E96" s="7" t="s">
        <v>243</v>
      </c>
      <c r="F96" s="8">
        <v>5.33</v>
      </c>
      <c r="G96" s="8">
        <v>69.69</v>
      </c>
      <c r="H96" s="7" t="s">
        <v>26</v>
      </c>
      <c r="I96" s="8">
        <f t="shared" si="2"/>
        <v>64.36</v>
      </c>
      <c r="J96" s="7" t="str">
        <f t="shared" si="3"/>
        <v>OK</v>
      </c>
    </row>
    <row r="97" spans="1:10" x14ac:dyDescent="0.3">
      <c r="A97" s="7">
        <v>11</v>
      </c>
      <c r="B97" s="7" t="s">
        <v>271</v>
      </c>
      <c r="C97" s="7">
        <v>930153</v>
      </c>
      <c r="D97" s="7" t="s">
        <v>282</v>
      </c>
      <c r="E97" s="7" t="s">
        <v>243</v>
      </c>
      <c r="F97" s="8">
        <v>0.33</v>
      </c>
      <c r="G97" s="8">
        <v>39.49</v>
      </c>
      <c r="H97" s="7" t="s">
        <v>26</v>
      </c>
      <c r="I97" s="8">
        <f t="shared" si="2"/>
        <v>39.160000000000004</v>
      </c>
      <c r="J97" s="7" t="str">
        <f t="shared" si="3"/>
        <v>OK</v>
      </c>
    </row>
    <row r="98" spans="1:10" x14ac:dyDescent="0.3">
      <c r="A98" s="7">
        <v>11</v>
      </c>
      <c r="B98" s="7" t="s">
        <v>271</v>
      </c>
      <c r="C98" s="7">
        <v>950109</v>
      </c>
      <c r="D98" s="7" t="s">
        <v>283</v>
      </c>
      <c r="E98" s="7" t="s">
        <v>284</v>
      </c>
      <c r="F98" s="8">
        <v>12</v>
      </c>
      <c r="G98" s="8">
        <v>46.4</v>
      </c>
      <c r="H98" s="7" t="s">
        <v>26</v>
      </c>
      <c r="I98" s="8">
        <f t="shared" si="2"/>
        <v>34.4</v>
      </c>
      <c r="J98" s="7" t="str">
        <f t="shared" si="3"/>
        <v>OK</v>
      </c>
    </row>
    <row r="99" spans="1:10" x14ac:dyDescent="0.3">
      <c r="A99" s="7">
        <v>11</v>
      </c>
      <c r="B99" s="7" t="s">
        <v>271</v>
      </c>
      <c r="C99" s="7">
        <v>982005</v>
      </c>
      <c r="D99" s="7" t="s">
        <v>285</v>
      </c>
      <c r="E99" s="7" t="s">
        <v>270</v>
      </c>
      <c r="F99" s="8">
        <v>7.67</v>
      </c>
      <c r="G99" s="8">
        <v>448.53</v>
      </c>
      <c r="H99" s="7" t="s">
        <v>26</v>
      </c>
      <c r="I99" s="8">
        <f t="shared" si="2"/>
        <v>440.85999999999996</v>
      </c>
      <c r="J99" s="7" t="str">
        <f t="shared" si="3"/>
        <v>OK</v>
      </c>
    </row>
    <row r="100" spans="1:10" x14ac:dyDescent="0.3">
      <c r="A100" s="7">
        <v>14</v>
      </c>
      <c r="B100" s="7" t="s">
        <v>286</v>
      </c>
      <c r="C100" s="7">
        <v>101005</v>
      </c>
      <c r="D100" s="7" t="s">
        <v>232</v>
      </c>
      <c r="E100" s="7" t="s">
        <v>215</v>
      </c>
      <c r="F100" s="8">
        <v>25</v>
      </c>
      <c r="G100" s="8">
        <v>49.87</v>
      </c>
      <c r="H100" s="7" t="s">
        <v>26</v>
      </c>
      <c r="I100" s="8">
        <f t="shared" si="2"/>
        <v>24.869999999999997</v>
      </c>
      <c r="J100" s="7" t="str">
        <f t="shared" si="3"/>
        <v>OK</v>
      </c>
    </row>
    <row r="101" spans="1:10" x14ac:dyDescent="0.3">
      <c r="A101" s="7">
        <v>14</v>
      </c>
      <c r="B101" s="7" t="s">
        <v>286</v>
      </c>
      <c r="C101" s="7">
        <v>101026</v>
      </c>
      <c r="D101" s="7" t="s">
        <v>233</v>
      </c>
      <c r="E101" s="7" t="s">
        <v>215</v>
      </c>
      <c r="F101" s="8">
        <v>12</v>
      </c>
      <c r="G101" s="8">
        <v>41.62</v>
      </c>
      <c r="H101" s="7" t="s">
        <v>26</v>
      </c>
      <c r="I101" s="8">
        <f t="shared" si="2"/>
        <v>29.619999999999997</v>
      </c>
      <c r="J101" s="7" t="str">
        <f t="shared" si="3"/>
        <v>OK</v>
      </c>
    </row>
    <row r="102" spans="1:10" x14ac:dyDescent="0.3">
      <c r="A102" s="7">
        <v>14</v>
      </c>
      <c r="B102" s="7" t="s">
        <v>286</v>
      </c>
      <c r="C102" s="7">
        <v>101027</v>
      </c>
      <c r="D102" s="7" t="s">
        <v>234</v>
      </c>
      <c r="E102" s="7" t="s">
        <v>215</v>
      </c>
      <c r="F102" s="8">
        <v>37</v>
      </c>
      <c r="G102" s="8">
        <v>56.1</v>
      </c>
      <c r="H102" s="7" t="s">
        <v>26</v>
      </c>
      <c r="I102" s="8">
        <f t="shared" si="2"/>
        <v>19.100000000000001</v>
      </c>
      <c r="J102" s="7" t="str">
        <f t="shared" si="3"/>
        <v>OK</v>
      </c>
    </row>
    <row r="103" spans="1:10" x14ac:dyDescent="0.3">
      <c r="A103" s="7">
        <v>14</v>
      </c>
      <c r="B103" s="7" t="s">
        <v>286</v>
      </c>
      <c r="C103" s="7">
        <v>101028</v>
      </c>
      <c r="D103" s="7" t="s">
        <v>214</v>
      </c>
      <c r="E103" s="7" t="s">
        <v>215</v>
      </c>
      <c r="F103" s="8">
        <v>40</v>
      </c>
      <c r="G103" s="8">
        <v>130.91</v>
      </c>
      <c r="H103" s="7" t="s">
        <v>26</v>
      </c>
      <c r="I103" s="8">
        <f t="shared" si="2"/>
        <v>90.91</v>
      </c>
      <c r="J103" s="7" t="str">
        <f t="shared" si="3"/>
        <v>OK</v>
      </c>
    </row>
    <row r="104" spans="1:10" x14ac:dyDescent="0.3">
      <c r="A104" s="7">
        <v>14</v>
      </c>
      <c r="B104" s="7" t="s">
        <v>286</v>
      </c>
      <c r="C104" s="7">
        <v>101034</v>
      </c>
      <c r="D104" s="7" t="s">
        <v>272</v>
      </c>
      <c r="E104" s="7" t="s">
        <v>215</v>
      </c>
      <c r="F104" s="8">
        <v>0.67</v>
      </c>
      <c r="G104" s="8">
        <v>126.26</v>
      </c>
      <c r="H104" s="7" t="s">
        <v>26</v>
      </c>
      <c r="I104" s="8">
        <f t="shared" si="2"/>
        <v>125.59</v>
      </c>
      <c r="J104" s="7" t="str">
        <f t="shared" si="3"/>
        <v>OK</v>
      </c>
    </row>
    <row r="105" spans="1:10" x14ac:dyDescent="0.3">
      <c r="A105" s="7">
        <v>14</v>
      </c>
      <c r="B105" s="7" t="s">
        <v>286</v>
      </c>
      <c r="C105" s="7">
        <v>101038</v>
      </c>
      <c r="D105" s="7" t="s">
        <v>235</v>
      </c>
      <c r="E105" s="7" t="s">
        <v>215</v>
      </c>
      <c r="F105" s="8">
        <v>11</v>
      </c>
      <c r="G105" s="8">
        <v>369.83</v>
      </c>
      <c r="H105" s="7" t="s">
        <v>26</v>
      </c>
      <c r="I105" s="8">
        <f t="shared" si="2"/>
        <v>358.83</v>
      </c>
      <c r="J105" s="7" t="str">
        <f t="shared" si="3"/>
        <v>OK</v>
      </c>
    </row>
    <row r="106" spans="1:10" x14ac:dyDescent="0.3">
      <c r="A106" s="7">
        <v>14</v>
      </c>
      <c r="B106" s="7" t="s">
        <v>286</v>
      </c>
      <c r="C106" s="7">
        <v>101130</v>
      </c>
      <c r="D106" s="7" t="s">
        <v>247</v>
      </c>
      <c r="E106" s="7" t="s">
        <v>215</v>
      </c>
      <c r="F106" s="8">
        <v>44</v>
      </c>
      <c r="G106" s="8">
        <v>0</v>
      </c>
      <c r="H106" s="7" t="s">
        <v>26</v>
      </c>
      <c r="I106" s="8">
        <f t="shared" si="2"/>
        <v>0</v>
      </c>
      <c r="J106" s="7" t="str">
        <f t="shared" si="3"/>
        <v>Queda en 0</v>
      </c>
    </row>
    <row r="107" spans="1:10" x14ac:dyDescent="0.3">
      <c r="A107" s="7">
        <v>14</v>
      </c>
      <c r="B107" s="7" t="s">
        <v>286</v>
      </c>
      <c r="C107" s="7">
        <v>101145</v>
      </c>
      <c r="D107" s="7" t="s">
        <v>275</v>
      </c>
      <c r="E107" s="7" t="s">
        <v>215</v>
      </c>
      <c r="F107" s="8">
        <v>8</v>
      </c>
      <c r="G107" s="8">
        <v>0</v>
      </c>
      <c r="H107" s="7" t="s">
        <v>26</v>
      </c>
      <c r="I107" s="8">
        <f t="shared" si="2"/>
        <v>0</v>
      </c>
      <c r="J107" s="7" t="str">
        <f t="shared" si="3"/>
        <v>Queda en 0</v>
      </c>
    </row>
    <row r="108" spans="1:10" x14ac:dyDescent="0.3">
      <c r="A108" s="7">
        <v>14</v>
      </c>
      <c r="B108" s="7" t="s">
        <v>286</v>
      </c>
      <c r="C108" s="7">
        <v>103001</v>
      </c>
      <c r="D108" s="7" t="s">
        <v>248</v>
      </c>
      <c r="E108" s="7" t="s">
        <v>215</v>
      </c>
      <c r="F108" s="8">
        <v>207</v>
      </c>
      <c r="G108" s="8">
        <v>3366.78</v>
      </c>
      <c r="H108" s="7" t="s">
        <v>26</v>
      </c>
      <c r="I108" s="8">
        <f t="shared" si="2"/>
        <v>3159.78</v>
      </c>
      <c r="J108" s="7" t="str">
        <f t="shared" si="3"/>
        <v>OK</v>
      </c>
    </row>
    <row r="109" spans="1:10" x14ac:dyDescent="0.3">
      <c r="A109" s="7">
        <v>14</v>
      </c>
      <c r="B109" s="7" t="s">
        <v>286</v>
      </c>
      <c r="C109" s="7">
        <v>103202</v>
      </c>
      <c r="D109" s="7" t="s">
        <v>287</v>
      </c>
      <c r="E109" s="7" t="s">
        <v>215</v>
      </c>
      <c r="F109" s="8">
        <v>4</v>
      </c>
      <c r="G109" s="8">
        <v>6.21</v>
      </c>
      <c r="H109" s="7" t="s">
        <v>26</v>
      </c>
      <c r="I109" s="8">
        <f t="shared" si="2"/>
        <v>2.21</v>
      </c>
      <c r="J109" s="7" t="str">
        <f t="shared" si="3"/>
        <v>OK</v>
      </c>
    </row>
    <row r="110" spans="1:10" x14ac:dyDescent="0.3">
      <c r="A110" s="7">
        <v>14</v>
      </c>
      <c r="B110" s="7" t="s">
        <v>286</v>
      </c>
      <c r="C110" s="7">
        <v>201001</v>
      </c>
      <c r="D110" s="7" t="s">
        <v>216</v>
      </c>
      <c r="E110" s="7" t="s">
        <v>217</v>
      </c>
      <c r="F110" s="8">
        <v>7.33</v>
      </c>
      <c r="G110" s="8">
        <v>410.53</v>
      </c>
      <c r="H110" s="7" t="s">
        <v>26</v>
      </c>
      <c r="I110" s="8">
        <f t="shared" si="2"/>
        <v>403.2</v>
      </c>
      <c r="J110" s="7" t="str">
        <f t="shared" si="3"/>
        <v>OK</v>
      </c>
    </row>
    <row r="111" spans="1:10" x14ac:dyDescent="0.3">
      <c r="A111" s="7">
        <v>14</v>
      </c>
      <c r="B111" s="7" t="s">
        <v>286</v>
      </c>
      <c r="C111" s="7">
        <v>501000</v>
      </c>
      <c r="D111" s="7" t="s">
        <v>237</v>
      </c>
      <c r="E111" s="7" t="s">
        <v>217</v>
      </c>
      <c r="F111" s="8">
        <v>20</v>
      </c>
      <c r="G111" s="8">
        <v>183.13</v>
      </c>
      <c r="H111" s="7" t="s">
        <v>26</v>
      </c>
      <c r="I111" s="8">
        <f t="shared" si="2"/>
        <v>163.13</v>
      </c>
      <c r="J111" s="7" t="str">
        <f t="shared" si="3"/>
        <v>OK</v>
      </c>
    </row>
    <row r="112" spans="1:10" x14ac:dyDescent="0.3">
      <c r="A112" s="7">
        <v>14</v>
      </c>
      <c r="B112" s="7" t="s">
        <v>286</v>
      </c>
      <c r="C112" s="7">
        <v>511005</v>
      </c>
      <c r="D112" s="7" t="s">
        <v>249</v>
      </c>
      <c r="E112" s="7" t="s">
        <v>217</v>
      </c>
      <c r="F112" s="8">
        <v>4</v>
      </c>
      <c r="G112" s="8">
        <v>21.42</v>
      </c>
      <c r="H112" s="7" t="s">
        <v>26</v>
      </c>
      <c r="I112" s="8">
        <f t="shared" si="2"/>
        <v>17.420000000000002</v>
      </c>
      <c r="J112" s="7" t="str">
        <f t="shared" si="3"/>
        <v>OK</v>
      </c>
    </row>
    <row r="113" spans="1:10" x14ac:dyDescent="0.3">
      <c r="A113" s="7">
        <v>14</v>
      </c>
      <c r="B113" s="7" t="s">
        <v>286</v>
      </c>
      <c r="C113" s="7">
        <v>611049</v>
      </c>
      <c r="D113" s="7" t="s">
        <v>251</v>
      </c>
      <c r="E113" s="7" t="s">
        <v>217</v>
      </c>
      <c r="F113" s="8">
        <v>16</v>
      </c>
      <c r="G113" s="8">
        <v>275.64</v>
      </c>
      <c r="H113" s="7" t="s">
        <v>26</v>
      </c>
      <c r="I113" s="8">
        <f t="shared" si="2"/>
        <v>259.64</v>
      </c>
      <c r="J113" s="7" t="str">
        <f t="shared" si="3"/>
        <v>OK</v>
      </c>
    </row>
    <row r="114" spans="1:10" x14ac:dyDescent="0.3">
      <c r="A114" s="7">
        <v>14</v>
      </c>
      <c r="B114" s="7" t="s">
        <v>286</v>
      </c>
      <c r="C114" s="7">
        <v>611052</v>
      </c>
      <c r="D114" s="7" t="s">
        <v>252</v>
      </c>
      <c r="E114" s="7" t="s">
        <v>217</v>
      </c>
      <c r="F114" s="8">
        <v>8</v>
      </c>
      <c r="G114" s="8">
        <v>9.64</v>
      </c>
      <c r="H114" s="7" t="s">
        <v>26</v>
      </c>
      <c r="I114" s="8">
        <f t="shared" si="2"/>
        <v>1.6400000000000006</v>
      </c>
      <c r="J114" s="7" t="str">
        <f t="shared" si="3"/>
        <v>OK</v>
      </c>
    </row>
    <row r="115" spans="1:10" x14ac:dyDescent="0.3">
      <c r="A115" s="7">
        <v>14</v>
      </c>
      <c r="B115" s="7" t="s">
        <v>286</v>
      </c>
      <c r="C115" s="7">
        <v>611053</v>
      </c>
      <c r="D115" s="7" t="s">
        <v>253</v>
      </c>
      <c r="E115" s="7" t="s">
        <v>217</v>
      </c>
      <c r="F115" s="8">
        <v>48</v>
      </c>
      <c r="G115" s="8">
        <v>466.93</v>
      </c>
      <c r="H115" s="7" t="s">
        <v>26</v>
      </c>
      <c r="I115" s="8">
        <f t="shared" si="2"/>
        <v>418.93</v>
      </c>
      <c r="J115" s="7" t="str">
        <f t="shared" si="3"/>
        <v>OK</v>
      </c>
    </row>
    <row r="116" spans="1:10" x14ac:dyDescent="0.3">
      <c r="A116" s="7">
        <v>14</v>
      </c>
      <c r="B116" s="7" t="s">
        <v>286</v>
      </c>
      <c r="C116" s="7">
        <v>621006</v>
      </c>
      <c r="D116" s="7" t="s">
        <v>288</v>
      </c>
      <c r="E116" s="7" t="s">
        <v>239</v>
      </c>
      <c r="F116" s="8">
        <v>4</v>
      </c>
      <c r="G116" s="8">
        <v>4.5599999999999996</v>
      </c>
      <c r="H116" s="7" t="s">
        <v>26</v>
      </c>
      <c r="I116" s="8">
        <f t="shared" si="2"/>
        <v>0.55999999999999961</v>
      </c>
      <c r="J116" s="7" t="str">
        <f t="shared" si="3"/>
        <v>OK</v>
      </c>
    </row>
    <row r="117" spans="1:10" x14ac:dyDescent="0.3">
      <c r="A117" s="7">
        <v>14</v>
      </c>
      <c r="B117" s="7" t="s">
        <v>286</v>
      </c>
      <c r="C117" s="7">
        <v>621008</v>
      </c>
      <c r="D117" s="7" t="s">
        <v>289</v>
      </c>
      <c r="E117" s="7" t="s">
        <v>239</v>
      </c>
      <c r="F117" s="8">
        <v>4</v>
      </c>
      <c r="G117" s="8">
        <v>6.84</v>
      </c>
      <c r="H117" s="7" t="s">
        <v>26</v>
      </c>
      <c r="I117" s="8">
        <f t="shared" si="2"/>
        <v>2.84</v>
      </c>
      <c r="J117" s="7" t="str">
        <f t="shared" si="3"/>
        <v>OK</v>
      </c>
    </row>
    <row r="118" spans="1:10" x14ac:dyDescent="0.3">
      <c r="A118" s="7">
        <v>14</v>
      </c>
      <c r="B118" s="7" t="s">
        <v>286</v>
      </c>
      <c r="C118" s="7">
        <v>621045</v>
      </c>
      <c r="D118" s="7" t="s">
        <v>238</v>
      </c>
      <c r="E118" s="7" t="s">
        <v>239</v>
      </c>
      <c r="F118" s="8">
        <v>4</v>
      </c>
      <c r="G118" s="8">
        <v>213.08</v>
      </c>
      <c r="H118" s="7" t="s">
        <v>26</v>
      </c>
      <c r="I118" s="8">
        <f t="shared" si="2"/>
        <v>209.08</v>
      </c>
      <c r="J118" s="7" t="str">
        <f t="shared" si="3"/>
        <v>OK</v>
      </c>
    </row>
    <row r="119" spans="1:10" x14ac:dyDescent="0.3">
      <c r="A119" s="7">
        <v>14</v>
      </c>
      <c r="B119" s="7" t="s">
        <v>286</v>
      </c>
      <c r="C119" s="7">
        <v>800088</v>
      </c>
      <c r="D119" s="7" t="s">
        <v>240</v>
      </c>
      <c r="E119" s="7" t="s">
        <v>215</v>
      </c>
      <c r="F119" s="8">
        <v>5.33</v>
      </c>
      <c r="G119" s="8">
        <v>174.54</v>
      </c>
      <c r="H119" s="7" t="s">
        <v>26</v>
      </c>
      <c r="I119" s="8">
        <f t="shared" si="2"/>
        <v>169.20999999999998</v>
      </c>
      <c r="J119" s="7" t="str">
        <f t="shared" si="3"/>
        <v>OK</v>
      </c>
    </row>
    <row r="120" spans="1:10" x14ac:dyDescent="0.3">
      <c r="A120" s="7">
        <v>14</v>
      </c>
      <c r="B120" s="7" t="s">
        <v>286</v>
      </c>
      <c r="C120" s="7">
        <v>800089</v>
      </c>
      <c r="D120" s="7" t="s">
        <v>241</v>
      </c>
      <c r="E120" s="7" t="s">
        <v>215</v>
      </c>
      <c r="F120" s="8">
        <v>5.33</v>
      </c>
      <c r="G120" s="8">
        <v>178.69</v>
      </c>
      <c r="H120" s="7" t="s">
        <v>26</v>
      </c>
      <c r="I120" s="8">
        <f t="shared" si="2"/>
        <v>173.35999999999999</v>
      </c>
      <c r="J120" s="7" t="str">
        <f t="shared" si="3"/>
        <v>OK</v>
      </c>
    </row>
    <row r="121" spans="1:10" x14ac:dyDescent="0.3">
      <c r="A121" s="7">
        <v>14</v>
      </c>
      <c r="B121" s="7" t="s">
        <v>286</v>
      </c>
      <c r="C121" s="7">
        <v>925050</v>
      </c>
      <c r="D121" s="7" t="s">
        <v>261</v>
      </c>
      <c r="E121" s="7" t="s">
        <v>220</v>
      </c>
      <c r="F121" s="8">
        <v>8</v>
      </c>
      <c r="G121" s="8">
        <v>55.35</v>
      </c>
      <c r="H121" s="7" t="s">
        <v>26</v>
      </c>
      <c r="I121" s="8">
        <f t="shared" si="2"/>
        <v>47.35</v>
      </c>
      <c r="J121" s="7" t="str">
        <f t="shared" si="3"/>
        <v>OK</v>
      </c>
    </row>
    <row r="122" spans="1:10" x14ac:dyDescent="0.3">
      <c r="A122" s="7">
        <v>14</v>
      </c>
      <c r="B122" s="7" t="s">
        <v>286</v>
      </c>
      <c r="C122" s="7">
        <v>925059</v>
      </c>
      <c r="D122" s="7" t="s">
        <v>262</v>
      </c>
      <c r="E122" s="7" t="s">
        <v>220</v>
      </c>
      <c r="F122" s="8">
        <v>0.67</v>
      </c>
      <c r="G122" s="8">
        <v>0</v>
      </c>
      <c r="H122" s="7" t="s">
        <v>26</v>
      </c>
      <c r="I122" s="8">
        <f t="shared" si="2"/>
        <v>0</v>
      </c>
      <c r="J122" s="7" t="str">
        <f t="shared" si="3"/>
        <v>Queda en 0</v>
      </c>
    </row>
    <row r="123" spans="1:10" x14ac:dyDescent="0.3">
      <c r="A123" s="7">
        <v>14</v>
      </c>
      <c r="B123" s="7" t="s">
        <v>286</v>
      </c>
      <c r="C123" s="7">
        <v>925064</v>
      </c>
      <c r="D123" s="7" t="s">
        <v>263</v>
      </c>
      <c r="E123" s="7" t="s">
        <v>220</v>
      </c>
      <c r="F123" s="8">
        <v>16.670000000000002</v>
      </c>
      <c r="G123" s="8">
        <v>288.01</v>
      </c>
      <c r="H123" s="7" t="s">
        <v>26</v>
      </c>
      <c r="I123" s="8">
        <f t="shared" si="2"/>
        <v>271.33999999999997</v>
      </c>
      <c r="J123" s="7" t="str">
        <f t="shared" si="3"/>
        <v>OK</v>
      </c>
    </row>
    <row r="124" spans="1:10" x14ac:dyDescent="0.3">
      <c r="A124" s="7">
        <v>14</v>
      </c>
      <c r="B124" s="7" t="s">
        <v>286</v>
      </c>
      <c r="C124" s="7">
        <v>925079</v>
      </c>
      <c r="D124" s="7" t="s">
        <v>279</v>
      </c>
      <c r="E124" s="7" t="s">
        <v>220</v>
      </c>
      <c r="F124" s="8">
        <v>16</v>
      </c>
      <c r="G124" s="8">
        <v>66.59</v>
      </c>
      <c r="H124" s="7" t="s">
        <v>26</v>
      </c>
      <c r="I124" s="8">
        <f t="shared" si="2"/>
        <v>50.59</v>
      </c>
      <c r="J124" s="7" t="str">
        <f t="shared" si="3"/>
        <v>OK</v>
      </c>
    </row>
    <row r="125" spans="1:10" x14ac:dyDescent="0.3">
      <c r="A125" s="7">
        <v>14</v>
      </c>
      <c r="B125" s="7" t="s">
        <v>286</v>
      </c>
      <c r="C125" s="7">
        <v>925105</v>
      </c>
      <c r="D125" s="7" t="s">
        <v>290</v>
      </c>
      <c r="E125" s="7" t="s">
        <v>220</v>
      </c>
      <c r="F125" s="8">
        <v>1.33</v>
      </c>
      <c r="G125" s="8">
        <v>0</v>
      </c>
      <c r="H125" s="7" t="s">
        <v>26</v>
      </c>
      <c r="I125" s="8">
        <f t="shared" si="2"/>
        <v>0</v>
      </c>
      <c r="J125" s="7" t="str">
        <f t="shared" si="3"/>
        <v>Queda en 0</v>
      </c>
    </row>
    <row r="126" spans="1:10" x14ac:dyDescent="0.3">
      <c r="A126" s="7">
        <v>14</v>
      </c>
      <c r="B126" s="7" t="s">
        <v>286</v>
      </c>
      <c r="C126" s="7">
        <v>930012</v>
      </c>
      <c r="D126" s="7" t="s">
        <v>264</v>
      </c>
      <c r="E126" s="7" t="s">
        <v>243</v>
      </c>
      <c r="F126" s="8">
        <v>3.67</v>
      </c>
      <c r="G126" s="8">
        <v>187.73</v>
      </c>
      <c r="H126" s="7" t="s">
        <v>26</v>
      </c>
      <c r="I126" s="8">
        <f t="shared" si="2"/>
        <v>184.06</v>
      </c>
      <c r="J126" s="7" t="str">
        <f t="shared" si="3"/>
        <v>OK</v>
      </c>
    </row>
    <row r="127" spans="1:10" x14ac:dyDescent="0.3">
      <c r="A127" s="7">
        <v>14</v>
      </c>
      <c r="B127" s="7" t="s">
        <v>286</v>
      </c>
      <c r="C127" s="7">
        <v>930025</v>
      </c>
      <c r="D127" s="7" t="s">
        <v>244</v>
      </c>
      <c r="E127" s="7" t="s">
        <v>243</v>
      </c>
      <c r="F127" s="8">
        <v>0.33</v>
      </c>
      <c r="G127" s="8">
        <v>119.32</v>
      </c>
      <c r="H127" s="7" t="s">
        <v>26</v>
      </c>
      <c r="I127" s="8">
        <f t="shared" si="2"/>
        <v>118.99</v>
      </c>
      <c r="J127" s="7" t="str">
        <f t="shared" si="3"/>
        <v>OK</v>
      </c>
    </row>
    <row r="128" spans="1:10" x14ac:dyDescent="0.3">
      <c r="A128" s="7">
        <v>14</v>
      </c>
      <c r="B128" s="7" t="s">
        <v>286</v>
      </c>
      <c r="C128" s="7">
        <v>930154</v>
      </c>
      <c r="D128" s="7" t="s">
        <v>245</v>
      </c>
      <c r="E128" s="7" t="s">
        <v>243</v>
      </c>
      <c r="F128" s="8">
        <v>0.33</v>
      </c>
      <c r="G128" s="8">
        <v>0</v>
      </c>
      <c r="H128" s="7" t="s">
        <v>26</v>
      </c>
      <c r="I128" s="8">
        <f t="shared" si="2"/>
        <v>0</v>
      </c>
      <c r="J128" s="7" t="str">
        <f t="shared" si="3"/>
        <v>Queda en 0</v>
      </c>
    </row>
    <row r="129" spans="1:10" x14ac:dyDescent="0.3">
      <c r="A129" s="7">
        <v>14</v>
      </c>
      <c r="B129" s="7" t="s">
        <v>286</v>
      </c>
      <c r="C129" s="7">
        <v>950102</v>
      </c>
      <c r="D129" s="7" t="s">
        <v>291</v>
      </c>
      <c r="E129" s="7" t="s">
        <v>284</v>
      </c>
      <c r="F129" s="8">
        <v>24</v>
      </c>
      <c r="G129" s="8">
        <v>61</v>
      </c>
      <c r="H129" s="7" t="s">
        <v>26</v>
      </c>
      <c r="I129" s="8">
        <f t="shared" si="2"/>
        <v>37</v>
      </c>
      <c r="J129" s="7" t="str">
        <f t="shared" si="3"/>
        <v>OK</v>
      </c>
    </row>
    <row r="130" spans="1:10" x14ac:dyDescent="0.3">
      <c r="A130" s="7">
        <v>14</v>
      </c>
      <c r="B130" s="7" t="s">
        <v>286</v>
      </c>
      <c r="C130" s="7">
        <v>982003</v>
      </c>
      <c r="D130" s="7" t="s">
        <v>269</v>
      </c>
      <c r="E130" s="7" t="s">
        <v>270</v>
      </c>
      <c r="F130" s="8">
        <v>8.33</v>
      </c>
      <c r="G130" s="8">
        <v>102.59</v>
      </c>
      <c r="H130" s="7" t="s">
        <v>26</v>
      </c>
      <c r="I130" s="8">
        <f t="shared" ref="I130:I193" si="4">MAX(0,G130-F130)</f>
        <v>94.26</v>
      </c>
      <c r="J130" s="7" t="str">
        <f t="shared" ref="J130:J193" si="5">IF(H130="No","Sin fila previa",IF(G130&lt;F130,"Queda en 0","OK"))</f>
        <v>OK</v>
      </c>
    </row>
    <row r="131" spans="1:10" x14ac:dyDescent="0.3">
      <c r="A131" s="7">
        <v>18</v>
      </c>
      <c r="B131" s="7" t="s">
        <v>292</v>
      </c>
      <c r="C131" s="7">
        <v>101028</v>
      </c>
      <c r="D131" s="7" t="s">
        <v>214</v>
      </c>
      <c r="E131" s="7" t="s">
        <v>215</v>
      </c>
      <c r="F131" s="8">
        <v>12</v>
      </c>
      <c r="G131" s="8">
        <v>15.4</v>
      </c>
      <c r="H131" s="7" t="s">
        <v>26</v>
      </c>
      <c r="I131" s="8">
        <f t="shared" si="4"/>
        <v>3.4000000000000004</v>
      </c>
      <c r="J131" s="7" t="str">
        <f t="shared" si="5"/>
        <v>OK</v>
      </c>
    </row>
    <row r="132" spans="1:10" x14ac:dyDescent="0.3">
      <c r="A132" s="7">
        <v>18</v>
      </c>
      <c r="B132" s="7" t="s">
        <v>292</v>
      </c>
      <c r="C132" s="7">
        <v>101038</v>
      </c>
      <c r="D132" s="7" t="s">
        <v>235</v>
      </c>
      <c r="E132" s="7" t="s">
        <v>215</v>
      </c>
      <c r="F132" s="8">
        <v>25.67</v>
      </c>
      <c r="G132" s="8">
        <v>346.28</v>
      </c>
      <c r="H132" s="7" t="s">
        <v>26</v>
      </c>
      <c r="I132" s="8">
        <f t="shared" si="4"/>
        <v>320.60999999999996</v>
      </c>
      <c r="J132" s="7" t="str">
        <f t="shared" si="5"/>
        <v>OK</v>
      </c>
    </row>
    <row r="133" spans="1:10" x14ac:dyDescent="0.3">
      <c r="A133" s="7">
        <v>18</v>
      </c>
      <c r="B133" s="7" t="s">
        <v>292</v>
      </c>
      <c r="C133" s="7">
        <v>101130</v>
      </c>
      <c r="D133" s="7" t="s">
        <v>247</v>
      </c>
      <c r="E133" s="7" t="s">
        <v>215</v>
      </c>
      <c r="F133" s="8">
        <v>5.33</v>
      </c>
      <c r="G133" s="8">
        <v>0</v>
      </c>
      <c r="H133" s="7" t="s">
        <v>26</v>
      </c>
      <c r="I133" s="8">
        <f t="shared" si="4"/>
        <v>0</v>
      </c>
      <c r="J133" s="7" t="str">
        <f t="shared" si="5"/>
        <v>Queda en 0</v>
      </c>
    </row>
    <row r="134" spans="1:10" x14ac:dyDescent="0.3">
      <c r="A134" s="7">
        <v>18</v>
      </c>
      <c r="B134" s="7" t="s">
        <v>292</v>
      </c>
      <c r="C134" s="7">
        <v>103001</v>
      </c>
      <c r="D134" s="7" t="s">
        <v>248</v>
      </c>
      <c r="E134" s="7" t="s">
        <v>215</v>
      </c>
      <c r="F134" s="8">
        <v>56</v>
      </c>
      <c r="G134" s="8">
        <v>2292.44</v>
      </c>
      <c r="H134" s="7" t="s">
        <v>26</v>
      </c>
      <c r="I134" s="8">
        <f t="shared" si="4"/>
        <v>2236.44</v>
      </c>
      <c r="J134" s="7" t="str">
        <f t="shared" si="5"/>
        <v>OK</v>
      </c>
    </row>
    <row r="135" spans="1:10" x14ac:dyDescent="0.3">
      <c r="A135" s="7">
        <v>18</v>
      </c>
      <c r="B135" s="7" t="s">
        <v>292</v>
      </c>
      <c r="C135" s="7">
        <v>201001</v>
      </c>
      <c r="D135" s="7" t="s">
        <v>216</v>
      </c>
      <c r="E135" s="7" t="s">
        <v>217</v>
      </c>
      <c r="F135" s="8">
        <v>180.33</v>
      </c>
      <c r="G135" s="8">
        <v>501.77</v>
      </c>
      <c r="H135" s="7" t="s">
        <v>26</v>
      </c>
      <c r="I135" s="8">
        <f t="shared" si="4"/>
        <v>321.43999999999994</v>
      </c>
      <c r="J135" s="7" t="str">
        <f t="shared" si="5"/>
        <v>OK</v>
      </c>
    </row>
    <row r="136" spans="1:10" x14ac:dyDescent="0.3">
      <c r="A136" s="7">
        <v>18</v>
      </c>
      <c r="B136" s="7" t="s">
        <v>292</v>
      </c>
      <c r="C136" s="7">
        <v>501000</v>
      </c>
      <c r="D136" s="7" t="s">
        <v>237</v>
      </c>
      <c r="E136" s="7" t="s">
        <v>217</v>
      </c>
      <c r="F136" s="8">
        <v>40</v>
      </c>
      <c r="G136" s="8">
        <v>478.57</v>
      </c>
      <c r="H136" s="7" t="s">
        <v>26</v>
      </c>
      <c r="I136" s="8">
        <f t="shared" si="4"/>
        <v>438.57</v>
      </c>
      <c r="J136" s="7" t="str">
        <f t="shared" si="5"/>
        <v>OK</v>
      </c>
    </row>
    <row r="137" spans="1:10" x14ac:dyDescent="0.3">
      <c r="A137" s="7">
        <v>18</v>
      </c>
      <c r="B137" s="7" t="s">
        <v>292</v>
      </c>
      <c r="C137" s="7">
        <v>611053</v>
      </c>
      <c r="D137" s="7" t="s">
        <v>253</v>
      </c>
      <c r="E137" s="7" t="s">
        <v>217</v>
      </c>
      <c r="F137" s="8">
        <v>4</v>
      </c>
      <c r="G137" s="8">
        <v>606.77</v>
      </c>
      <c r="H137" s="7" t="s">
        <v>26</v>
      </c>
      <c r="I137" s="8">
        <f t="shared" si="4"/>
        <v>602.77</v>
      </c>
      <c r="J137" s="7" t="str">
        <f t="shared" si="5"/>
        <v>OK</v>
      </c>
    </row>
    <row r="138" spans="1:10" x14ac:dyDescent="0.3">
      <c r="A138" s="7">
        <v>18</v>
      </c>
      <c r="B138" s="7" t="s">
        <v>292</v>
      </c>
      <c r="C138" s="7">
        <v>611055</v>
      </c>
      <c r="D138" s="7" t="s">
        <v>254</v>
      </c>
      <c r="E138" s="7" t="s">
        <v>217</v>
      </c>
      <c r="F138" s="8">
        <v>6.67</v>
      </c>
      <c r="G138" s="8">
        <v>72.040000000000006</v>
      </c>
      <c r="H138" s="7" t="s">
        <v>26</v>
      </c>
      <c r="I138" s="8">
        <f t="shared" si="4"/>
        <v>65.37</v>
      </c>
      <c r="J138" s="7" t="str">
        <f t="shared" si="5"/>
        <v>OK</v>
      </c>
    </row>
    <row r="139" spans="1:10" x14ac:dyDescent="0.3">
      <c r="A139" s="7">
        <v>18</v>
      </c>
      <c r="B139" s="7" t="s">
        <v>292</v>
      </c>
      <c r="C139" s="7">
        <v>611221</v>
      </c>
      <c r="D139" s="7" t="s">
        <v>293</v>
      </c>
      <c r="E139" s="7" t="s">
        <v>294</v>
      </c>
      <c r="F139" s="8">
        <v>0.67</v>
      </c>
      <c r="G139" s="8">
        <v>46.82</v>
      </c>
      <c r="H139" s="7" t="s">
        <v>26</v>
      </c>
      <c r="I139" s="8">
        <f t="shared" si="4"/>
        <v>46.15</v>
      </c>
      <c r="J139" s="7" t="str">
        <f t="shared" si="5"/>
        <v>OK</v>
      </c>
    </row>
    <row r="140" spans="1:10" x14ac:dyDescent="0.3">
      <c r="A140" s="7">
        <v>18</v>
      </c>
      <c r="B140" s="7" t="s">
        <v>292</v>
      </c>
      <c r="C140" s="7">
        <v>800088</v>
      </c>
      <c r="D140" s="7" t="s">
        <v>240</v>
      </c>
      <c r="E140" s="7" t="s">
        <v>215</v>
      </c>
      <c r="F140" s="8">
        <v>25.67</v>
      </c>
      <c r="G140" s="8">
        <v>192.1</v>
      </c>
      <c r="H140" s="7" t="s">
        <v>26</v>
      </c>
      <c r="I140" s="8">
        <f t="shared" si="4"/>
        <v>166.43</v>
      </c>
      <c r="J140" s="7" t="str">
        <f t="shared" si="5"/>
        <v>OK</v>
      </c>
    </row>
    <row r="141" spans="1:10" x14ac:dyDescent="0.3">
      <c r="A141" s="7">
        <v>18</v>
      </c>
      <c r="B141" s="7" t="s">
        <v>292</v>
      </c>
      <c r="C141" s="7">
        <v>800089</v>
      </c>
      <c r="D141" s="7" t="s">
        <v>241</v>
      </c>
      <c r="E141" s="7" t="s">
        <v>215</v>
      </c>
      <c r="F141" s="8">
        <v>7.67</v>
      </c>
      <c r="G141" s="8">
        <v>171.96</v>
      </c>
      <c r="H141" s="7" t="s">
        <v>26</v>
      </c>
      <c r="I141" s="8">
        <f t="shared" si="4"/>
        <v>164.29000000000002</v>
      </c>
      <c r="J141" s="7" t="str">
        <f t="shared" si="5"/>
        <v>OK</v>
      </c>
    </row>
    <row r="142" spans="1:10" x14ac:dyDescent="0.3">
      <c r="A142" s="7">
        <v>18</v>
      </c>
      <c r="B142" s="7" t="s">
        <v>292</v>
      </c>
      <c r="C142" s="7">
        <v>800791</v>
      </c>
      <c r="D142" s="7" t="s">
        <v>259</v>
      </c>
      <c r="E142" s="7" t="s">
        <v>243</v>
      </c>
      <c r="F142" s="8">
        <v>1.67</v>
      </c>
      <c r="G142" s="8">
        <v>260.62</v>
      </c>
      <c r="H142" s="7" t="s">
        <v>26</v>
      </c>
      <c r="I142" s="8">
        <f t="shared" si="4"/>
        <v>258.95</v>
      </c>
      <c r="J142" s="7" t="str">
        <f t="shared" si="5"/>
        <v>OK</v>
      </c>
    </row>
    <row r="143" spans="1:10" x14ac:dyDescent="0.3">
      <c r="A143" s="7">
        <v>18</v>
      </c>
      <c r="B143" s="7" t="s">
        <v>292</v>
      </c>
      <c r="C143" s="7">
        <v>800793</v>
      </c>
      <c r="D143" s="7" t="s">
        <v>260</v>
      </c>
      <c r="E143" s="7" t="s">
        <v>243</v>
      </c>
      <c r="F143" s="8">
        <v>0.67</v>
      </c>
      <c r="G143" s="8">
        <v>68.849999999999994</v>
      </c>
      <c r="H143" s="7" t="s">
        <v>26</v>
      </c>
      <c r="I143" s="8">
        <f t="shared" si="4"/>
        <v>68.179999999999993</v>
      </c>
      <c r="J143" s="7" t="str">
        <f t="shared" si="5"/>
        <v>OK</v>
      </c>
    </row>
    <row r="144" spans="1:10" x14ac:dyDescent="0.3">
      <c r="A144" s="7">
        <v>18</v>
      </c>
      <c r="B144" s="7" t="s">
        <v>292</v>
      </c>
      <c r="C144" s="7">
        <v>910103</v>
      </c>
      <c r="D144" s="7" t="s">
        <v>295</v>
      </c>
      <c r="E144" s="7" t="s">
        <v>296</v>
      </c>
      <c r="F144" s="8">
        <v>4</v>
      </c>
      <c r="G144" s="8">
        <v>88.17</v>
      </c>
      <c r="H144" s="7" t="s">
        <v>26</v>
      </c>
      <c r="I144" s="8">
        <f t="shared" si="4"/>
        <v>84.17</v>
      </c>
      <c r="J144" s="7" t="str">
        <f t="shared" si="5"/>
        <v>OK</v>
      </c>
    </row>
    <row r="145" spans="1:10" x14ac:dyDescent="0.3">
      <c r="A145" s="7">
        <v>18</v>
      </c>
      <c r="B145" s="7" t="s">
        <v>292</v>
      </c>
      <c r="C145" s="7">
        <v>910105</v>
      </c>
      <c r="D145" s="7" t="s">
        <v>297</v>
      </c>
      <c r="E145" s="7" t="s">
        <v>296</v>
      </c>
      <c r="F145" s="8">
        <v>4</v>
      </c>
      <c r="G145" s="8">
        <v>17.010000000000002</v>
      </c>
      <c r="H145" s="7" t="s">
        <v>26</v>
      </c>
      <c r="I145" s="8">
        <f t="shared" si="4"/>
        <v>13.010000000000002</v>
      </c>
      <c r="J145" s="7" t="str">
        <f t="shared" si="5"/>
        <v>OK</v>
      </c>
    </row>
    <row r="146" spans="1:10" x14ac:dyDescent="0.3">
      <c r="A146" s="7">
        <v>18</v>
      </c>
      <c r="B146" s="7" t="s">
        <v>292</v>
      </c>
      <c r="C146" s="7">
        <v>925050</v>
      </c>
      <c r="D146" s="7" t="s">
        <v>261</v>
      </c>
      <c r="E146" s="7" t="s">
        <v>220</v>
      </c>
      <c r="F146" s="8">
        <v>8</v>
      </c>
      <c r="G146" s="8">
        <v>178.02</v>
      </c>
      <c r="H146" s="7" t="s">
        <v>26</v>
      </c>
      <c r="I146" s="8">
        <f t="shared" si="4"/>
        <v>170.02</v>
      </c>
      <c r="J146" s="7" t="str">
        <f t="shared" si="5"/>
        <v>OK</v>
      </c>
    </row>
    <row r="147" spans="1:10" x14ac:dyDescent="0.3">
      <c r="A147" s="7">
        <v>18</v>
      </c>
      <c r="B147" s="7" t="s">
        <v>292</v>
      </c>
      <c r="C147" s="7">
        <v>925079</v>
      </c>
      <c r="D147" s="7" t="s">
        <v>279</v>
      </c>
      <c r="E147" s="7" t="s">
        <v>220</v>
      </c>
      <c r="F147" s="8">
        <v>16</v>
      </c>
      <c r="G147" s="8">
        <v>169.73</v>
      </c>
      <c r="H147" s="7" t="s">
        <v>26</v>
      </c>
      <c r="I147" s="8">
        <f t="shared" si="4"/>
        <v>153.72999999999999</v>
      </c>
      <c r="J147" s="7" t="str">
        <f t="shared" si="5"/>
        <v>OK</v>
      </c>
    </row>
    <row r="148" spans="1:10" x14ac:dyDescent="0.3">
      <c r="A148" s="7">
        <v>18</v>
      </c>
      <c r="B148" s="7" t="s">
        <v>292</v>
      </c>
      <c r="C148" s="7">
        <v>925094</v>
      </c>
      <c r="D148" s="7" t="s">
        <v>298</v>
      </c>
      <c r="E148" s="7" t="s">
        <v>220</v>
      </c>
      <c r="F148" s="8">
        <v>24</v>
      </c>
      <c r="G148" s="8">
        <v>84.18</v>
      </c>
      <c r="H148" s="7" t="s">
        <v>26</v>
      </c>
      <c r="I148" s="8">
        <f t="shared" si="4"/>
        <v>60.180000000000007</v>
      </c>
      <c r="J148" s="7" t="str">
        <f t="shared" si="5"/>
        <v>OK</v>
      </c>
    </row>
    <row r="149" spans="1:10" x14ac:dyDescent="0.3">
      <c r="A149" s="7">
        <v>18</v>
      </c>
      <c r="B149" s="7" t="s">
        <v>292</v>
      </c>
      <c r="C149" s="7">
        <v>925095</v>
      </c>
      <c r="D149" s="7" t="s">
        <v>280</v>
      </c>
      <c r="E149" s="7" t="s">
        <v>220</v>
      </c>
      <c r="F149" s="8">
        <v>8</v>
      </c>
      <c r="G149" s="8">
        <v>200.09</v>
      </c>
      <c r="H149" s="7" t="s">
        <v>26</v>
      </c>
      <c r="I149" s="8">
        <f t="shared" si="4"/>
        <v>192.09</v>
      </c>
      <c r="J149" s="7" t="str">
        <f t="shared" si="5"/>
        <v>OK</v>
      </c>
    </row>
    <row r="150" spans="1:10" x14ac:dyDescent="0.3">
      <c r="A150" s="7">
        <v>18</v>
      </c>
      <c r="B150" s="7" t="s">
        <v>292</v>
      </c>
      <c r="C150" s="7">
        <v>930012</v>
      </c>
      <c r="D150" s="7" t="s">
        <v>264</v>
      </c>
      <c r="E150" s="7" t="s">
        <v>243</v>
      </c>
      <c r="F150" s="8">
        <v>16.329999999999998</v>
      </c>
      <c r="G150" s="8">
        <v>168.18</v>
      </c>
      <c r="H150" s="7" t="s">
        <v>26</v>
      </c>
      <c r="I150" s="8">
        <f t="shared" si="4"/>
        <v>151.85000000000002</v>
      </c>
      <c r="J150" s="7" t="str">
        <f t="shared" si="5"/>
        <v>OK</v>
      </c>
    </row>
    <row r="151" spans="1:10" x14ac:dyDescent="0.3">
      <c r="A151" s="7">
        <v>18</v>
      </c>
      <c r="B151" s="7" t="s">
        <v>292</v>
      </c>
      <c r="C151" s="7">
        <v>930020</v>
      </c>
      <c r="D151" s="7" t="s">
        <v>299</v>
      </c>
      <c r="E151" s="7" t="s">
        <v>243</v>
      </c>
      <c r="F151" s="8">
        <v>0.33</v>
      </c>
      <c r="G151" s="8">
        <v>34.299999999999997</v>
      </c>
      <c r="H151" s="7" t="s">
        <v>26</v>
      </c>
      <c r="I151" s="8">
        <f t="shared" si="4"/>
        <v>33.97</v>
      </c>
      <c r="J151" s="7" t="str">
        <f t="shared" si="5"/>
        <v>OK</v>
      </c>
    </row>
    <row r="152" spans="1:10" x14ac:dyDescent="0.3">
      <c r="A152" s="7">
        <v>18</v>
      </c>
      <c r="B152" s="7" t="s">
        <v>292</v>
      </c>
      <c r="C152" s="7">
        <v>930021</v>
      </c>
      <c r="D152" s="7" t="s">
        <v>300</v>
      </c>
      <c r="E152" s="7" t="s">
        <v>243</v>
      </c>
      <c r="F152" s="8">
        <v>11</v>
      </c>
      <c r="G152" s="8">
        <v>45.36</v>
      </c>
      <c r="H152" s="7" t="s">
        <v>26</v>
      </c>
      <c r="I152" s="8">
        <f t="shared" si="4"/>
        <v>34.36</v>
      </c>
      <c r="J152" s="7" t="str">
        <f t="shared" si="5"/>
        <v>OK</v>
      </c>
    </row>
    <row r="153" spans="1:10" x14ac:dyDescent="0.3">
      <c r="A153" s="7">
        <v>18</v>
      </c>
      <c r="B153" s="7" t="s">
        <v>292</v>
      </c>
      <c r="C153" s="7">
        <v>930022</v>
      </c>
      <c r="D153" s="7" t="s">
        <v>265</v>
      </c>
      <c r="E153" s="7" t="s">
        <v>243</v>
      </c>
      <c r="F153" s="8">
        <v>27</v>
      </c>
      <c r="G153" s="8">
        <v>53.11</v>
      </c>
      <c r="H153" s="7" t="s">
        <v>26</v>
      </c>
      <c r="I153" s="8">
        <f t="shared" si="4"/>
        <v>26.11</v>
      </c>
      <c r="J153" s="7" t="str">
        <f t="shared" si="5"/>
        <v>OK</v>
      </c>
    </row>
    <row r="154" spans="1:10" x14ac:dyDescent="0.3">
      <c r="A154" s="7">
        <v>18</v>
      </c>
      <c r="B154" s="7" t="s">
        <v>292</v>
      </c>
      <c r="C154" s="7">
        <v>930025</v>
      </c>
      <c r="D154" s="7" t="s">
        <v>244</v>
      </c>
      <c r="E154" s="7" t="s">
        <v>243</v>
      </c>
      <c r="F154" s="8">
        <v>13</v>
      </c>
      <c r="G154" s="8">
        <v>170.85</v>
      </c>
      <c r="H154" s="7" t="s">
        <v>26</v>
      </c>
      <c r="I154" s="8">
        <f t="shared" si="4"/>
        <v>157.85</v>
      </c>
      <c r="J154" s="7" t="str">
        <f t="shared" si="5"/>
        <v>OK</v>
      </c>
    </row>
    <row r="155" spans="1:10" x14ac:dyDescent="0.3">
      <c r="A155" s="7">
        <v>18</v>
      </c>
      <c r="B155" s="7" t="s">
        <v>292</v>
      </c>
      <c r="C155" s="7">
        <v>930026</v>
      </c>
      <c r="D155" s="7" t="s">
        <v>301</v>
      </c>
      <c r="E155" s="7" t="s">
        <v>243</v>
      </c>
      <c r="F155" s="8">
        <v>0.67</v>
      </c>
      <c r="G155" s="8">
        <v>70.53</v>
      </c>
      <c r="H155" s="7" t="s">
        <v>26</v>
      </c>
      <c r="I155" s="8">
        <f t="shared" si="4"/>
        <v>69.86</v>
      </c>
      <c r="J155" s="7" t="str">
        <f t="shared" si="5"/>
        <v>OK</v>
      </c>
    </row>
    <row r="156" spans="1:10" x14ac:dyDescent="0.3">
      <c r="A156" s="7">
        <v>18</v>
      </c>
      <c r="B156" s="7" t="s">
        <v>292</v>
      </c>
      <c r="C156" s="7">
        <v>930028</v>
      </c>
      <c r="D156" s="7" t="s">
        <v>302</v>
      </c>
      <c r="E156" s="7" t="s">
        <v>243</v>
      </c>
      <c r="F156" s="8">
        <v>0.33</v>
      </c>
      <c r="G156" s="8">
        <v>37.619999999999997</v>
      </c>
      <c r="H156" s="7" t="s">
        <v>26</v>
      </c>
      <c r="I156" s="8">
        <f t="shared" si="4"/>
        <v>37.29</v>
      </c>
      <c r="J156" s="7" t="str">
        <f t="shared" si="5"/>
        <v>OK</v>
      </c>
    </row>
    <row r="157" spans="1:10" x14ac:dyDescent="0.3">
      <c r="A157" s="7">
        <v>18</v>
      </c>
      <c r="B157" s="7" t="s">
        <v>292</v>
      </c>
      <c r="C157" s="7">
        <v>930113</v>
      </c>
      <c r="D157" s="7" t="s">
        <v>303</v>
      </c>
      <c r="E157" s="7" t="s">
        <v>243</v>
      </c>
      <c r="F157" s="8">
        <v>0.33</v>
      </c>
      <c r="G157" s="8">
        <v>8.19</v>
      </c>
      <c r="H157" s="7" t="s">
        <v>26</v>
      </c>
      <c r="I157" s="8">
        <f t="shared" si="4"/>
        <v>7.8599999999999994</v>
      </c>
      <c r="J157" s="7" t="str">
        <f t="shared" si="5"/>
        <v>OK</v>
      </c>
    </row>
    <row r="158" spans="1:10" x14ac:dyDescent="0.3">
      <c r="A158" s="7">
        <v>18</v>
      </c>
      <c r="B158" s="7" t="s">
        <v>292</v>
      </c>
      <c r="C158" s="7">
        <v>930121</v>
      </c>
      <c r="D158" s="7" t="s">
        <v>304</v>
      </c>
      <c r="E158" s="7" t="s">
        <v>243</v>
      </c>
      <c r="F158" s="8">
        <v>1</v>
      </c>
      <c r="G158" s="8">
        <v>18.809999999999999</v>
      </c>
      <c r="H158" s="7" t="s">
        <v>26</v>
      </c>
      <c r="I158" s="8">
        <f t="shared" si="4"/>
        <v>17.809999999999999</v>
      </c>
      <c r="J158" s="7" t="str">
        <f t="shared" si="5"/>
        <v>OK</v>
      </c>
    </row>
    <row r="159" spans="1:10" x14ac:dyDescent="0.3">
      <c r="A159" s="7">
        <v>18</v>
      </c>
      <c r="B159" s="7" t="s">
        <v>292</v>
      </c>
      <c r="C159" s="7">
        <v>930178</v>
      </c>
      <c r="D159" s="7" t="s">
        <v>267</v>
      </c>
      <c r="E159" s="7" t="s">
        <v>243</v>
      </c>
      <c r="F159" s="8">
        <v>0.33</v>
      </c>
      <c r="G159" s="8">
        <v>33.78</v>
      </c>
      <c r="H159" s="7" t="s">
        <v>26</v>
      </c>
      <c r="I159" s="8">
        <f t="shared" si="4"/>
        <v>33.450000000000003</v>
      </c>
      <c r="J159" s="7" t="str">
        <f t="shared" si="5"/>
        <v>OK</v>
      </c>
    </row>
    <row r="160" spans="1:10" x14ac:dyDescent="0.3">
      <c r="A160" s="7">
        <v>18</v>
      </c>
      <c r="B160" s="7" t="s">
        <v>292</v>
      </c>
      <c r="C160" s="7">
        <v>960105</v>
      </c>
      <c r="D160" s="7" t="s">
        <v>305</v>
      </c>
      <c r="E160" s="7" t="s">
        <v>306</v>
      </c>
      <c r="F160" s="8">
        <v>8.33</v>
      </c>
      <c r="G160" s="8">
        <v>9.7899999999999991</v>
      </c>
      <c r="H160" s="7" t="s">
        <v>26</v>
      </c>
      <c r="I160" s="8">
        <f t="shared" si="4"/>
        <v>1.4599999999999991</v>
      </c>
      <c r="J160" s="7" t="str">
        <f t="shared" si="5"/>
        <v>OK</v>
      </c>
    </row>
    <row r="161" spans="1:10" x14ac:dyDescent="0.3">
      <c r="A161" s="7">
        <v>43</v>
      </c>
      <c r="B161" s="7" t="s">
        <v>307</v>
      </c>
      <c r="C161" s="7">
        <v>101005</v>
      </c>
      <c r="D161" s="7" t="s">
        <v>232</v>
      </c>
      <c r="E161" s="7" t="s">
        <v>215</v>
      </c>
      <c r="F161" s="8">
        <v>68</v>
      </c>
      <c r="G161" s="8">
        <v>57.33</v>
      </c>
      <c r="H161" s="7" t="s">
        <v>26</v>
      </c>
      <c r="I161" s="8">
        <f t="shared" si="4"/>
        <v>0</v>
      </c>
      <c r="J161" s="7" t="str">
        <f t="shared" si="5"/>
        <v>Queda en 0</v>
      </c>
    </row>
    <row r="162" spans="1:10" x14ac:dyDescent="0.3">
      <c r="A162" s="7">
        <v>43</v>
      </c>
      <c r="B162" s="7" t="s">
        <v>307</v>
      </c>
      <c r="C162" s="7">
        <v>101026</v>
      </c>
      <c r="D162" s="7" t="s">
        <v>233</v>
      </c>
      <c r="E162" s="7" t="s">
        <v>215</v>
      </c>
      <c r="F162" s="8">
        <v>80</v>
      </c>
      <c r="G162" s="8">
        <v>174.44</v>
      </c>
      <c r="H162" s="7" t="s">
        <v>26</v>
      </c>
      <c r="I162" s="8">
        <f t="shared" si="4"/>
        <v>94.44</v>
      </c>
      <c r="J162" s="7" t="str">
        <f t="shared" si="5"/>
        <v>OK</v>
      </c>
    </row>
    <row r="163" spans="1:10" x14ac:dyDescent="0.3">
      <c r="A163" s="7">
        <v>43</v>
      </c>
      <c r="B163" s="7" t="s">
        <v>307</v>
      </c>
      <c r="C163" s="7">
        <v>101027</v>
      </c>
      <c r="D163" s="7" t="s">
        <v>234</v>
      </c>
      <c r="E163" s="7" t="s">
        <v>215</v>
      </c>
      <c r="F163" s="8">
        <v>58</v>
      </c>
      <c r="G163" s="8">
        <v>86.53</v>
      </c>
      <c r="H163" s="7" t="s">
        <v>26</v>
      </c>
      <c r="I163" s="8">
        <f t="shared" si="4"/>
        <v>28.53</v>
      </c>
      <c r="J163" s="7" t="str">
        <f t="shared" si="5"/>
        <v>OK</v>
      </c>
    </row>
    <row r="164" spans="1:10" x14ac:dyDescent="0.3">
      <c r="A164" s="7">
        <v>43</v>
      </c>
      <c r="B164" s="7" t="s">
        <v>307</v>
      </c>
      <c r="C164" s="7">
        <v>101028</v>
      </c>
      <c r="D164" s="7" t="s">
        <v>214</v>
      </c>
      <c r="E164" s="7" t="s">
        <v>215</v>
      </c>
      <c r="F164" s="8">
        <v>41</v>
      </c>
      <c r="G164" s="8">
        <v>152.19</v>
      </c>
      <c r="H164" s="7" t="s">
        <v>26</v>
      </c>
      <c r="I164" s="8">
        <f t="shared" si="4"/>
        <v>111.19</v>
      </c>
      <c r="J164" s="7" t="str">
        <f t="shared" si="5"/>
        <v>OK</v>
      </c>
    </row>
    <row r="165" spans="1:10" x14ac:dyDescent="0.3">
      <c r="A165" s="7">
        <v>43</v>
      </c>
      <c r="B165" s="7" t="s">
        <v>307</v>
      </c>
      <c r="C165" s="7">
        <v>101034</v>
      </c>
      <c r="D165" s="7" t="s">
        <v>272</v>
      </c>
      <c r="E165" s="7" t="s">
        <v>215</v>
      </c>
      <c r="F165" s="8">
        <v>3.33</v>
      </c>
      <c r="G165" s="8">
        <v>114.37</v>
      </c>
      <c r="H165" s="7" t="s">
        <v>26</v>
      </c>
      <c r="I165" s="8">
        <f t="shared" si="4"/>
        <v>111.04</v>
      </c>
      <c r="J165" s="7" t="str">
        <f t="shared" si="5"/>
        <v>OK</v>
      </c>
    </row>
    <row r="166" spans="1:10" x14ac:dyDescent="0.3">
      <c r="A166" s="7">
        <v>43</v>
      </c>
      <c r="B166" s="7" t="s">
        <v>307</v>
      </c>
      <c r="C166" s="7">
        <v>101038</v>
      </c>
      <c r="D166" s="7" t="s">
        <v>235</v>
      </c>
      <c r="E166" s="7" t="s">
        <v>215</v>
      </c>
      <c r="F166" s="8">
        <v>23.67</v>
      </c>
      <c r="G166" s="8">
        <v>384.64</v>
      </c>
      <c r="H166" s="7" t="s">
        <v>26</v>
      </c>
      <c r="I166" s="8">
        <f t="shared" si="4"/>
        <v>360.96999999999997</v>
      </c>
      <c r="J166" s="7" t="str">
        <f t="shared" si="5"/>
        <v>OK</v>
      </c>
    </row>
    <row r="167" spans="1:10" x14ac:dyDescent="0.3">
      <c r="A167" s="7">
        <v>43</v>
      </c>
      <c r="B167" s="7" t="s">
        <v>307</v>
      </c>
      <c r="C167" s="7">
        <v>101072</v>
      </c>
      <c r="D167" s="7" t="s">
        <v>273</v>
      </c>
      <c r="E167" s="7" t="s">
        <v>215</v>
      </c>
      <c r="F167" s="8">
        <v>2.67</v>
      </c>
      <c r="G167" s="8">
        <v>477.16</v>
      </c>
      <c r="H167" s="7" t="s">
        <v>26</v>
      </c>
      <c r="I167" s="8">
        <f t="shared" si="4"/>
        <v>474.49</v>
      </c>
      <c r="J167" s="7" t="str">
        <f t="shared" si="5"/>
        <v>OK</v>
      </c>
    </row>
    <row r="168" spans="1:10" x14ac:dyDescent="0.3">
      <c r="A168" s="7">
        <v>43</v>
      </c>
      <c r="B168" s="7" t="s">
        <v>307</v>
      </c>
      <c r="C168" s="7">
        <v>101130</v>
      </c>
      <c r="D168" s="7" t="s">
        <v>247</v>
      </c>
      <c r="E168" s="7" t="s">
        <v>215</v>
      </c>
      <c r="F168" s="8">
        <v>64</v>
      </c>
      <c r="G168" s="8">
        <v>0</v>
      </c>
      <c r="H168" s="7" t="s">
        <v>26</v>
      </c>
      <c r="I168" s="8">
        <f t="shared" si="4"/>
        <v>0</v>
      </c>
      <c r="J168" s="7" t="str">
        <f t="shared" si="5"/>
        <v>Queda en 0</v>
      </c>
    </row>
    <row r="169" spans="1:10" x14ac:dyDescent="0.3">
      <c r="A169" s="7">
        <v>43</v>
      </c>
      <c r="B169" s="7" t="s">
        <v>307</v>
      </c>
      <c r="C169" s="7">
        <v>101136</v>
      </c>
      <c r="D169" s="7" t="s">
        <v>308</v>
      </c>
      <c r="E169" s="7" t="s">
        <v>215</v>
      </c>
      <c r="F169" s="8">
        <v>0.33</v>
      </c>
      <c r="G169" s="8">
        <v>0</v>
      </c>
      <c r="H169" s="7" t="s">
        <v>75</v>
      </c>
      <c r="I169" s="8">
        <f t="shared" si="4"/>
        <v>0</v>
      </c>
      <c r="J169" s="7" t="str">
        <f t="shared" si="5"/>
        <v>Sin fila previa</v>
      </c>
    </row>
    <row r="170" spans="1:10" x14ac:dyDescent="0.3">
      <c r="A170" s="7">
        <v>43</v>
      </c>
      <c r="B170" s="7" t="s">
        <v>307</v>
      </c>
      <c r="C170" s="7">
        <v>101145</v>
      </c>
      <c r="D170" s="7" t="s">
        <v>275</v>
      </c>
      <c r="E170" s="7" t="s">
        <v>215</v>
      </c>
      <c r="F170" s="8">
        <v>10.67</v>
      </c>
      <c r="G170" s="8">
        <v>0</v>
      </c>
      <c r="H170" s="7" t="s">
        <v>26</v>
      </c>
      <c r="I170" s="8">
        <f t="shared" si="4"/>
        <v>0</v>
      </c>
      <c r="J170" s="7" t="str">
        <f t="shared" si="5"/>
        <v>Queda en 0</v>
      </c>
    </row>
    <row r="171" spans="1:10" x14ac:dyDescent="0.3">
      <c r="A171" s="7">
        <v>43</v>
      </c>
      <c r="B171" s="7" t="s">
        <v>307</v>
      </c>
      <c r="C171" s="7">
        <v>103001</v>
      </c>
      <c r="D171" s="7" t="s">
        <v>248</v>
      </c>
      <c r="E171" s="7" t="s">
        <v>215</v>
      </c>
      <c r="F171" s="8">
        <v>89.33</v>
      </c>
      <c r="G171" s="8">
        <v>2587.4</v>
      </c>
      <c r="H171" s="7" t="s">
        <v>26</v>
      </c>
      <c r="I171" s="8">
        <f t="shared" si="4"/>
        <v>2498.0700000000002</v>
      </c>
      <c r="J171" s="7" t="str">
        <f t="shared" si="5"/>
        <v>OK</v>
      </c>
    </row>
    <row r="172" spans="1:10" x14ac:dyDescent="0.3">
      <c r="A172" s="7">
        <v>43</v>
      </c>
      <c r="B172" s="7" t="s">
        <v>307</v>
      </c>
      <c r="C172" s="7">
        <v>201001</v>
      </c>
      <c r="D172" s="7" t="s">
        <v>216</v>
      </c>
      <c r="E172" s="7" t="s">
        <v>217</v>
      </c>
      <c r="F172" s="8">
        <v>135</v>
      </c>
      <c r="G172" s="8">
        <v>593.16999999999996</v>
      </c>
      <c r="H172" s="7" t="s">
        <v>26</v>
      </c>
      <c r="I172" s="8">
        <f t="shared" si="4"/>
        <v>458.16999999999996</v>
      </c>
      <c r="J172" s="7" t="str">
        <f t="shared" si="5"/>
        <v>OK</v>
      </c>
    </row>
    <row r="173" spans="1:10" x14ac:dyDescent="0.3">
      <c r="A173" s="7">
        <v>43</v>
      </c>
      <c r="B173" s="7" t="s">
        <v>307</v>
      </c>
      <c r="C173" s="7">
        <v>501000</v>
      </c>
      <c r="D173" s="7" t="s">
        <v>237</v>
      </c>
      <c r="E173" s="7" t="s">
        <v>217</v>
      </c>
      <c r="F173" s="8">
        <v>53.33</v>
      </c>
      <c r="G173" s="8">
        <v>300.93</v>
      </c>
      <c r="H173" s="7" t="s">
        <v>26</v>
      </c>
      <c r="I173" s="8">
        <f t="shared" si="4"/>
        <v>247.60000000000002</v>
      </c>
      <c r="J173" s="7" t="str">
        <f t="shared" si="5"/>
        <v>OK</v>
      </c>
    </row>
    <row r="174" spans="1:10" x14ac:dyDescent="0.3">
      <c r="A174" s="7">
        <v>43</v>
      </c>
      <c r="B174" s="7" t="s">
        <v>307</v>
      </c>
      <c r="C174" s="7">
        <v>611049</v>
      </c>
      <c r="D174" s="7" t="s">
        <v>251</v>
      </c>
      <c r="E174" s="7" t="s">
        <v>217</v>
      </c>
      <c r="F174" s="8">
        <v>4</v>
      </c>
      <c r="G174" s="8">
        <v>94.67</v>
      </c>
      <c r="H174" s="7" t="s">
        <v>26</v>
      </c>
      <c r="I174" s="8">
        <f t="shared" si="4"/>
        <v>90.67</v>
      </c>
      <c r="J174" s="7" t="str">
        <f t="shared" si="5"/>
        <v>OK</v>
      </c>
    </row>
    <row r="175" spans="1:10" x14ac:dyDescent="0.3">
      <c r="A175" s="7">
        <v>43</v>
      </c>
      <c r="B175" s="7" t="s">
        <v>307</v>
      </c>
      <c r="C175" s="7">
        <v>611053</v>
      </c>
      <c r="D175" s="7" t="s">
        <v>253</v>
      </c>
      <c r="E175" s="7" t="s">
        <v>217</v>
      </c>
      <c r="F175" s="8">
        <v>32</v>
      </c>
      <c r="G175" s="8">
        <v>703.61</v>
      </c>
      <c r="H175" s="7" t="s">
        <v>26</v>
      </c>
      <c r="I175" s="8">
        <f t="shared" si="4"/>
        <v>671.61</v>
      </c>
      <c r="J175" s="7" t="str">
        <f t="shared" si="5"/>
        <v>OK</v>
      </c>
    </row>
    <row r="176" spans="1:10" x14ac:dyDescent="0.3">
      <c r="A176" s="7">
        <v>43</v>
      </c>
      <c r="B176" s="7" t="s">
        <v>307</v>
      </c>
      <c r="C176" s="7">
        <v>611055</v>
      </c>
      <c r="D176" s="7" t="s">
        <v>254</v>
      </c>
      <c r="E176" s="7" t="s">
        <v>217</v>
      </c>
      <c r="F176" s="8">
        <v>8</v>
      </c>
      <c r="G176" s="8">
        <v>92.1</v>
      </c>
      <c r="H176" s="7" t="s">
        <v>26</v>
      </c>
      <c r="I176" s="8">
        <f t="shared" si="4"/>
        <v>84.1</v>
      </c>
      <c r="J176" s="7" t="str">
        <f t="shared" si="5"/>
        <v>OK</v>
      </c>
    </row>
    <row r="177" spans="1:10" x14ac:dyDescent="0.3">
      <c r="A177" s="7">
        <v>43</v>
      </c>
      <c r="B177" s="7" t="s">
        <v>307</v>
      </c>
      <c r="C177" s="7">
        <v>621043</v>
      </c>
      <c r="D177" s="7" t="s">
        <v>257</v>
      </c>
      <c r="E177" s="7" t="s">
        <v>239</v>
      </c>
      <c r="F177" s="8">
        <v>2</v>
      </c>
      <c r="G177" s="8">
        <v>0</v>
      </c>
      <c r="H177" s="7" t="s">
        <v>26</v>
      </c>
      <c r="I177" s="8">
        <f t="shared" si="4"/>
        <v>0</v>
      </c>
      <c r="J177" s="7" t="str">
        <f t="shared" si="5"/>
        <v>Queda en 0</v>
      </c>
    </row>
    <row r="178" spans="1:10" x14ac:dyDescent="0.3">
      <c r="A178" s="7">
        <v>43</v>
      </c>
      <c r="B178" s="7" t="s">
        <v>307</v>
      </c>
      <c r="C178" s="7">
        <v>621045</v>
      </c>
      <c r="D178" s="7" t="s">
        <v>238</v>
      </c>
      <c r="E178" s="7" t="s">
        <v>239</v>
      </c>
      <c r="F178" s="8">
        <v>12</v>
      </c>
      <c r="G178" s="8">
        <v>385.15</v>
      </c>
      <c r="H178" s="7" t="s">
        <v>26</v>
      </c>
      <c r="I178" s="8">
        <f t="shared" si="4"/>
        <v>373.15</v>
      </c>
      <c r="J178" s="7" t="str">
        <f t="shared" si="5"/>
        <v>OK</v>
      </c>
    </row>
    <row r="179" spans="1:10" x14ac:dyDescent="0.3">
      <c r="A179" s="7">
        <v>43</v>
      </c>
      <c r="B179" s="7" t="s">
        <v>307</v>
      </c>
      <c r="C179" s="7">
        <v>800088</v>
      </c>
      <c r="D179" s="7" t="s">
        <v>240</v>
      </c>
      <c r="E179" s="7" t="s">
        <v>215</v>
      </c>
      <c r="F179" s="8">
        <v>12.67</v>
      </c>
      <c r="G179" s="8">
        <v>208.48</v>
      </c>
      <c r="H179" s="7" t="s">
        <v>26</v>
      </c>
      <c r="I179" s="8">
        <f t="shared" si="4"/>
        <v>195.81</v>
      </c>
      <c r="J179" s="7" t="str">
        <f t="shared" si="5"/>
        <v>OK</v>
      </c>
    </row>
    <row r="180" spans="1:10" x14ac:dyDescent="0.3">
      <c r="A180" s="7">
        <v>43</v>
      </c>
      <c r="B180" s="7" t="s">
        <v>307</v>
      </c>
      <c r="C180" s="7">
        <v>800089</v>
      </c>
      <c r="D180" s="7" t="s">
        <v>241</v>
      </c>
      <c r="E180" s="7" t="s">
        <v>215</v>
      </c>
      <c r="F180" s="8">
        <v>15.67</v>
      </c>
      <c r="G180" s="8">
        <v>217.85</v>
      </c>
      <c r="H180" s="7" t="s">
        <v>26</v>
      </c>
      <c r="I180" s="8">
        <f t="shared" si="4"/>
        <v>202.18</v>
      </c>
      <c r="J180" s="7" t="str">
        <f t="shared" si="5"/>
        <v>OK</v>
      </c>
    </row>
    <row r="181" spans="1:10" x14ac:dyDescent="0.3">
      <c r="A181" s="7">
        <v>43</v>
      </c>
      <c r="B181" s="7" t="s">
        <v>307</v>
      </c>
      <c r="C181" s="7">
        <v>800792</v>
      </c>
      <c r="D181" s="7" t="s">
        <v>242</v>
      </c>
      <c r="E181" s="7" t="s">
        <v>243</v>
      </c>
      <c r="F181" s="8">
        <v>25</v>
      </c>
      <c r="G181" s="8">
        <v>320.25</v>
      </c>
      <c r="H181" s="7" t="s">
        <v>26</v>
      </c>
      <c r="I181" s="8">
        <f t="shared" si="4"/>
        <v>295.25</v>
      </c>
      <c r="J181" s="7" t="str">
        <f t="shared" si="5"/>
        <v>OK</v>
      </c>
    </row>
    <row r="182" spans="1:10" x14ac:dyDescent="0.3">
      <c r="A182" s="7">
        <v>43</v>
      </c>
      <c r="B182" s="7" t="s">
        <v>307</v>
      </c>
      <c r="C182" s="7">
        <v>800793</v>
      </c>
      <c r="D182" s="7" t="s">
        <v>260</v>
      </c>
      <c r="E182" s="7" t="s">
        <v>243</v>
      </c>
      <c r="F182" s="8">
        <v>4.67</v>
      </c>
      <c r="G182" s="8">
        <v>80.069999999999993</v>
      </c>
      <c r="H182" s="7" t="s">
        <v>26</v>
      </c>
      <c r="I182" s="8">
        <f t="shared" si="4"/>
        <v>75.399999999999991</v>
      </c>
      <c r="J182" s="7" t="str">
        <f t="shared" si="5"/>
        <v>OK</v>
      </c>
    </row>
    <row r="183" spans="1:10" x14ac:dyDescent="0.3">
      <c r="A183" s="7">
        <v>43</v>
      </c>
      <c r="B183" s="7" t="s">
        <v>307</v>
      </c>
      <c r="C183" s="7">
        <v>800796</v>
      </c>
      <c r="D183" s="7" t="s">
        <v>276</v>
      </c>
      <c r="E183" s="7" t="s">
        <v>243</v>
      </c>
      <c r="F183" s="8">
        <v>0.33</v>
      </c>
      <c r="G183" s="8">
        <v>32.549999999999997</v>
      </c>
      <c r="H183" s="7" t="s">
        <v>26</v>
      </c>
      <c r="I183" s="8">
        <f t="shared" si="4"/>
        <v>32.22</v>
      </c>
      <c r="J183" s="7" t="str">
        <f t="shared" si="5"/>
        <v>OK</v>
      </c>
    </row>
    <row r="184" spans="1:10" x14ac:dyDescent="0.3">
      <c r="A184" s="7">
        <v>43</v>
      </c>
      <c r="B184" s="7" t="s">
        <v>307</v>
      </c>
      <c r="C184" s="7">
        <v>910103</v>
      </c>
      <c r="D184" s="7" t="s">
        <v>295</v>
      </c>
      <c r="E184" s="7" t="s">
        <v>296</v>
      </c>
      <c r="F184" s="8">
        <v>4</v>
      </c>
      <c r="G184" s="8">
        <v>130.37</v>
      </c>
      <c r="H184" s="7" t="s">
        <v>26</v>
      </c>
      <c r="I184" s="8">
        <f t="shared" si="4"/>
        <v>126.37</v>
      </c>
      <c r="J184" s="7" t="str">
        <f t="shared" si="5"/>
        <v>OK</v>
      </c>
    </row>
    <row r="185" spans="1:10" x14ac:dyDescent="0.3">
      <c r="A185" s="7">
        <v>43</v>
      </c>
      <c r="B185" s="7" t="s">
        <v>307</v>
      </c>
      <c r="C185" s="7">
        <v>910104</v>
      </c>
      <c r="D185" s="7" t="s">
        <v>309</v>
      </c>
      <c r="E185" s="7" t="s">
        <v>296</v>
      </c>
      <c r="F185" s="8">
        <v>4</v>
      </c>
      <c r="G185" s="8">
        <v>27.99</v>
      </c>
      <c r="H185" s="7" t="s">
        <v>26</v>
      </c>
      <c r="I185" s="8">
        <f t="shared" si="4"/>
        <v>23.99</v>
      </c>
      <c r="J185" s="7" t="str">
        <f t="shared" si="5"/>
        <v>OK</v>
      </c>
    </row>
    <row r="186" spans="1:10" x14ac:dyDescent="0.3">
      <c r="A186" s="7">
        <v>43</v>
      </c>
      <c r="B186" s="7" t="s">
        <v>307</v>
      </c>
      <c r="C186" s="7">
        <v>924104</v>
      </c>
      <c r="D186" s="7" t="s">
        <v>277</v>
      </c>
      <c r="E186" s="7" t="s">
        <v>215</v>
      </c>
      <c r="F186" s="8">
        <v>1.33</v>
      </c>
      <c r="G186" s="8">
        <v>0</v>
      </c>
      <c r="H186" s="7" t="s">
        <v>26</v>
      </c>
      <c r="I186" s="8">
        <f t="shared" si="4"/>
        <v>0</v>
      </c>
      <c r="J186" s="7" t="str">
        <f t="shared" si="5"/>
        <v>Queda en 0</v>
      </c>
    </row>
    <row r="187" spans="1:10" x14ac:dyDescent="0.3">
      <c r="A187" s="7">
        <v>43</v>
      </c>
      <c r="B187" s="7" t="s">
        <v>307</v>
      </c>
      <c r="C187" s="7">
        <v>925050</v>
      </c>
      <c r="D187" s="7" t="s">
        <v>261</v>
      </c>
      <c r="E187" s="7" t="s">
        <v>220</v>
      </c>
      <c r="F187" s="8">
        <v>5</v>
      </c>
      <c r="G187" s="8">
        <v>79.42</v>
      </c>
      <c r="H187" s="7" t="s">
        <v>26</v>
      </c>
      <c r="I187" s="8">
        <f t="shared" si="4"/>
        <v>74.42</v>
      </c>
      <c r="J187" s="7" t="str">
        <f t="shared" si="5"/>
        <v>OK</v>
      </c>
    </row>
    <row r="188" spans="1:10" x14ac:dyDescent="0.3">
      <c r="A188" s="7">
        <v>43</v>
      </c>
      <c r="B188" s="7" t="s">
        <v>307</v>
      </c>
      <c r="C188" s="7">
        <v>925059</v>
      </c>
      <c r="D188" s="7" t="s">
        <v>262</v>
      </c>
      <c r="E188" s="7" t="s">
        <v>220</v>
      </c>
      <c r="F188" s="8">
        <v>0.33</v>
      </c>
      <c r="G188" s="8">
        <v>0</v>
      </c>
      <c r="H188" s="7" t="s">
        <v>26</v>
      </c>
      <c r="I188" s="8">
        <f t="shared" si="4"/>
        <v>0</v>
      </c>
      <c r="J188" s="7" t="str">
        <f t="shared" si="5"/>
        <v>Queda en 0</v>
      </c>
    </row>
    <row r="189" spans="1:10" x14ac:dyDescent="0.3">
      <c r="A189" s="7">
        <v>43</v>
      </c>
      <c r="B189" s="7" t="s">
        <v>307</v>
      </c>
      <c r="C189" s="7">
        <v>925076</v>
      </c>
      <c r="D189" s="7" t="s">
        <v>278</v>
      </c>
      <c r="E189" s="7" t="s">
        <v>220</v>
      </c>
      <c r="F189" s="8">
        <v>8.33</v>
      </c>
      <c r="G189" s="8">
        <v>28.88</v>
      </c>
      <c r="H189" s="7" t="s">
        <v>26</v>
      </c>
      <c r="I189" s="8">
        <f t="shared" si="4"/>
        <v>20.549999999999997</v>
      </c>
      <c r="J189" s="7" t="str">
        <f t="shared" si="5"/>
        <v>OK</v>
      </c>
    </row>
    <row r="190" spans="1:10" x14ac:dyDescent="0.3">
      <c r="A190" s="7">
        <v>43</v>
      </c>
      <c r="B190" s="7" t="s">
        <v>307</v>
      </c>
      <c r="C190" s="7">
        <v>925078</v>
      </c>
      <c r="D190" s="7" t="s">
        <v>221</v>
      </c>
      <c r="E190" s="7" t="s">
        <v>220</v>
      </c>
      <c r="F190" s="8">
        <v>9</v>
      </c>
      <c r="G190" s="8">
        <v>77.02</v>
      </c>
      <c r="H190" s="7" t="s">
        <v>26</v>
      </c>
      <c r="I190" s="8">
        <f t="shared" si="4"/>
        <v>68.02</v>
      </c>
      <c r="J190" s="7" t="str">
        <f t="shared" si="5"/>
        <v>OK</v>
      </c>
    </row>
    <row r="191" spans="1:10" x14ac:dyDescent="0.3">
      <c r="A191" s="7">
        <v>43</v>
      </c>
      <c r="B191" s="7" t="s">
        <v>307</v>
      </c>
      <c r="C191" s="7">
        <v>925079</v>
      </c>
      <c r="D191" s="7" t="s">
        <v>279</v>
      </c>
      <c r="E191" s="7" t="s">
        <v>220</v>
      </c>
      <c r="F191" s="8">
        <v>9</v>
      </c>
      <c r="G191" s="8">
        <v>183.71</v>
      </c>
      <c r="H191" s="7" t="s">
        <v>26</v>
      </c>
      <c r="I191" s="8">
        <f t="shared" si="4"/>
        <v>174.71</v>
      </c>
      <c r="J191" s="7" t="str">
        <f t="shared" si="5"/>
        <v>OK</v>
      </c>
    </row>
    <row r="192" spans="1:10" x14ac:dyDescent="0.3">
      <c r="A192" s="7">
        <v>43</v>
      </c>
      <c r="B192" s="7" t="s">
        <v>307</v>
      </c>
      <c r="C192" s="7">
        <v>930012</v>
      </c>
      <c r="D192" s="7" t="s">
        <v>264</v>
      </c>
      <c r="E192" s="7" t="s">
        <v>243</v>
      </c>
      <c r="F192" s="8">
        <v>6</v>
      </c>
      <c r="G192" s="8">
        <v>181.25</v>
      </c>
      <c r="H192" s="7" t="s">
        <v>26</v>
      </c>
      <c r="I192" s="8">
        <f t="shared" si="4"/>
        <v>175.25</v>
      </c>
      <c r="J192" s="7" t="str">
        <f t="shared" si="5"/>
        <v>OK</v>
      </c>
    </row>
    <row r="193" spans="1:10" x14ac:dyDescent="0.3">
      <c r="A193" s="7">
        <v>43</v>
      </c>
      <c r="B193" s="7" t="s">
        <v>307</v>
      </c>
      <c r="C193" s="7">
        <v>930025</v>
      </c>
      <c r="D193" s="7" t="s">
        <v>244</v>
      </c>
      <c r="E193" s="7" t="s">
        <v>243</v>
      </c>
      <c r="F193" s="8">
        <v>5.33</v>
      </c>
      <c r="G193" s="8">
        <v>279.79000000000002</v>
      </c>
      <c r="H193" s="7" t="s">
        <v>26</v>
      </c>
      <c r="I193" s="8">
        <f t="shared" si="4"/>
        <v>274.46000000000004</v>
      </c>
      <c r="J193" s="7" t="str">
        <f t="shared" si="5"/>
        <v>OK</v>
      </c>
    </row>
    <row r="194" spans="1:10" x14ac:dyDescent="0.3">
      <c r="A194" s="7">
        <v>43</v>
      </c>
      <c r="B194" s="7" t="s">
        <v>307</v>
      </c>
      <c r="C194" s="7">
        <v>930034</v>
      </c>
      <c r="D194" s="7" t="s">
        <v>266</v>
      </c>
      <c r="E194" s="7" t="s">
        <v>243</v>
      </c>
      <c r="F194" s="8">
        <v>4</v>
      </c>
      <c r="G194" s="8">
        <v>24.64</v>
      </c>
      <c r="H194" s="7" t="s">
        <v>26</v>
      </c>
      <c r="I194" s="8">
        <f t="shared" ref="I194:I257" si="6">MAX(0,G194-F194)</f>
        <v>20.64</v>
      </c>
      <c r="J194" s="7" t="str">
        <f t="shared" ref="J194:J257" si="7">IF(H194="No","Sin fila previa",IF(G194&lt;F194,"Queda en 0","OK"))</f>
        <v>OK</v>
      </c>
    </row>
    <row r="195" spans="1:10" x14ac:dyDescent="0.3">
      <c r="A195" s="7">
        <v>43</v>
      </c>
      <c r="B195" s="7" t="s">
        <v>307</v>
      </c>
      <c r="C195" s="7">
        <v>930112</v>
      </c>
      <c r="D195" s="7" t="s">
        <v>310</v>
      </c>
      <c r="E195" s="7" t="s">
        <v>243</v>
      </c>
      <c r="F195" s="8">
        <v>0.33</v>
      </c>
      <c r="G195" s="8">
        <v>21.99</v>
      </c>
      <c r="H195" s="7" t="s">
        <v>26</v>
      </c>
      <c r="I195" s="8">
        <f t="shared" si="6"/>
        <v>21.66</v>
      </c>
      <c r="J195" s="7" t="str">
        <f t="shared" si="7"/>
        <v>OK</v>
      </c>
    </row>
    <row r="196" spans="1:10" x14ac:dyDescent="0.3">
      <c r="A196" s="7">
        <v>43</v>
      </c>
      <c r="B196" s="7" t="s">
        <v>307</v>
      </c>
      <c r="C196" s="7">
        <v>930113</v>
      </c>
      <c r="D196" s="7" t="s">
        <v>303</v>
      </c>
      <c r="E196" s="7" t="s">
        <v>243</v>
      </c>
      <c r="F196" s="8">
        <v>0.33</v>
      </c>
      <c r="G196" s="8">
        <v>26.4</v>
      </c>
      <c r="H196" s="7" t="s">
        <v>26</v>
      </c>
      <c r="I196" s="8">
        <f t="shared" si="6"/>
        <v>26.07</v>
      </c>
      <c r="J196" s="7" t="str">
        <f t="shared" si="7"/>
        <v>OK</v>
      </c>
    </row>
    <row r="197" spans="1:10" x14ac:dyDescent="0.3">
      <c r="A197" s="7">
        <v>43</v>
      </c>
      <c r="B197" s="7" t="s">
        <v>307</v>
      </c>
      <c r="C197" s="7">
        <v>930137</v>
      </c>
      <c r="D197" s="7" t="s">
        <v>311</v>
      </c>
      <c r="E197" s="7" t="s">
        <v>243</v>
      </c>
      <c r="F197" s="8">
        <v>6.67</v>
      </c>
      <c r="G197" s="8">
        <v>139.01</v>
      </c>
      <c r="H197" s="7" t="s">
        <v>26</v>
      </c>
      <c r="I197" s="8">
        <f t="shared" si="6"/>
        <v>132.34</v>
      </c>
      <c r="J197" s="7" t="str">
        <f t="shared" si="7"/>
        <v>OK</v>
      </c>
    </row>
    <row r="198" spans="1:10" x14ac:dyDescent="0.3">
      <c r="A198" s="7">
        <v>43</v>
      </c>
      <c r="B198" s="7" t="s">
        <v>307</v>
      </c>
      <c r="C198" s="7">
        <v>930138</v>
      </c>
      <c r="D198" s="7" t="s">
        <v>312</v>
      </c>
      <c r="E198" s="7" t="s">
        <v>243</v>
      </c>
      <c r="F198" s="8">
        <v>5.33</v>
      </c>
      <c r="G198" s="8">
        <v>168.93</v>
      </c>
      <c r="H198" s="7" t="s">
        <v>26</v>
      </c>
      <c r="I198" s="8">
        <f t="shared" si="6"/>
        <v>163.6</v>
      </c>
      <c r="J198" s="7" t="str">
        <f t="shared" si="7"/>
        <v>OK</v>
      </c>
    </row>
    <row r="199" spans="1:10" x14ac:dyDescent="0.3">
      <c r="A199" s="7">
        <v>43</v>
      </c>
      <c r="B199" s="7" t="s">
        <v>307</v>
      </c>
      <c r="C199" s="7">
        <v>930139</v>
      </c>
      <c r="D199" s="7" t="s">
        <v>313</v>
      </c>
      <c r="E199" s="7" t="s">
        <v>243</v>
      </c>
      <c r="F199" s="8">
        <v>1.33</v>
      </c>
      <c r="G199" s="8">
        <v>134.61000000000001</v>
      </c>
      <c r="H199" s="7" t="s">
        <v>26</v>
      </c>
      <c r="I199" s="8">
        <f t="shared" si="6"/>
        <v>133.28</v>
      </c>
      <c r="J199" s="7" t="str">
        <f t="shared" si="7"/>
        <v>OK</v>
      </c>
    </row>
    <row r="200" spans="1:10" x14ac:dyDescent="0.3">
      <c r="A200" s="7">
        <v>43</v>
      </c>
      <c r="B200" s="7" t="s">
        <v>307</v>
      </c>
      <c r="C200" s="7">
        <v>930140</v>
      </c>
      <c r="D200" s="7" t="s">
        <v>314</v>
      </c>
      <c r="E200" s="7" t="s">
        <v>243</v>
      </c>
      <c r="F200" s="8">
        <v>9.33</v>
      </c>
      <c r="G200" s="8">
        <v>227.88</v>
      </c>
      <c r="H200" s="7" t="s">
        <v>26</v>
      </c>
      <c r="I200" s="8">
        <f t="shared" si="6"/>
        <v>218.54999999999998</v>
      </c>
      <c r="J200" s="7" t="str">
        <f t="shared" si="7"/>
        <v>OK</v>
      </c>
    </row>
    <row r="201" spans="1:10" x14ac:dyDescent="0.3">
      <c r="A201" s="7">
        <v>43</v>
      </c>
      <c r="B201" s="7" t="s">
        <v>307</v>
      </c>
      <c r="C201" s="7">
        <v>930144</v>
      </c>
      <c r="D201" s="7" t="s">
        <v>315</v>
      </c>
      <c r="E201" s="7" t="s">
        <v>243</v>
      </c>
      <c r="F201" s="8">
        <v>1.33</v>
      </c>
      <c r="G201" s="8">
        <v>124.94</v>
      </c>
      <c r="H201" s="7" t="s">
        <v>26</v>
      </c>
      <c r="I201" s="8">
        <f t="shared" si="6"/>
        <v>123.61</v>
      </c>
      <c r="J201" s="7" t="str">
        <f t="shared" si="7"/>
        <v>OK</v>
      </c>
    </row>
    <row r="202" spans="1:10" x14ac:dyDescent="0.3">
      <c r="A202" s="7">
        <v>43</v>
      </c>
      <c r="B202" s="7" t="s">
        <v>307</v>
      </c>
      <c r="C202" s="7">
        <v>930145</v>
      </c>
      <c r="D202" s="7" t="s">
        <v>316</v>
      </c>
      <c r="E202" s="7" t="s">
        <v>243</v>
      </c>
      <c r="F202" s="8">
        <v>7.33</v>
      </c>
      <c r="G202" s="8">
        <v>141.65</v>
      </c>
      <c r="H202" s="7" t="s">
        <v>26</v>
      </c>
      <c r="I202" s="8">
        <f t="shared" si="6"/>
        <v>134.32</v>
      </c>
      <c r="J202" s="7" t="str">
        <f t="shared" si="7"/>
        <v>OK</v>
      </c>
    </row>
    <row r="203" spans="1:10" x14ac:dyDescent="0.3">
      <c r="A203" s="7">
        <v>43</v>
      </c>
      <c r="B203" s="7" t="s">
        <v>307</v>
      </c>
      <c r="C203" s="7">
        <v>930153</v>
      </c>
      <c r="D203" s="7" t="s">
        <v>282</v>
      </c>
      <c r="E203" s="7" t="s">
        <v>243</v>
      </c>
      <c r="F203" s="8">
        <v>2</v>
      </c>
      <c r="G203" s="8">
        <v>48.39</v>
      </c>
      <c r="H203" s="7" t="s">
        <v>26</v>
      </c>
      <c r="I203" s="8">
        <f t="shared" si="6"/>
        <v>46.39</v>
      </c>
      <c r="J203" s="7" t="str">
        <f t="shared" si="7"/>
        <v>OK</v>
      </c>
    </row>
    <row r="204" spans="1:10" x14ac:dyDescent="0.3">
      <c r="A204" s="7">
        <v>43</v>
      </c>
      <c r="B204" s="7" t="s">
        <v>307</v>
      </c>
      <c r="C204" s="7">
        <v>930154</v>
      </c>
      <c r="D204" s="7" t="s">
        <v>245</v>
      </c>
      <c r="E204" s="7" t="s">
        <v>243</v>
      </c>
      <c r="F204" s="8">
        <v>1</v>
      </c>
      <c r="G204" s="8">
        <v>48.39</v>
      </c>
      <c r="H204" s="7" t="s">
        <v>26</v>
      </c>
      <c r="I204" s="8">
        <f t="shared" si="6"/>
        <v>47.39</v>
      </c>
      <c r="J204" s="7" t="str">
        <f t="shared" si="7"/>
        <v>OK</v>
      </c>
    </row>
    <row r="205" spans="1:10" x14ac:dyDescent="0.3">
      <c r="A205" s="7">
        <v>43</v>
      </c>
      <c r="B205" s="7" t="s">
        <v>307</v>
      </c>
      <c r="C205" s="7">
        <v>930177</v>
      </c>
      <c r="D205" s="7" t="s">
        <v>317</v>
      </c>
      <c r="E205" s="7" t="s">
        <v>243</v>
      </c>
      <c r="F205" s="8">
        <v>10.67</v>
      </c>
      <c r="G205" s="8">
        <v>263.95</v>
      </c>
      <c r="H205" s="7" t="s">
        <v>26</v>
      </c>
      <c r="I205" s="8">
        <f t="shared" si="6"/>
        <v>253.28</v>
      </c>
      <c r="J205" s="7" t="str">
        <f t="shared" si="7"/>
        <v>OK</v>
      </c>
    </row>
    <row r="206" spans="1:10" x14ac:dyDescent="0.3">
      <c r="A206" s="7">
        <v>43</v>
      </c>
      <c r="B206" s="7" t="s">
        <v>307</v>
      </c>
      <c r="C206" s="7">
        <v>930178</v>
      </c>
      <c r="D206" s="7" t="s">
        <v>267</v>
      </c>
      <c r="E206" s="7" t="s">
        <v>243</v>
      </c>
      <c r="F206" s="8">
        <v>11</v>
      </c>
      <c r="G206" s="8">
        <v>135.49</v>
      </c>
      <c r="H206" s="7" t="s">
        <v>26</v>
      </c>
      <c r="I206" s="8">
        <f t="shared" si="6"/>
        <v>124.49000000000001</v>
      </c>
      <c r="J206" s="7" t="str">
        <f t="shared" si="7"/>
        <v>OK</v>
      </c>
    </row>
    <row r="207" spans="1:10" x14ac:dyDescent="0.3">
      <c r="A207" s="7">
        <v>50</v>
      </c>
      <c r="B207" s="7" t="s">
        <v>318</v>
      </c>
      <c r="C207" s="7">
        <v>101028</v>
      </c>
      <c r="D207" s="7" t="s">
        <v>214</v>
      </c>
      <c r="E207" s="7" t="s">
        <v>215</v>
      </c>
      <c r="F207" s="8">
        <v>12</v>
      </c>
      <c r="G207" s="8">
        <v>34.880000000000003</v>
      </c>
      <c r="H207" s="7" t="s">
        <v>26</v>
      </c>
      <c r="I207" s="8">
        <f t="shared" si="6"/>
        <v>22.880000000000003</v>
      </c>
      <c r="J207" s="7" t="str">
        <f t="shared" si="7"/>
        <v>OK</v>
      </c>
    </row>
    <row r="208" spans="1:10" x14ac:dyDescent="0.3">
      <c r="A208" s="7">
        <v>50</v>
      </c>
      <c r="B208" s="7" t="s">
        <v>318</v>
      </c>
      <c r="C208" s="7">
        <v>101034</v>
      </c>
      <c r="D208" s="7" t="s">
        <v>272</v>
      </c>
      <c r="E208" s="7" t="s">
        <v>215</v>
      </c>
      <c r="F208" s="8">
        <v>6.67</v>
      </c>
      <c r="G208" s="8">
        <v>93.43</v>
      </c>
      <c r="H208" s="7" t="s">
        <v>26</v>
      </c>
      <c r="I208" s="8">
        <f t="shared" si="6"/>
        <v>86.76</v>
      </c>
      <c r="J208" s="7" t="str">
        <f t="shared" si="7"/>
        <v>OK</v>
      </c>
    </row>
    <row r="209" spans="1:10" x14ac:dyDescent="0.3">
      <c r="A209" s="7">
        <v>50</v>
      </c>
      <c r="B209" s="7" t="s">
        <v>318</v>
      </c>
      <c r="C209" s="7">
        <v>101038</v>
      </c>
      <c r="D209" s="7" t="s">
        <v>235</v>
      </c>
      <c r="E209" s="7" t="s">
        <v>215</v>
      </c>
      <c r="F209" s="8">
        <v>48.33</v>
      </c>
      <c r="G209" s="8">
        <v>283.39</v>
      </c>
      <c r="H209" s="7" t="s">
        <v>26</v>
      </c>
      <c r="I209" s="8">
        <f t="shared" si="6"/>
        <v>235.06</v>
      </c>
      <c r="J209" s="7" t="str">
        <f t="shared" si="7"/>
        <v>OK</v>
      </c>
    </row>
    <row r="210" spans="1:10" x14ac:dyDescent="0.3">
      <c r="A210" s="7">
        <v>50</v>
      </c>
      <c r="B210" s="7" t="s">
        <v>318</v>
      </c>
      <c r="C210" s="7">
        <v>101072</v>
      </c>
      <c r="D210" s="7" t="s">
        <v>273</v>
      </c>
      <c r="E210" s="7" t="s">
        <v>215</v>
      </c>
      <c r="F210" s="8">
        <v>1.33</v>
      </c>
      <c r="G210" s="8">
        <v>404.67</v>
      </c>
      <c r="H210" s="7" t="s">
        <v>26</v>
      </c>
      <c r="I210" s="8">
        <f t="shared" si="6"/>
        <v>403.34000000000003</v>
      </c>
      <c r="J210" s="7" t="str">
        <f t="shared" si="7"/>
        <v>OK</v>
      </c>
    </row>
    <row r="211" spans="1:10" x14ac:dyDescent="0.3">
      <c r="A211" s="7">
        <v>50</v>
      </c>
      <c r="B211" s="7" t="s">
        <v>318</v>
      </c>
      <c r="C211" s="7">
        <v>101130</v>
      </c>
      <c r="D211" s="7" t="s">
        <v>247</v>
      </c>
      <c r="E211" s="7" t="s">
        <v>215</v>
      </c>
      <c r="F211" s="8">
        <v>0.67</v>
      </c>
      <c r="G211" s="8">
        <v>0</v>
      </c>
      <c r="H211" s="7" t="s">
        <v>26</v>
      </c>
      <c r="I211" s="8">
        <f t="shared" si="6"/>
        <v>0</v>
      </c>
      <c r="J211" s="7" t="str">
        <f t="shared" si="7"/>
        <v>Queda en 0</v>
      </c>
    </row>
    <row r="212" spans="1:10" x14ac:dyDescent="0.3">
      <c r="A212" s="7">
        <v>50</v>
      </c>
      <c r="B212" s="7" t="s">
        <v>318</v>
      </c>
      <c r="C212" s="7">
        <v>201001</v>
      </c>
      <c r="D212" s="7" t="s">
        <v>216</v>
      </c>
      <c r="E212" s="7" t="s">
        <v>217</v>
      </c>
      <c r="F212" s="8">
        <v>65.67</v>
      </c>
      <c r="G212" s="8">
        <v>323.94</v>
      </c>
      <c r="H212" s="7" t="s">
        <v>26</v>
      </c>
      <c r="I212" s="8">
        <f t="shared" si="6"/>
        <v>258.27</v>
      </c>
      <c r="J212" s="7" t="str">
        <f t="shared" si="7"/>
        <v>OK</v>
      </c>
    </row>
    <row r="213" spans="1:10" x14ac:dyDescent="0.3">
      <c r="A213" s="7">
        <v>50</v>
      </c>
      <c r="B213" s="7" t="s">
        <v>318</v>
      </c>
      <c r="C213" s="7">
        <v>501000</v>
      </c>
      <c r="D213" s="7" t="s">
        <v>237</v>
      </c>
      <c r="E213" s="7" t="s">
        <v>217</v>
      </c>
      <c r="F213" s="8">
        <v>49.33</v>
      </c>
      <c r="G213" s="8">
        <v>424.2</v>
      </c>
      <c r="H213" s="7" t="s">
        <v>26</v>
      </c>
      <c r="I213" s="8">
        <f t="shared" si="6"/>
        <v>374.87</v>
      </c>
      <c r="J213" s="7" t="str">
        <f t="shared" si="7"/>
        <v>OK</v>
      </c>
    </row>
    <row r="214" spans="1:10" x14ac:dyDescent="0.3">
      <c r="A214" s="7">
        <v>50</v>
      </c>
      <c r="B214" s="7" t="s">
        <v>318</v>
      </c>
      <c r="C214" s="7">
        <v>621045</v>
      </c>
      <c r="D214" s="7" t="s">
        <v>238</v>
      </c>
      <c r="E214" s="7" t="s">
        <v>239</v>
      </c>
      <c r="F214" s="8">
        <v>5</v>
      </c>
      <c r="G214" s="8">
        <v>341.82</v>
      </c>
      <c r="H214" s="7" t="s">
        <v>26</v>
      </c>
      <c r="I214" s="8">
        <f t="shared" si="6"/>
        <v>336.82</v>
      </c>
      <c r="J214" s="7" t="str">
        <f t="shared" si="7"/>
        <v>OK</v>
      </c>
    </row>
    <row r="215" spans="1:10" x14ac:dyDescent="0.3">
      <c r="A215" s="7">
        <v>50</v>
      </c>
      <c r="B215" s="7" t="s">
        <v>318</v>
      </c>
      <c r="C215" s="7">
        <v>800088</v>
      </c>
      <c r="D215" s="7" t="s">
        <v>240</v>
      </c>
      <c r="E215" s="7" t="s">
        <v>215</v>
      </c>
      <c r="F215" s="8">
        <v>22</v>
      </c>
      <c r="G215" s="8">
        <v>144.66999999999999</v>
      </c>
      <c r="H215" s="7" t="s">
        <v>26</v>
      </c>
      <c r="I215" s="8">
        <f t="shared" si="6"/>
        <v>122.66999999999999</v>
      </c>
      <c r="J215" s="7" t="str">
        <f t="shared" si="7"/>
        <v>OK</v>
      </c>
    </row>
    <row r="216" spans="1:10" x14ac:dyDescent="0.3">
      <c r="A216" s="7">
        <v>50</v>
      </c>
      <c r="B216" s="7" t="s">
        <v>318</v>
      </c>
      <c r="C216" s="7">
        <v>800089</v>
      </c>
      <c r="D216" s="7" t="s">
        <v>241</v>
      </c>
      <c r="E216" s="7" t="s">
        <v>215</v>
      </c>
      <c r="F216" s="8">
        <v>25</v>
      </c>
      <c r="G216" s="8">
        <v>148.93</v>
      </c>
      <c r="H216" s="7" t="s">
        <v>26</v>
      </c>
      <c r="I216" s="8">
        <f t="shared" si="6"/>
        <v>123.93</v>
      </c>
      <c r="J216" s="7" t="str">
        <f t="shared" si="7"/>
        <v>OK</v>
      </c>
    </row>
    <row r="217" spans="1:10" x14ac:dyDescent="0.3">
      <c r="A217" s="7">
        <v>50</v>
      </c>
      <c r="B217" s="7" t="s">
        <v>318</v>
      </c>
      <c r="C217" s="7">
        <v>800792</v>
      </c>
      <c r="D217" s="7" t="s">
        <v>242</v>
      </c>
      <c r="E217" s="7" t="s">
        <v>243</v>
      </c>
      <c r="F217" s="8">
        <v>8.33</v>
      </c>
      <c r="G217" s="8">
        <v>202.84</v>
      </c>
      <c r="H217" s="7" t="s">
        <v>26</v>
      </c>
      <c r="I217" s="8">
        <f t="shared" si="6"/>
        <v>194.51</v>
      </c>
      <c r="J217" s="7" t="str">
        <f t="shared" si="7"/>
        <v>OK</v>
      </c>
    </row>
    <row r="218" spans="1:10" x14ac:dyDescent="0.3">
      <c r="A218" s="7">
        <v>50</v>
      </c>
      <c r="B218" s="7" t="s">
        <v>318</v>
      </c>
      <c r="C218" s="7">
        <v>925095</v>
      </c>
      <c r="D218" s="7" t="s">
        <v>280</v>
      </c>
      <c r="E218" s="7" t="s">
        <v>220</v>
      </c>
      <c r="F218" s="8">
        <v>16</v>
      </c>
      <c r="G218" s="8">
        <v>170.39</v>
      </c>
      <c r="H218" s="7" t="s">
        <v>26</v>
      </c>
      <c r="I218" s="8">
        <f t="shared" si="6"/>
        <v>154.38999999999999</v>
      </c>
      <c r="J218" s="7" t="str">
        <f t="shared" si="7"/>
        <v>OK</v>
      </c>
    </row>
    <row r="219" spans="1:10" x14ac:dyDescent="0.3">
      <c r="A219" s="7">
        <v>50</v>
      </c>
      <c r="B219" s="7" t="s">
        <v>318</v>
      </c>
      <c r="C219" s="7">
        <v>925102</v>
      </c>
      <c r="D219" s="7" t="s">
        <v>319</v>
      </c>
      <c r="E219" s="7" t="s">
        <v>220</v>
      </c>
      <c r="F219" s="8">
        <v>1</v>
      </c>
      <c r="G219" s="8">
        <v>9.86</v>
      </c>
      <c r="H219" s="7" t="s">
        <v>26</v>
      </c>
      <c r="I219" s="8">
        <f t="shared" si="6"/>
        <v>8.86</v>
      </c>
      <c r="J219" s="7" t="str">
        <f t="shared" si="7"/>
        <v>OK</v>
      </c>
    </row>
    <row r="220" spans="1:10" x14ac:dyDescent="0.3">
      <c r="A220" s="7">
        <v>50</v>
      </c>
      <c r="B220" s="7" t="s">
        <v>318</v>
      </c>
      <c r="C220" s="7">
        <v>982005</v>
      </c>
      <c r="D220" s="7" t="s">
        <v>285</v>
      </c>
      <c r="E220" s="7" t="s">
        <v>270</v>
      </c>
      <c r="F220" s="8">
        <v>7.67</v>
      </c>
      <c r="G220" s="8">
        <v>446.81</v>
      </c>
      <c r="H220" s="7" t="s">
        <v>26</v>
      </c>
      <c r="I220" s="8">
        <f t="shared" si="6"/>
        <v>439.14</v>
      </c>
      <c r="J220" s="7" t="str">
        <f t="shared" si="7"/>
        <v>OK</v>
      </c>
    </row>
    <row r="221" spans="1:10" x14ac:dyDescent="0.3">
      <c r="A221" s="7">
        <v>56</v>
      </c>
      <c r="B221" s="7" t="s">
        <v>320</v>
      </c>
      <c r="C221" s="7">
        <v>101005</v>
      </c>
      <c r="D221" s="7" t="s">
        <v>232</v>
      </c>
      <c r="E221" s="7" t="s">
        <v>215</v>
      </c>
      <c r="F221" s="8">
        <v>54</v>
      </c>
      <c r="G221" s="8">
        <v>161.94</v>
      </c>
      <c r="H221" s="7" t="s">
        <v>26</v>
      </c>
      <c r="I221" s="8">
        <f t="shared" si="6"/>
        <v>107.94</v>
      </c>
      <c r="J221" s="7" t="str">
        <f t="shared" si="7"/>
        <v>OK</v>
      </c>
    </row>
    <row r="222" spans="1:10" x14ac:dyDescent="0.3">
      <c r="A222" s="7">
        <v>56</v>
      </c>
      <c r="B222" s="7" t="s">
        <v>320</v>
      </c>
      <c r="C222" s="7">
        <v>101018</v>
      </c>
      <c r="D222" s="7" t="s">
        <v>321</v>
      </c>
      <c r="E222" s="7" t="s">
        <v>215</v>
      </c>
      <c r="F222" s="8">
        <v>33.33</v>
      </c>
      <c r="G222" s="8">
        <v>286.73</v>
      </c>
      <c r="H222" s="7" t="s">
        <v>26</v>
      </c>
      <c r="I222" s="8">
        <f t="shared" si="6"/>
        <v>253.40000000000003</v>
      </c>
      <c r="J222" s="7" t="str">
        <f t="shared" si="7"/>
        <v>OK</v>
      </c>
    </row>
    <row r="223" spans="1:10" x14ac:dyDescent="0.3">
      <c r="A223" s="7">
        <v>56</v>
      </c>
      <c r="B223" s="7" t="s">
        <v>320</v>
      </c>
      <c r="C223" s="7">
        <v>101026</v>
      </c>
      <c r="D223" s="7" t="s">
        <v>233</v>
      </c>
      <c r="E223" s="7" t="s">
        <v>215</v>
      </c>
      <c r="F223" s="8">
        <v>28</v>
      </c>
      <c r="G223" s="8">
        <v>148.76</v>
      </c>
      <c r="H223" s="7" t="s">
        <v>26</v>
      </c>
      <c r="I223" s="8">
        <f t="shared" si="6"/>
        <v>120.75999999999999</v>
      </c>
      <c r="J223" s="7" t="str">
        <f t="shared" si="7"/>
        <v>OK</v>
      </c>
    </row>
    <row r="224" spans="1:10" x14ac:dyDescent="0.3">
      <c r="A224" s="7">
        <v>56</v>
      </c>
      <c r="B224" s="7" t="s">
        <v>320</v>
      </c>
      <c r="C224" s="7">
        <v>101027</v>
      </c>
      <c r="D224" s="7" t="s">
        <v>234</v>
      </c>
      <c r="E224" s="7" t="s">
        <v>215</v>
      </c>
      <c r="F224" s="8">
        <v>38</v>
      </c>
      <c r="G224" s="8">
        <v>116.72</v>
      </c>
      <c r="H224" s="7" t="s">
        <v>26</v>
      </c>
      <c r="I224" s="8">
        <f t="shared" si="6"/>
        <v>78.72</v>
      </c>
      <c r="J224" s="7" t="str">
        <f t="shared" si="7"/>
        <v>OK</v>
      </c>
    </row>
    <row r="225" spans="1:10" x14ac:dyDescent="0.3">
      <c r="A225" s="7">
        <v>56</v>
      </c>
      <c r="B225" s="7" t="s">
        <v>320</v>
      </c>
      <c r="C225" s="7">
        <v>101028</v>
      </c>
      <c r="D225" s="7" t="s">
        <v>214</v>
      </c>
      <c r="E225" s="7" t="s">
        <v>215</v>
      </c>
      <c r="F225" s="8">
        <v>79.33</v>
      </c>
      <c r="G225" s="8">
        <v>169.3</v>
      </c>
      <c r="H225" s="7" t="s">
        <v>26</v>
      </c>
      <c r="I225" s="8">
        <f t="shared" si="6"/>
        <v>89.970000000000013</v>
      </c>
      <c r="J225" s="7" t="str">
        <f t="shared" si="7"/>
        <v>OK</v>
      </c>
    </row>
    <row r="226" spans="1:10" x14ac:dyDescent="0.3">
      <c r="A226" s="7">
        <v>56</v>
      </c>
      <c r="B226" s="7" t="s">
        <v>320</v>
      </c>
      <c r="C226" s="7">
        <v>101034</v>
      </c>
      <c r="D226" s="7" t="s">
        <v>272</v>
      </c>
      <c r="E226" s="7" t="s">
        <v>215</v>
      </c>
      <c r="F226" s="8">
        <v>1</v>
      </c>
      <c r="G226" s="8">
        <v>118.77</v>
      </c>
      <c r="H226" s="7" t="s">
        <v>26</v>
      </c>
      <c r="I226" s="8">
        <f t="shared" si="6"/>
        <v>117.77</v>
      </c>
      <c r="J226" s="7" t="str">
        <f t="shared" si="7"/>
        <v>OK</v>
      </c>
    </row>
    <row r="227" spans="1:10" x14ac:dyDescent="0.3">
      <c r="A227" s="7">
        <v>56</v>
      </c>
      <c r="B227" s="7" t="s">
        <v>320</v>
      </c>
      <c r="C227" s="7">
        <v>101038</v>
      </c>
      <c r="D227" s="7" t="s">
        <v>235</v>
      </c>
      <c r="E227" s="7" t="s">
        <v>215</v>
      </c>
      <c r="F227" s="8">
        <v>18</v>
      </c>
      <c r="G227" s="8">
        <v>359.64</v>
      </c>
      <c r="H227" s="7" t="s">
        <v>26</v>
      </c>
      <c r="I227" s="8">
        <f t="shared" si="6"/>
        <v>341.64</v>
      </c>
      <c r="J227" s="7" t="str">
        <f t="shared" si="7"/>
        <v>OK</v>
      </c>
    </row>
    <row r="228" spans="1:10" x14ac:dyDescent="0.3">
      <c r="A228" s="7">
        <v>56</v>
      </c>
      <c r="B228" s="7" t="s">
        <v>320</v>
      </c>
      <c r="C228" s="7">
        <v>101072</v>
      </c>
      <c r="D228" s="7" t="s">
        <v>273</v>
      </c>
      <c r="E228" s="7" t="s">
        <v>215</v>
      </c>
      <c r="F228" s="8">
        <v>4</v>
      </c>
      <c r="G228" s="8">
        <v>520.94000000000005</v>
      </c>
      <c r="H228" s="7" t="s">
        <v>26</v>
      </c>
      <c r="I228" s="8">
        <f t="shared" si="6"/>
        <v>516.94000000000005</v>
      </c>
      <c r="J228" s="7" t="str">
        <f t="shared" si="7"/>
        <v>OK</v>
      </c>
    </row>
    <row r="229" spans="1:10" x14ac:dyDescent="0.3">
      <c r="A229" s="7">
        <v>56</v>
      </c>
      <c r="B229" s="7" t="s">
        <v>320</v>
      </c>
      <c r="C229" s="7">
        <v>101124</v>
      </c>
      <c r="D229" s="7" t="s">
        <v>322</v>
      </c>
      <c r="E229" s="7" t="s">
        <v>215</v>
      </c>
      <c r="F229" s="8">
        <v>16</v>
      </c>
      <c r="G229" s="8">
        <v>54.55</v>
      </c>
      <c r="H229" s="7" t="s">
        <v>26</v>
      </c>
      <c r="I229" s="8">
        <f t="shared" si="6"/>
        <v>38.549999999999997</v>
      </c>
      <c r="J229" s="7" t="str">
        <f t="shared" si="7"/>
        <v>OK</v>
      </c>
    </row>
    <row r="230" spans="1:10" x14ac:dyDescent="0.3">
      <c r="A230" s="7">
        <v>56</v>
      </c>
      <c r="B230" s="7" t="s">
        <v>320</v>
      </c>
      <c r="C230" s="7">
        <v>101130</v>
      </c>
      <c r="D230" s="7" t="s">
        <v>247</v>
      </c>
      <c r="E230" s="7" t="s">
        <v>215</v>
      </c>
      <c r="F230" s="8">
        <v>5.33</v>
      </c>
      <c r="G230" s="8">
        <v>0</v>
      </c>
      <c r="H230" s="7" t="s">
        <v>26</v>
      </c>
      <c r="I230" s="8">
        <f t="shared" si="6"/>
        <v>0</v>
      </c>
      <c r="J230" s="7" t="str">
        <f t="shared" si="7"/>
        <v>Queda en 0</v>
      </c>
    </row>
    <row r="231" spans="1:10" x14ac:dyDescent="0.3">
      <c r="A231" s="7">
        <v>56</v>
      </c>
      <c r="B231" s="7" t="s">
        <v>320</v>
      </c>
      <c r="C231" s="7">
        <v>103001</v>
      </c>
      <c r="D231" s="7" t="s">
        <v>248</v>
      </c>
      <c r="E231" s="7" t="s">
        <v>215</v>
      </c>
      <c r="F231" s="8">
        <v>129</v>
      </c>
      <c r="G231" s="8">
        <v>2616.5100000000002</v>
      </c>
      <c r="H231" s="7" t="s">
        <v>26</v>
      </c>
      <c r="I231" s="8">
        <f t="shared" si="6"/>
        <v>2487.5100000000002</v>
      </c>
      <c r="J231" s="7" t="str">
        <f t="shared" si="7"/>
        <v>OK</v>
      </c>
    </row>
    <row r="232" spans="1:10" x14ac:dyDescent="0.3">
      <c r="A232" s="7">
        <v>56</v>
      </c>
      <c r="B232" s="7" t="s">
        <v>320</v>
      </c>
      <c r="C232" s="7">
        <v>201001</v>
      </c>
      <c r="D232" s="7" t="s">
        <v>216</v>
      </c>
      <c r="E232" s="7" t="s">
        <v>217</v>
      </c>
      <c r="F232" s="8">
        <v>44.67</v>
      </c>
      <c r="G232" s="8">
        <v>418.91</v>
      </c>
      <c r="H232" s="7" t="s">
        <v>26</v>
      </c>
      <c r="I232" s="8">
        <f t="shared" si="6"/>
        <v>374.24</v>
      </c>
      <c r="J232" s="7" t="str">
        <f t="shared" si="7"/>
        <v>OK</v>
      </c>
    </row>
    <row r="233" spans="1:10" x14ac:dyDescent="0.3">
      <c r="A233" s="7">
        <v>56</v>
      </c>
      <c r="B233" s="7" t="s">
        <v>320</v>
      </c>
      <c r="C233" s="7">
        <v>501000</v>
      </c>
      <c r="D233" s="7" t="s">
        <v>237</v>
      </c>
      <c r="E233" s="7" t="s">
        <v>217</v>
      </c>
      <c r="F233" s="8">
        <v>1.33</v>
      </c>
      <c r="G233" s="8">
        <v>133.87</v>
      </c>
      <c r="H233" s="7" t="s">
        <v>26</v>
      </c>
      <c r="I233" s="8">
        <f t="shared" si="6"/>
        <v>132.54</v>
      </c>
      <c r="J233" s="7" t="str">
        <f t="shared" si="7"/>
        <v>OK</v>
      </c>
    </row>
    <row r="234" spans="1:10" x14ac:dyDescent="0.3">
      <c r="A234" s="7">
        <v>56</v>
      </c>
      <c r="B234" s="7" t="s">
        <v>320</v>
      </c>
      <c r="C234" s="7">
        <v>611053</v>
      </c>
      <c r="D234" s="7" t="s">
        <v>253</v>
      </c>
      <c r="E234" s="7" t="s">
        <v>217</v>
      </c>
      <c r="F234" s="8">
        <v>8</v>
      </c>
      <c r="G234" s="8">
        <v>505.48</v>
      </c>
      <c r="H234" s="7" t="s">
        <v>26</v>
      </c>
      <c r="I234" s="8">
        <f t="shared" si="6"/>
        <v>497.48</v>
      </c>
      <c r="J234" s="7" t="str">
        <f t="shared" si="7"/>
        <v>OK</v>
      </c>
    </row>
    <row r="235" spans="1:10" x14ac:dyDescent="0.3">
      <c r="A235" s="7">
        <v>56</v>
      </c>
      <c r="B235" s="7" t="s">
        <v>320</v>
      </c>
      <c r="C235" s="7">
        <v>621004</v>
      </c>
      <c r="D235" s="7" t="s">
        <v>256</v>
      </c>
      <c r="E235" s="7" t="s">
        <v>239</v>
      </c>
      <c r="F235" s="8">
        <v>4</v>
      </c>
      <c r="G235" s="8">
        <v>21.65</v>
      </c>
      <c r="H235" s="7" t="s">
        <v>26</v>
      </c>
      <c r="I235" s="8">
        <f t="shared" si="6"/>
        <v>17.649999999999999</v>
      </c>
      <c r="J235" s="7" t="str">
        <f t="shared" si="7"/>
        <v>OK</v>
      </c>
    </row>
    <row r="236" spans="1:10" x14ac:dyDescent="0.3">
      <c r="A236" s="7">
        <v>56</v>
      </c>
      <c r="B236" s="7" t="s">
        <v>320</v>
      </c>
      <c r="C236" s="7">
        <v>621043</v>
      </c>
      <c r="D236" s="7" t="s">
        <v>257</v>
      </c>
      <c r="E236" s="7" t="s">
        <v>239</v>
      </c>
      <c r="F236" s="8">
        <v>1.33</v>
      </c>
      <c r="G236" s="8">
        <v>0</v>
      </c>
      <c r="H236" s="7" t="s">
        <v>26</v>
      </c>
      <c r="I236" s="8">
        <f t="shared" si="6"/>
        <v>0</v>
      </c>
      <c r="J236" s="7" t="str">
        <f t="shared" si="7"/>
        <v>Queda en 0</v>
      </c>
    </row>
    <row r="237" spans="1:10" x14ac:dyDescent="0.3">
      <c r="A237" s="7">
        <v>56</v>
      </c>
      <c r="B237" s="7" t="s">
        <v>320</v>
      </c>
      <c r="C237" s="7">
        <v>621045</v>
      </c>
      <c r="D237" s="7" t="s">
        <v>238</v>
      </c>
      <c r="E237" s="7" t="s">
        <v>239</v>
      </c>
      <c r="F237" s="8">
        <v>12</v>
      </c>
      <c r="G237" s="8">
        <v>362.36</v>
      </c>
      <c r="H237" s="7" t="s">
        <v>26</v>
      </c>
      <c r="I237" s="8">
        <f t="shared" si="6"/>
        <v>350.36</v>
      </c>
      <c r="J237" s="7" t="str">
        <f t="shared" si="7"/>
        <v>OK</v>
      </c>
    </row>
    <row r="238" spans="1:10" x14ac:dyDescent="0.3">
      <c r="A238" s="7">
        <v>56</v>
      </c>
      <c r="B238" s="7" t="s">
        <v>320</v>
      </c>
      <c r="C238" s="7">
        <v>800088</v>
      </c>
      <c r="D238" s="7" t="s">
        <v>240</v>
      </c>
      <c r="E238" s="7" t="s">
        <v>215</v>
      </c>
      <c r="F238" s="8">
        <v>7.67</v>
      </c>
      <c r="G238" s="8">
        <v>208.21</v>
      </c>
      <c r="H238" s="7" t="s">
        <v>26</v>
      </c>
      <c r="I238" s="8">
        <f t="shared" si="6"/>
        <v>200.54000000000002</v>
      </c>
      <c r="J238" s="7" t="str">
        <f t="shared" si="7"/>
        <v>OK</v>
      </c>
    </row>
    <row r="239" spans="1:10" x14ac:dyDescent="0.3">
      <c r="A239" s="7">
        <v>56</v>
      </c>
      <c r="B239" s="7" t="s">
        <v>320</v>
      </c>
      <c r="C239" s="7">
        <v>800089</v>
      </c>
      <c r="D239" s="7" t="s">
        <v>241</v>
      </c>
      <c r="E239" s="7" t="s">
        <v>215</v>
      </c>
      <c r="F239" s="8">
        <v>10.33</v>
      </c>
      <c r="G239" s="8">
        <v>205.05</v>
      </c>
      <c r="H239" s="7" t="s">
        <v>26</v>
      </c>
      <c r="I239" s="8">
        <f t="shared" si="6"/>
        <v>194.72</v>
      </c>
      <c r="J239" s="7" t="str">
        <f t="shared" si="7"/>
        <v>OK</v>
      </c>
    </row>
    <row r="240" spans="1:10" x14ac:dyDescent="0.3">
      <c r="A240" s="7">
        <v>56</v>
      </c>
      <c r="B240" s="7" t="s">
        <v>320</v>
      </c>
      <c r="C240" s="7">
        <v>800792</v>
      </c>
      <c r="D240" s="7" t="s">
        <v>242</v>
      </c>
      <c r="E240" s="7" t="s">
        <v>243</v>
      </c>
      <c r="F240" s="8">
        <v>20</v>
      </c>
      <c r="G240" s="8">
        <v>314.32</v>
      </c>
      <c r="H240" s="7" t="s">
        <v>26</v>
      </c>
      <c r="I240" s="8">
        <f t="shared" si="6"/>
        <v>294.32</v>
      </c>
      <c r="J240" s="7" t="str">
        <f t="shared" si="7"/>
        <v>OK</v>
      </c>
    </row>
    <row r="241" spans="1:10" x14ac:dyDescent="0.3">
      <c r="A241" s="7">
        <v>56</v>
      </c>
      <c r="B241" s="7" t="s">
        <v>320</v>
      </c>
      <c r="C241" s="7">
        <v>800793</v>
      </c>
      <c r="D241" s="7" t="s">
        <v>260</v>
      </c>
      <c r="E241" s="7" t="s">
        <v>243</v>
      </c>
      <c r="F241" s="8">
        <v>0.33</v>
      </c>
      <c r="G241" s="8">
        <v>56.89</v>
      </c>
      <c r="H241" s="7" t="s">
        <v>26</v>
      </c>
      <c r="I241" s="8">
        <f t="shared" si="6"/>
        <v>56.56</v>
      </c>
      <c r="J241" s="7" t="str">
        <f t="shared" si="7"/>
        <v>OK</v>
      </c>
    </row>
    <row r="242" spans="1:10" x14ac:dyDescent="0.3">
      <c r="A242" s="7">
        <v>56</v>
      </c>
      <c r="B242" s="7" t="s">
        <v>320</v>
      </c>
      <c r="C242" s="7">
        <v>800796</v>
      </c>
      <c r="D242" s="7" t="s">
        <v>276</v>
      </c>
      <c r="E242" s="7" t="s">
        <v>243</v>
      </c>
      <c r="F242" s="8">
        <v>0.33</v>
      </c>
      <c r="G242" s="8">
        <v>27</v>
      </c>
      <c r="H242" s="7" t="s">
        <v>26</v>
      </c>
      <c r="I242" s="8">
        <f t="shared" si="6"/>
        <v>26.67</v>
      </c>
      <c r="J242" s="7" t="str">
        <f t="shared" si="7"/>
        <v>OK</v>
      </c>
    </row>
    <row r="243" spans="1:10" x14ac:dyDescent="0.3">
      <c r="A243" s="7">
        <v>56</v>
      </c>
      <c r="B243" s="7" t="s">
        <v>320</v>
      </c>
      <c r="C243" s="7">
        <v>910122</v>
      </c>
      <c r="D243" s="7" t="s">
        <v>323</v>
      </c>
      <c r="E243" s="7" t="s">
        <v>296</v>
      </c>
      <c r="F243" s="8">
        <v>8</v>
      </c>
      <c r="G243" s="8">
        <v>90.59</v>
      </c>
      <c r="H243" s="7" t="s">
        <v>26</v>
      </c>
      <c r="I243" s="8">
        <f t="shared" si="6"/>
        <v>82.59</v>
      </c>
      <c r="J243" s="7" t="str">
        <f t="shared" si="7"/>
        <v>OK</v>
      </c>
    </row>
    <row r="244" spans="1:10" x14ac:dyDescent="0.3">
      <c r="A244" s="7">
        <v>56</v>
      </c>
      <c r="B244" s="7" t="s">
        <v>320</v>
      </c>
      <c r="C244" s="7">
        <v>912005</v>
      </c>
      <c r="D244" s="7" t="s">
        <v>324</v>
      </c>
      <c r="E244" s="7" t="s">
        <v>325</v>
      </c>
      <c r="F244" s="8">
        <v>2</v>
      </c>
      <c r="G244" s="8">
        <v>30.55</v>
      </c>
      <c r="H244" s="7" t="s">
        <v>26</v>
      </c>
      <c r="I244" s="8">
        <f t="shared" si="6"/>
        <v>28.55</v>
      </c>
      <c r="J244" s="7" t="str">
        <f t="shared" si="7"/>
        <v>OK</v>
      </c>
    </row>
    <row r="245" spans="1:10" x14ac:dyDescent="0.3">
      <c r="A245" s="7">
        <v>56</v>
      </c>
      <c r="B245" s="7" t="s">
        <v>320</v>
      </c>
      <c r="C245" s="7">
        <v>912007</v>
      </c>
      <c r="D245" s="7" t="s">
        <v>326</v>
      </c>
      <c r="E245" s="7" t="s">
        <v>325</v>
      </c>
      <c r="F245" s="8">
        <v>1.67</v>
      </c>
      <c r="G245" s="8">
        <v>2.19</v>
      </c>
      <c r="H245" s="7" t="s">
        <v>26</v>
      </c>
      <c r="I245" s="8">
        <f t="shared" si="6"/>
        <v>0.52</v>
      </c>
      <c r="J245" s="7" t="str">
        <f t="shared" si="7"/>
        <v>OK</v>
      </c>
    </row>
    <row r="246" spans="1:10" x14ac:dyDescent="0.3">
      <c r="A246" s="7">
        <v>56</v>
      </c>
      <c r="B246" s="7" t="s">
        <v>320</v>
      </c>
      <c r="C246" s="7">
        <v>924104</v>
      </c>
      <c r="D246" s="7" t="s">
        <v>277</v>
      </c>
      <c r="E246" s="7" t="s">
        <v>215</v>
      </c>
      <c r="F246" s="8">
        <v>2</v>
      </c>
      <c r="G246" s="8">
        <v>0</v>
      </c>
      <c r="H246" s="7" t="s">
        <v>26</v>
      </c>
      <c r="I246" s="8">
        <f t="shared" si="6"/>
        <v>0</v>
      </c>
      <c r="J246" s="7" t="str">
        <f t="shared" si="7"/>
        <v>Queda en 0</v>
      </c>
    </row>
    <row r="247" spans="1:10" x14ac:dyDescent="0.3">
      <c r="A247" s="7">
        <v>56</v>
      </c>
      <c r="B247" s="7" t="s">
        <v>320</v>
      </c>
      <c r="C247" s="7">
        <v>925064</v>
      </c>
      <c r="D247" s="7" t="s">
        <v>263</v>
      </c>
      <c r="E247" s="7" t="s">
        <v>220</v>
      </c>
      <c r="F247" s="8">
        <v>8.33</v>
      </c>
      <c r="G247" s="8">
        <v>369.84</v>
      </c>
      <c r="H247" s="7" t="s">
        <v>26</v>
      </c>
      <c r="I247" s="8">
        <f t="shared" si="6"/>
        <v>361.51</v>
      </c>
      <c r="J247" s="7" t="str">
        <f t="shared" si="7"/>
        <v>OK</v>
      </c>
    </row>
    <row r="248" spans="1:10" x14ac:dyDescent="0.3">
      <c r="A248" s="7">
        <v>56</v>
      </c>
      <c r="B248" s="7" t="s">
        <v>320</v>
      </c>
      <c r="C248" s="7">
        <v>925079</v>
      </c>
      <c r="D248" s="7" t="s">
        <v>279</v>
      </c>
      <c r="E248" s="7" t="s">
        <v>220</v>
      </c>
      <c r="F248" s="8">
        <v>16</v>
      </c>
      <c r="G248" s="8">
        <v>151.63</v>
      </c>
      <c r="H248" s="7" t="s">
        <v>26</v>
      </c>
      <c r="I248" s="8">
        <f t="shared" si="6"/>
        <v>135.63</v>
      </c>
      <c r="J248" s="7" t="str">
        <f t="shared" si="7"/>
        <v>OK</v>
      </c>
    </row>
    <row r="249" spans="1:10" x14ac:dyDescent="0.3">
      <c r="A249" s="7">
        <v>56</v>
      </c>
      <c r="B249" s="7" t="s">
        <v>320</v>
      </c>
      <c r="C249" s="7">
        <v>930012</v>
      </c>
      <c r="D249" s="7" t="s">
        <v>264</v>
      </c>
      <c r="E249" s="7" t="s">
        <v>243</v>
      </c>
      <c r="F249" s="8">
        <v>4</v>
      </c>
      <c r="G249" s="8">
        <v>146.56</v>
      </c>
      <c r="H249" s="7" t="s">
        <v>26</v>
      </c>
      <c r="I249" s="8">
        <f t="shared" si="6"/>
        <v>142.56</v>
      </c>
      <c r="J249" s="7" t="str">
        <f t="shared" si="7"/>
        <v>OK</v>
      </c>
    </row>
    <row r="250" spans="1:10" x14ac:dyDescent="0.3">
      <c r="A250" s="7">
        <v>56</v>
      </c>
      <c r="B250" s="7" t="s">
        <v>320</v>
      </c>
      <c r="C250" s="7">
        <v>930020</v>
      </c>
      <c r="D250" s="7" t="s">
        <v>299</v>
      </c>
      <c r="E250" s="7" t="s">
        <v>243</v>
      </c>
      <c r="F250" s="8">
        <v>3.67</v>
      </c>
      <c r="G250" s="8">
        <v>25.06</v>
      </c>
      <c r="H250" s="7" t="s">
        <v>26</v>
      </c>
      <c r="I250" s="8">
        <f t="shared" si="6"/>
        <v>21.39</v>
      </c>
      <c r="J250" s="7" t="str">
        <f t="shared" si="7"/>
        <v>OK</v>
      </c>
    </row>
    <row r="251" spans="1:10" x14ac:dyDescent="0.3">
      <c r="A251" s="7">
        <v>56</v>
      </c>
      <c r="B251" s="7" t="s">
        <v>320</v>
      </c>
      <c r="C251" s="7">
        <v>930021</v>
      </c>
      <c r="D251" s="7" t="s">
        <v>300</v>
      </c>
      <c r="E251" s="7" t="s">
        <v>243</v>
      </c>
      <c r="F251" s="8">
        <v>1.33</v>
      </c>
      <c r="G251" s="8">
        <v>60.74</v>
      </c>
      <c r="H251" s="7" t="s">
        <v>26</v>
      </c>
      <c r="I251" s="8">
        <f t="shared" si="6"/>
        <v>59.410000000000004</v>
      </c>
      <c r="J251" s="7" t="str">
        <f t="shared" si="7"/>
        <v>OK</v>
      </c>
    </row>
    <row r="252" spans="1:10" x14ac:dyDescent="0.3">
      <c r="A252" s="7">
        <v>56</v>
      </c>
      <c r="B252" s="7" t="s">
        <v>320</v>
      </c>
      <c r="C252" s="7">
        <v>930022</v>
      </c>
      <c r="D252" s="7" t="s">
        <v>265</v>
      </c>
      <c r="E252" s="7" t="s">
        <v>243</v>
      </c>
      <c r="F252" s="8">
        <v>0.33</v>
      </c>
      <c r="G252" s="8">
        <v>66.53</v>
      </c>
      <c r="H252" s="7" t="s">
        <v>26</v>
      </c>
      <c r="I252" s="8">
        <f t="shared" si="6"/>
        <v>66.2</v>
      </c>
      <c r="J252" s="7" t="str">
        <f t="shared" si="7"/>
        <v>OK</v>
      </c>
    </row>
    <row r="253" spans="1:10" x14ac:dyDescent="0.3">
      <c r="A253" s="7">
        <v>56</v>
      </c>
      <c r="B253" s="7" t="s">
        <v>320</v>
      </c>
      <c r="C253" s="7">
        <v>930025</v>
      </c>
      <c r="D253" s="7" t="s">
        <v>244</v>
      </c>
      <c r="E253" s="7" t="s">
        <v>243</v>
      </c>
      <c r="F253" s="8">
        <v>4</v>
      </c>
      <c r="G253" s="8">
        <v>242.01</v>
      </c>
      <c r="H253" s="7" t="s">
        <v>26</v>
      </c>
      <c r="I253" s="8">
        <f t="shared" si="6"/>
        <v>238.01</v>
      </c>
      <c r="J253" s="7" t="str">
        <f t="shared" si="7"/>
        <v>OK</v>
      </c>
    </row>
    <row r="254" spans="1:10" x14ac:dyDescent="0.3">
      <c r="A254" s="7">
        <v>56</v>
      </c>
      <c r="B254" s="7" t="s">
        <v>320</v>
      </c>
      <c r="C254" s="7">
        <v>930034</v>
      </c>
      <c r="D254" s="7" t="s">
        <v>266</v>
      </c>
      <c r="E254" s="7" t="s">
        <v>243</v>
      </c>
      <c r="F254" s="8">
        <v>0.33</v>
      </c>
      <c r="G254" s="8">
        <v>16.39</v>
      </c>
      <c r="H254" s="7" t="s">
        <v>26</v>
      </c>
      <c r="I254" s="8">
        <f t="shared" si="6"/>
        <v>16.060000000000002</v>
      </c>
      <c r="J254" s="7" t="str">
        <f t="shared" si="7"/>
        <v>OK</v>
      </c>
    </row>
    <row r="255" spans="1:10" x14ac:dyDescent="0.3">
      <c r="A255" s="7">
        <v>56</v>
      </c>
      <c r="B255" s="7" t="s">
        <v>320</v>
      </c>
      <c r="C255" s="7">
        <v>930046</v>
      </c>
      <c r="D255" s="7" t="s">
        <v>327</v>
      </c>
      <c r="E255" s="7" t="s">
        <v>243</v>
      </c>
      <c r="F255" s="8">
        <v>0.33</v>
      </c>
      <c r="G255" s="8">
        <v>0</v>
      </c>
      <c r="H255" s="7" t="s">
        <v>26</v>
      </c>
      <c r="I255" s="8">
        <f t="shared" si="6"/>
        <v>0</v>
      </c>
      <c r="J255" s="7" t="str">
        <f t="shared" si="7"/>
        <v>Queda en 0</v>
      </c>
    </row>
    <row r="256" spans="1:10" x14ac:dyDescent="0.3">
      <c r="A256" s="7">
        <v>56</v>
      </c>
      <c r="B256" s="7" t="s">
        <v>320</v>
      </c>
      <c r="C256" s="7">
        <v>930104</v>
      </c>
      <c r="D256" s="7" t="s">
        <v>328</v>
      </c>
      <c r="E256" s="7" t="s">
        <v>243</v>
      </c>
      <c r="F256" s="8">
        <v>0.33</v>
      </c>
      <c r="G256" s="8">
        <v>8.68</v>
      </c>
      <c r="H256" s="7" t="s">
        <v>26</v>
      </c>
      <c r="I256" s="8">
        <f t="shared" si="6"/>
        <v>8.35</v>
      </c>
      <c r="J256" s="7" t="str">
        <f t="shared" si="7"/>
        <v>OK</v>
      </c>
    </row>
    <row r="257" spans="1:10" x14ac:dyDescent="0.3">
      <c r="A257" s="7">
        <v>56</v>
      </c>
      <c r="B257" s="7" t="s">
        <v>320</v>
      </c>
      <c r="C257" s="7">
        <v>930113</v>
      </c>
      <c r="D257" s="7" t="s">
        <v>303</v>
      </c>
      <c r="E257" s="7" t="s">
        <v>243</v>
      </c>
      <c r="F257" s="8">
        <v>3.67</v>
      </c>
      <c r="G257" s="8">
        <v>27.97</v>
      </c>
      <c r="H257" s="7" t="s">
        <v>26</v>
      </c>
      <c r="I257" s="8">
        <f t="shared" si="6"/>
        <v>24.299999999999997</v>
      </c>
      <c r="J257" s="7" t="str">
        <f t="shared" si="7"/>
        <v>OK</v>
      </c>
    </row>
    <row r="258" spans="1:10" x14ac:dyDescent="0.3">
      <c r="A258" s="7">
        <v>56</v>
      </c>
      <c r="B258" s="7" t="s">
        <v>320</v>
      </c>
      <c r="C258" s="7">
        <v>930137</v>
      </c>
      <c r="D258" s="7" t="s">
        <v>311</v>
      </c>
      <c r="E258" s="7" t="s">
        <v>243</v>
      </c>
      <c r="F258" s="8">
        <v>5</v>
      </c>
      <c r="G258" s="8">
        <v>74.25</v>
      </c>
      <c r="H258" s="7" t="s">
        <v>26</v>
      </c>
      <c r="I258" s="8">
        <f t="shared" ref="I258:I321" si="8">MAX(0,G258-F258)</f>
        <v>69.25</v>
      </c>
      <c r="J258" s="7" t="str">
        <f t="shared" ref="J258:J321" si="9">IF(H258="No","Sin fila previa",IF(G258&lt;F258,"Queda en 0","OK"))</f>
        <v>OK</v>
      </c>
    </row>
    <row r="259" spans="1:10" x14ac:dyDescent="0.3">
      <c r="A259" s="7">
        <v>56</v>
      </c>
      <c r="B259" s="7" t="s">
        <v>320</v>
      </c>
      <c r="C259" s="7">
        <v>930138</v>
      </c>
      <c r="D259" s="7" t="s">
        <v>312</v>
      </c>
      <c r="E259" s="7" t="s">
        <v>243</v>
      </c>
      <c r="F259" s="8">
        <v>4.67</v>
      </c>
      <c r="G259" s="8">
        <v>109.92</v>
      </c>
      <c r="H259" s="7" t="s">
        <v>26</v>
      </c>
      <c r="I259" s="8">
        <f t="shared" si="8"/>
        <v>105.25</v>
      </c>
      <c r="J259" s="7" t="str">
        <f t="shared" si="9"/>
        <v>OK</v>
      </c>
    </row>
    <row r="260" spans="1:10" x14ac:dyDescent="0.3">
      <c r="A260" s="7">
        <v>56</v>
      </c>
      <c r="B260" s="7" t="s">
        <v>320</v>
      </c>
      <c r="C260" s="7">
        <v>930139</v>
      </c>
      <c r="D260" s="7" t="s">
        <v>313</v>
      </c>
      <c r="E260" s="7" t="s">
        <v>243</v>
      </c>
      <c r="F260" s="8">
        <v>2</v>
      </c>
      <c r="G260" s="8">
        <v>71.349999999999994</v>
      </c>
      <c r="H260" s="7" t="s">
        <v>26</v>
      </c>
      <c r="I260" s="8">
        <f t="shared" si="8"/>
        <v>69.349999999999994</v>
      </c>
      <c r="J260" s="7" t="str">
        <f t="shared" si="9"/>
        <v>OK</v>
      </c>
    </row>
    <row r="261" spans="1:10" x14ac:dyDescent="0.3">
      <c r="A261" s="7">
        <v>56</v>
      </c>
      <c r="B261" s="7" t="s">
        <v>320</v>
      </c>
      <c r="C261" s="7">
        <v>930140</v>
      </c>
      <c r="D261" s="7" t="s">
        <v>314</v>
      </c>
      <c r="E261" s="7" t="s">
        <v>243</v>
      </c>
      <c r="F261" s="8">
        <v>8</v>
      </c>
      <c r="G261" s="8">
        <v>133.06</v>
      </c>
      <c r="H261" s="7" t="s">
        <v>26</v>
      </c>
      <c r="I261" s="8">
        <f t="shared" si="8"/>
        <v>125.06</v>
      </c>
      <c r="J261" s="7" t="str">
        <f t="shared" si="9"/>
        <v>OK</v>
      </c>
    </row>
    <row r="262" spans="1:10" x14ac:dyDescent="0.3">
      <c r="A262" s="7">
        <v>56</v>
      </c>
      <c r="B262" s="7" t="s">
        <v>320</v>
      </c>
      <c r="C262" s="7">
        <v>930144</v>
      </c>
      <c r="D262" s="7" t="s">
        <v>315</v>
      </c>
      <c r="E262" s="7" t="s">
        <v>243</v>
      </c>
      <c r="F262" s="8">
        <v>2</v>
      </c>
      <c r="G262" s="8">
        <v>74.25</v>
      </c>
      <c r="H262" s="7" t="s">
        <v>26</v>
      </c>
      <c r="I262" s="8">
        <f t="shared" si="8"/>
        <v>72.25</v>
      </c>
      <c r="J262" s="7" t="str">
        <f t="shared" si="9"/>
        <v>OK</v>
      </c>
    </row>
    <row r="263" spans="1:10" x14ac:dyDescent="0.3">
      <c r="A263" s="7">
        <v>56</v>
      </c>
      <c r="B263" s="7" t="s">
        <v>320</v>
      </c>
      <c r="C263" s="7">
        <v>930145</v>
      </c>
      <c r="D263" s="7" t="s">
        <v>316</v>
      </c>
      <c r="E263" s="7" t="s">
        <v>243</v>
      </c>
      <c r="F263" s="8">
        <v>9.33</v>
      </c>
      <c r="G263" s="8">
        <v>96.42</v>
      </c>
      <c r="H263" s="7" t="s">
        <v>26</v>
      </c>
      <c r="I263" s="8">
        <f t="shared" si="8"/>
        <v>87.09</v>
      </c>
      <c r="J263" s="7" t="str">
        <f t="shared" si="9"/>
        <v>OK</v>
      </c>
    </row>
    <row r="264" spans="1:10" x14ac:dyDescent="0.3">
      <c r="A264" s="7">
        <v>56</v>
      </c>
      <c r="B264" s="7" t="s">
        <v>320</v>
      </c>
      <c r="C264" s="7">
        <v>930154</v>
      </c>
      <c r="D264" s="7" t="s">
        <v>245</v>
      </c>
      <c r="E264" s="7" t="s">
        <v>243</v>
      </c>
      <c r="F264" s="8">
        <v>4</v>
      </c>
      <c r="G264" s="8">
        <v>39.53</v>
      </c>
      <c r="H264" s="7" t="s">
        <v>26</v>
      </c>
      <c r="I264" s="8">
        <f t="shared" si="8"/>
        <v>35.53</v>
      </c>
      <c r="J264" s="7" t="str">
        <f t="shared" si="9"/>
        <v>OK</v>
      </c>
    </row>
    <row r="265" spans="1:10" x14ac:dyDescent="0.3">
      <c r="A265" s="7">
        <v>56</v>
      </c>
      <c r="B265" s="7" t="s">
        <v>320</v>
      </c>
      <c r="C265" s="7">
        <v>930174</v>
      </c>
      <c r="D265" s="7" t="s">
        <v>329</v>
      </c>
      <c r="E265" s="7" t="s">
        <v>243</v>
      </c>
      <c r="F265" s="8">
        <v>0.67</v>
      </c>
      <c r="G265" s="8">
        <v>2.89</v>
      </c>
      <c r="H265" s="7" t="s">
        <v>26</v>
      </c>
      <c r="I265" s="8">
        <f t="shared" si="8"/>
        <v>2.2200000000000002</v>
      </c>
      <c r="J265" s="7" t="str">
        <f t="shared" si="9"/>
        <v>OK</v>
      </c>
    </row>
    <row r="266" spans="1:10" x14ac:dyDescent="0.3">
      <c r="A266" s="7">
        <v>56</v>
      </c>
      <c r="B266" s="7" t="s">
        <v>320</v>
      </c>
      <c r="C266" s="7">
        <v>930178</v>
      </c>
      <c r="D266" s="7" t="s">
        <v>267</v>
      </c>
      <c r="E266" s="7" t="s">
        <v>243</v>
      </c>
      <c r="F266" s="8">
        <v>5.33</v>
      </c>
      <c r="G266" s="8">
        <v>49.17</v>
      </c>
      <c r="H266" s="7" t="s">
        <v>26</v>
      </c>
      <c r="I266" s="8">
        <f t="shared" si="8"/>
        <v>43.84</v>
      </c>
      <c r="J266" s="7" t="str">
        <f t="shared" si="9"/>
        <v>OK</v>
      </c>
    </row>
    <row r="267" spans="1:10" x14ac:dyDescent="0.3">
      <c r="A267" s="7">
        <v>56</v>
      </c>
      <c r="B267" s="7" t="s">
        <v>320</v>
      </c>
      <c r="C267" s="7">
        <v>930187</v>
      </c>
      <c r="D267" s="7" t="s">
        <v>330</v>
      </c>
      <c r="E267" s="7" t="s">
        <v>243</v>
      </c>
      <c r="F267" s="8">
        <v>0.67</v>
      </c>
      <c r="G267" s="8">
        <v>0</v>
      </c>
      <c r="H267" s="7" t="s">
        <v>26</v>
      </c>
      <c r="I267" s="8">
        <f t="shared" si="8"/>
        <v>0</v>
      </c>
      <c r="J267" s="7" t="str">
        <f t="shared" si="9"/>
        <v>Queda en 0</v>
      </c>
    </row>
    <row r="268" spans="1:10" x14ac:dyDescent="0.3">
      <c r="A268" s="7">
        <v>56</v>
      </c>
      <c r="B268" s="7" t="s">
        <v>320</v>
      </c>
      <c r="C268" s="7">
        <v>982005</v>
      </c>
      <c r="D268" s="7" t="s">
        <v>285</v>
      </c>
      <c r="E268" s="7" t="s">
        <v>270</v>
      </c>
      <c r="F268" s="8">
        <v>11.33</v>
      </c>
      <c r="G268" s="8">
        <v>580.27</v>
      </c>
      <c r="H268" s="7" t="s">
        <v>26</v>
      </c>
      <c r="I268" s="8">
        <f t="shared" si="8"/>
        <v>568.93999999999994</v>
      </c>
      <c r="J268" s="7" t="str">
        <f t="shared" si="9"/>
        <v>OK</v>
      </c>
    </row>
    <row r="269" spans="1:10" x14ac:dyDescent="0.3">
      <c r="A269" s="7">
        <v>59</v>
      </c>
      <c r="B269" s="7" t="s">
        <v>331</v>
      </c>
      <c r="C269" s="7">
        <v>101028</v>
      </c>
      <c r="D269" s="7" t="s">
        <v>214</v>
      </c>
      <c r="E269" s="7" t="s">
        <v>215</v>
      </c>
      <c r="F269" s="8">
        <v>6</v>
      </c>
      <c r="G269" s="8">
        <v>99.46</v>
      </c>
      <c r="H269" s="7" t="s">
        <v>26</v>
      </c>
      <c r="I269" s="8">
        <f t="shared" si="8"/>
        <v>93.46</v>
      </c>
      <c r="J269" s="7" t="str">
        <f t="shared" si="9"/>
        <v>OK</v>
      </c>
    </row>
    <row r="270" spans="1:10" x14ac:dyDescent="0.3">
      <c r="A270" s="7">
        <v>59</v>
      </c>
      <c r="B270" s="7" t="s">
        <v>331</v>
      </c>
      <c r="C270" s="7">
        <v>101038</v>
      </c>
      <c r="D270" s="7" t="s">
        <v>235</v>
      </c>
      <c r="E270" s="7" t="s">
        <v>215</v>
      </c>
      <c r="F270" s="8">
        <v>3.33</v>
      </c>
      <c r="G270" s="8">
        <v>396.24</v>
      </c>
      <c r="H270" s="7" t="s">
        <v>26</v>
      </c>
      <c r="I270" s="8">
        <f t="shared" si="8"/>
        <v>392.91</v>
      </c>
      <c r="J270" s="7" t="str">
        <f t="shared" si="9"/>
        <v>OK</v>
      </c>
    </row>
    <row r="271" spans="1:10" x14ac:dyDescent="0.3">
      <c r="A271" s="7">
        <v>59</v>
      </c>
      <c r="B271" s="7" t="s">
        <v>331</v>
      </c>
      <c r="C271" s="7">
        <v>201001</v>
      </c>
      <c r="D271" s="7" t="s">
        <v>216</v>
      </c>
      <c r="E271" s="7" t="s">
        <v>217</v>
      </c>
      <c r="F271" s="8">
        <v>33.33</v>
      </c>
      <c r="G271" s="8">
        <v>520.21</v>
      </c>
      <c r="H271" s="7" t="s">
        <v>26</v>
      </c>
      <c r="I271" s="8">
        <f t="shared" si="8"/>
        <v>486.88000000000005</v>
      </c>
      <c r="J271" s="7" t="str">
        <f t="shared" si="9"/>
        <v>OK</v>
      </c>
    </row>
    <row r="272" spans="1:10" x14ac:dyDescent="0.3">
      <c r="A272" s="7">
        <v>59</v>
      </c>
      <c r="B272" s="7" t="s">
        <v>331</v>
      </c>
      <c r="C272" s="7">
        <v>800089</v>
      </c>
      <c r="D272" s="7" t="s">
        <v>241</v>
      </c>
      <c r="E272" s="7" t="s">
        <v>215</v>
      </c>
      <c r="F272" s="8">
        <v>2.67</v>
      </c>
      <c r="G272" s="8">
        <v>198.94</v>
      </c>
      <c r="H272" s="7" t="s">
        <v>26</v>
      </c>
      <c r="I272" s="8">
        <f t="shared" si="8"/>
        <v>196.27</v>
      </c>
      <c r="J272" s="7" t="str">
        <f t="shared" si="9"/>
        <v>OK</v>
      </c>
    </row>
    <row r="273" spans="1:10" x14ac:dyDescent="0.3">
      <c r="A273" s="7">
        <v>60</v>
      </c>
      <c r="B273" s="7" t="s">
        <v>332</v>
      </c>
      <c r="C273" s="7">
        <v>101005</v>
      </c>
      <c r="D273" s="7" t="s">
        <v>232</v>
      </c>
      <c r="E273" s="7" t="s">
        <v>215</v>
      </c>
      <c r="F273" s="8">
        <v>75</v>
      </c>
      <c r="G273" s="8">
        <v>158.5</v>
      </c>
      <c r="H273" s="7" t="s">
        <v>26</v>
      </c>
      <c r="I273" s="8">
        <f t="shared" si="8"/>
        <v>83.5</v>
      </c>
      <c r="J273" s="7" t="str">
        <f t="shared" si="9"/>
        <v>OK</v>
      </c>
    </row>
    <row r="274" spans="1:10" x14ac:dyDescent="0.3">
      <c r="A274" s="7">
        <v>60</v>
      </c>
      <c r="B274" s="7" t="s">
        <v>332</v>
      </c>
      <c r="C274" s="7">
        <v>101026</v>
      </c>
      <c r="D274" s="7" t="s">
        <v>233</v>
      </c>
      <c r="E274" s="7" t="s">
        <v>215</v>
      </c>
      <c r="F274" s="8">
        <v>44</v>
      </c>
      <c r="G274" s="8">
        <v>82.1</v>
      </c>
      <c r="H274" s="7" t="s">
        <v>26</v>
      </c>
      <c r="I274" s="8">
        <f t="shared" si="8"/>
        <v>38.099999999999994</v>
      </c>
      <c r="J274" s="7" t="str">
        <f t="shared" si="9"/>
        <v>OK</v>
      </c>
    </row>
    <row r="275" spans="1:10" x14ac:dyDescent="0.3">
      <c r="A275" s="7">
        <v>60</v>
      </c>
      <c r="B275" s="7" t="s">
        <v>332</v>
      </c>
      <c r="C275" s="7">
        <v>101027</v>
      </c>
      <c r="D275" s="7" t="s">
        <v>234</v>
      </c>
      <c r="E275" s="7" t="s">
        <v>215</v>
      </c>
      <c r="F275" s="8">
        <v>40</v>
      </c>
      <c r="G275" s="8">
        <v>112.62</v>
      </c>
      <c r="H275" s="7" t="s">
        <v>26</v>
      </c>
      <c r="I275" s="8">
        <f t="shared" si="8"/>
        <v>72.62</v>
      </c>
      <c r="J275" s="7" t="str">
        <f t="shared" si="9"/>
        <v>OK</v>
      </c>
    </row>
    <row r="276" spans="1:10" x14ac:dyDescent="0.3">
      <c r="A276" s="7">
        <v>60</v>
      </c>
      <c r="B276" s="7" t="s">
        <v>332</v>
      </c>
      <c r="C276" s="7">
        <v>101028</v>
      </c>
      <c r="D276" s="7" t="s">
        <v>214</v>
      </c>
      <c r="E276" s="7" t="s">
        <v>215</v>
      </c>
      <c r="F276" s="8">
        <v>72</v>
      </c>
      <c r="G276" s="8">
        <v>294.06</v>
      </c>
      <c r="H276" s="7" t="s">
        <v>26</v>
      </c>
      <c r="I276" s="8">
        <f t="shared" si="8"/>
        <v>222.06</v>
      </c>
      <c r="J276" s="7" t="str">
        <f t="shared" si="9"/>
        <v>OK</v>
      </c>
    </row>
    <row r="277" spans="1:10" x14ac:dyDescent="0.3">
      <c r="A277" s="7">
        <v>60</v>
      </c>
      <c r="B277" s="7" t="s">
        <v>332</v>
      </c>
      <c r="C277" s="7">
        <v>101034</v>
      </c>
      <c r="D277" s="7" t="s">
        <v>272</v>
      </c>
      <c r="E277" s="7" t="s">
        <v>215</v>
      </c>
      <c r="F277" s="8">
        <v>1.33</v>
      </c>
      <c r="G277" s="8">
        <v>109.91</v>
      </c>
      <c r="H277" s="7" t="s">
        <v>26</v>
      </c>
      <c r="I277" s="8">
        <f t="shared" si="8"/>
        <v>108.58</v>
      </c>
      <c r="J277" s="7" t="str">
        <f t="shared" si="9"/>
        <v>OK</v>
      </c>
    </row>
    <row r="278" spans="1:10" x14ac:dyDescent="0.3">
      <c r="A278" s="7">
        <v>60</v>
      </c>
      <c r="B278" s="7" t="s">
        <v>332</v>
      </c>
      <c r="C278" s="7">
        <v>101038</v>
      </c>
      <c r="D278" s="7" t="s">
        <v>235</v>
      </c>
      <c r="E278" s="7" t="s">
        <v>215</v>
      </c>
      <c r="F278" s="8">
        <v>23</v>
      </c>
      <c r="G278" s="8">
        <v>399.37</v>
      </c>
      <c r="H278" s="7" t="s">
        <v>26</v>
      </c>
      <c r="I278" s="8">
        <f t="shared" si="8"/>
        <v>376.37</v>
      </c>
      <c r="J278" s="7" t="str">
        <f t="shared" si="9"/>
        <v>OK</v>
      </c>
    </row>
    <row r="279" spans="1:10" x14ac:dyDescent="0.3">
      <c r="A279" s="7">
        <v>60</v>
      </c>
      <c r="B279" s="7" t="s">
        <v>332</v>
      </c>
      <c r="C279" s="7">
        <v>101072</v>
      </c>
      <c r="D279" s="7" t="s">
        <v>273</v>
      </c>
      <c r="E279" s="7" t="s">
        <v>215</v>
      </c>
      <c r="F279" s="8">
        <v>16</v>
      </c>
      <c r="G279" s="8">
        <v>568.85</v>
      </c>
      <c r="H279" s="7" t="s">
        <v>26</v>
      </c>
      <c r="I279" s="8">
        <f t="shared" si="8"/>
        <v>552.85</v>
      </c>
      <c r="J279" s="7" t="str">
        <f t="shared" si="9"/>
        <v>OK</v>
      </c>
    </row>
    <row r="280" spans="1:10" x14ac:dyDescent="0.3">
      <c r="A280" s="7">
        <v>60</v>
      </c>
      <c r="B280" s="7" t="s">
        <v>332</v>
      </c>
      <c r="C280" s="7">
        <v>101130</v>
      </c>
      <c r="D280" s="7" t="s">
        <v>247</v>
      </c>
      <c r="E280" s="7" t="s">
        <v>215</v>
      </c>
      <c r="F280" s="8">
        <v>48</v>
      </c>
      <c r="G280" s="8">
        <v>0</v>
      </c>
      <c r="H280" s="7" t="s">
        <v>26</v>
      </c>
      <c r="I280" s="8">
        <f t="shared" si="8"/>
        <v>0</v>
      </c>
      <c r="J280" s="7" t="str">
        <f t="shared" si="9"/>
        <v>Queda en 0</v>
      </c>
    </row>
    <row r="281" spans="1:10" x14ac:dyDescent="0.3">
      <c r="A281" s="7">
        <v>60</v>
      </c>
      <c r="B281" s="7" t="s">
        <v>332</v>
      </c>
      <c r="C281" s="7">
        <v>103001</v>
      </c>
      <c r="D281" s="7" t="s">
        <v>248</v>
      </c>
      <c r="E281" s="7" t="s">
        <v>215</v>
      </c>
      <c r="F281" s="8">
        <v>232.67</v>
      </c>
      <c r="G281" s="8">
        <v>3698.35</v>
      </c>
      <c r="H281" s="7" t="s">
        <v>26</v>
      </c>
      <c r="I281" s="8">
        <f t="shared" si="8"/>
        <v>3465.68</v>
      </c>
      <c r="J281" s="7" t="str">
        <f t="shared" si="9"/>
        <v>OK</v>
      </c>
    </row>
    <row r="282" spans="1:10" x14ac:dyDescent="0.3">
      <c r="A282" s="7">
        <v>60</v>
      </c>
      <c r="B282" s="7" t="s">
        <v>332</v>
      </c>
      <c r="C282" s="7">
        <v>103202</v>
      </c>
      <c r="D282" s="7" t="s">
        <v>287</v>
      </c>
      <c r="E282" s="7" t="s">
        <v>215</v>
      </c>
      <c r="F282" s="8">
        <v>4</v>
      </c>
      <c r="G282" s="8">
        <v>13.98</v>
      </c>
      <c r="H282" s="7" t="s">
        <v>26</v>
      </c>
      <c r="I282" s="8">
        <f t="shared" si="8"/>
        <v>9.98</v>
      </c>
      <c r="J282" s="7" t="str">
        <f t="shared" si="9"/>
        <v>OK</v>
      </c>
    </row>
    <row r="283" spans="1:10" x14ac:dyDescent="0.3">
      <c r="A283" s="7">
        <v>60</v>
      </c>
      <c r="B283" s="7" t="s">
        <v>332</v>
      </c>
      <c r="C283" s="7">
        <v>201001</v>
      </c>
      <c r="D283" s="7" t="s">
        <v>216</v>
      </c>
      <c r="E283" s="7" t="s">
        <v>217</v>
      </c>
      <c r="F283" s="8">
        <v>14</v>
      </c>
      <c r="G283" s="8">
        <v>359.42</v>
      </c>
      <c r="H283" s="7" t="s">
        <v>26</v>
      </c>
      <c r="I283" s="8">
        <f t="shared" si="8"/>
        <v>345.42</v>
      </c>
      <c r="J283" s="7" t="str">
        <f t="shared" si="9"/>
        <v>OK</v>
      </c>
    </row>
    <row r="284" spans="1:10" x14ac:dyDescent="0.3">
      <c r="A284" s="7">
        <v>60</v>
      </c>
      <c r="B284" s="7" t="s">
        <v>332</v>
      </c>
      <c r="C284" s="7">
        <v>511005</v>
      </c>
      <c r="D284" s="7" t="s">
        <v>249</v>
      </c>
      <c r="E284" s="7" t="s">
        <v>217</v>
      </c>
      <c r="F284" s="8">
        <v>12</v>
      </c>
      <c r="G284" s="8">
        <v>13.92</v>
      </c>
      <c r="H284" s="7" t="s">
        <v>26</v>
      </c>
      <c r="I284" s="8">
        <f t="shared" si="8"/>
        <v>1.92</v>
      </c>
      <c r="J284" s="7" t="str">
        <f t="shared" si="9"/>
        <v>OK</v>
      </c>
    </row>
    <row r="285" spans="1:10" x14ac:dyDescent="0.3">
      <c r="A285" s="7">
        <v>60</v>
      </c>
      <c r="B285" s="7" t="s">
        <v>332</v>
      </c>
      <c r="C285" s="7">
        <v>611049</v>
      </c>
      <c r="D285" s="7" t="s">
        <v>251</v>
      </c>
      <c r="E285" s="7" t="s">
        <v>217</v>
      </c>
      <c r="F285" s="8">
        <v>24</v>
      </c>
      <c r="G285" s="8">
        <v>406.34</v>
      </c>
      <c r="H285" s="7" t="s">
        <v>26</v>
      </c>
      <c r="I285" s="8">
        <f t="shared" si="8"/>
        <v>382.34</v>
      </c>
      <c r="J285" s="7" t="str">
        <f t="shared" si="9"/>
        <v>OK</v>
      </c>
    </row>
    <row r="286" spans="1:10" x14ac:dyDescent="0.3">
      <c r="A286" s="7">
        <v>60</v>
      </c>
      <c r="B286" s="7" t="s">
        <v>332</v>
      </c>
      <c r="C286" s="7">
        <v>611053</v>
      </c>
      <c r="D286" s="7" t="s">
        <v>253</v>
      </c>
      <c r="E286" s="7" t="s">
        <v>217</v>
      </c>
      <c r="F286" s="8">
        <v>72</v>
      </c>
      <c r="G286" s="8">
        <v>492.63</v>
      </c>
      <c r="H286" s="7" t="s">
        <v>26</v>
      </c>
      <c r="I286" s="8">
        <f t="shared" si="8"/>
        <v>420.63</v>
      </c>
      <c r="J286" s="7" t="str">
        <f t="shared" si="9"/>
        <v>OK</v>
      </c>
    </row>
    <row r="287" spans="1:10" x14ac:dyDescent="0.3">
      <c r="A287" s="7">
        <v>60</v>
      </c>
      <c r="B287" s="7" t="s">
        <v>332</v>
      </c>
      <c r="C287" s="7">
        <v>611055</v>
      </c>
      <c r="D287" s="7" t="s">
        <v>254</v>
      </c>
      <c r="E287" s="7" t="s">
        <v>217</v>
      </c>
      <c r="F287" s="8">
        <v>13.33</v>
      </c>
      <c r="G287" s="8">
        <v>72.83</v>
      </c>
      <c r="H287" s="7" t="s">
        <v>26</v>
      </c>
      <c r="I287" s="8">
        <f t="shared" si="8"/>
        <v>59.5</v>
      </c>
      <c r="J287" s="7" t="str">
        <f t="shared" si="9"/>
        <v>OK</v>
      </c>
    </row>
    <row r="288" spans="1:10" x14ac:dyDescent="0.3">
      <c r="A288" s="7">
        <v>60</v>
      </c>
      <c r="B288" s="7" t="s">
        <v>332</v>
      </c>
      <c r="C288" s="7">
        <v>611507</v>
      </c>
      <c r="D288" s="7" t="s">
        <v>255</v>
      </c>
      <c r="E288" s="7" t="s">
        <v>215</v>
      </c>
      <c r="F288" s="8">
        <v>8</v>
      </c>
      <c r="G288" s="8">
        <v>0</v>
      </c>
      <c r="H288" s="7" t="s">
        <v>26</v>
      </c>
      <c r="I288" s="8">
        <f t="shared" si="8"/>
        <v>0</v>
      </c>
      <c r="J288" s="7" t="str">
        <f t="shared" si="9"/>
        <v>Queda en 0</v>
      </c>
    </row>
    <row r="289" spans="1:10" x14ac:dyDescent="0.3">
      <c r="A289" s="7">
        <v>60</v>
      </c>
      <c r="B289" s="7" t="s">
        <v>332</v>
      </c>
      <c r="C289" s="7">
        <v>621006</v>
      </c>
      <c r="D289" s="7" t="s">
        <v>288</v>
      </c>
      <c r="E289" s="7" t="s">
        <v>239</v>
      </c>
      <c r="F289" s="8">
        <v>4</v>
      </c>
      <c r="G289" s="8">
        <v>4.5599999999999996</v>
      </c>
      <c r="H289" s="7" t="s">
        <v>26</v>
      </c>
      <c r="I289" s="8">
        <f t="shared" si="8"/>
        <v>0.55999999999999961</v>
      </c>
      <c r="J289" s="7" t="str">
        <f t="shared" si="9"/>
        <v>OK</v>
      </c>
    </row>
    <row r="290" spans="1:10" x14ac:dyDescent="0.3">
      <c r="A290" s="7">
        <v>60</v>
      </c>
      <c r="B290" s="7" t="s">
        <v>332</v>
      </c>
      <c r="C290" s="7">
        <v>621008</v>
      </c>
      <c r="D290" s="7" t="s">
        <v>289</v>
      </c>
      <c r="E290" s="7" t="s">
        <v>239</v>
      </c>
      <c r="F290" s="8">
        <v>4</v>
      </c>
      <c r="G290" s="8">
        <v>9.11</v>
      </c>
      <c r="H290" s="7" t="s">
        <v>26</v>
      </c>
      <c r="I290" s="8">
        <f t="shared" si="8"/>
        <v>5.1099999999999994</v>
      </c>
      <c r="J290" s="7" t="str">
        <f t="shared" si="9"/>
        <v>OK</v>
      </c>
    </row>
    <row r="291" spans="1:10" x14ac:dyDescent="0.3">
      <c r="A291" s="7">
        <v>60</v>
      </c>
      <c r="B291" s="7" t="s">
        <v>332</v>
      </c>
      <c r="C291" s="7">
        <v>621043</v>
      </c>
      <c r="D291" s="7" t="s">
        <v>257</v>
      </c>
      <c r="E291" s="7" t="s">
        <v>239</v>
      </c>
      <c r="F291" s="8">
        <v>1.33</v>
      </c>
      <c r="G291" s="8">
        <v>0</v>
      </c>
      <c r="H291" s="7" t="s">
        <v>26</v>
      </c>
      <c r="I291" s="8">
        <f t="shared" si="8"/>
        <v>0</v>
      </c>
      <c r="J291" s="7" t="str">
        <f t="shared" si="9"/>
        <v>Queda en 0</v>
      </c>
    </row>
    <row r="292" spans="1:10" x14ac:dyDescent="0.3">
      <c r="A292" s="7">
        <v>60</v>
      </c>
      <c r="B292" s="7" t="s">
        <v>332</v>
      </c>
      <c r="C292" s="7">
        <v>621045</v>
      </c>
      <c r="D292" s="7" t="s">
        <v>238</v>
      </c>
      <c r="E292" s="7" t="s">
        <v>239</v>
      </c>
      <c r="F292" s="8">
        <v>12</v>
      </c>
      <c r="G292" s="8">
        <v>230.17</v>
      </c>
      <c r="H292" s="7" t="s">
        <v>26</v>
      </c>
      <c r="I292" s="8">
        <f t="shared" si="8"/>
        <v>218.17</v>
      </c>
      <c r="J292" s="7" t="str">
        <f t="shared" si="9"/>
        <v>OK</v>
      </c>
    </row>
    <row r="293" spans="1:10" x14ac:dyDescent="0.3">
      <c r="A293" s="7">
        <v>60</v>
      </c>
      <c r="B293" s="7" t="s">
        <v>332</v>
      </c>
      <c r="C293" s="7">
        <v>800088</v>
      </c>
      <c r="D293" s="7" t="s">
        <v>240</v>
      </c>
      <c r="E293" s="7" t="s">
        <v>215</v>
      </c>
      <c r="F293" s="8">
        <v>10</v>
      </c>
      <c r="G293" s="8">
        <v>141.82</v>
      </c>
      <c r="H293" s="7" t="s">
        <v>26</v>
      </c>
      <c r="I293" s="8">
        <f t="shared" si="8"/>
        <v>131.82</v>
      </c>
      <c r="J293" s="7" t="str">
        <f t="shared" si="9"/>
        <v>OK</v>
      </c>
    </row>
    <row r="294" spans="1:10" x14ac:dyDescent="0.3">
      <c r="A294" s="7">
        <v>60</v>
      </c>
      <c r="B294" s="7" t="s">
        <v>332</v>
      </c>
      <c r="C294" s="7">
        <v>800089</v>
      </c>
      <c r="D294" s="7" t="s">
        <v>241</v>
      </c>
      <c r="E294" s="7" t="s">
        <v>215</v>
      </c>
      <c r="F294" s="8">
        <v>8.33</v>
      </c>
      <c r="G294" s="8">
        <v>154.33000000000001</v>
      </c>
      <c r="H294" s="7" t="s">
        <v>26</v>
      </c>
      <c r="I294" s="8">
        <f t="shared" si="8"/>
        <v>146</v>
      </c>
      <c r="J294" s="7" t="str">
        <f t="shared" si="9"/>
        <v>OK</v>
      </c>
    </row>
    <row r="295" spans="1:10" x14ac:dyDescent="0.3">
      <c r="A295" s="7">
        <v>60</v>
      </c>
      <c r="B295" s="7" t="s">
        <v>332</v>
      </c>
      <c r="C295" s="7">
        <v>800792</v>
      </c>
      <c r="D295" s="7" t="s">
        <v>242</v>
      </c>
      <c r="E295" s="7" t="s">
        <v>243</v>
      </c>
      <c r="F295" s="8">
        <v>16.670000000000002</v>
      </c>
      <c r="G295" s="8">
        <v>137.34</v>
      </c>
      <c r="H295" s="7" t="s">
        <v>26</v>
      </c>
      <c r="I295" s="8">
        <f t="shared" si="8"/>
        <v>120.67</v>
      </c>
      <c r="J295" s="7" t="str">
        <f t="shared" si="9"/>
        <v>OK</v>
      </c>
    </row>
    <row r="296" spans="1:10" x14ac:dyDescent="0.3">
      <c r="A296" s="7">
        <v>60</v>
      </c>
      <c r="B296" s="7" t="s">
        <v>332</v>
      </c>
      <c r="C296" s="7">
        <v>800793</v>
      </c>
      <c r="D296" s="7" t="s">
        <v>260</v>
      </c>
      <c r="E296" s="7" t="s">
        <v>243</v>
      </c>
      <c r="F296" s="8">
        <v>5.33</v>
      </c>
      <c r="G296" s="8">
        <v>32.1</v>
      </c>
      <c r="H296" s="7" t="s">
        <v>26</v>
      </c>
      <c r="I296" s="8">
        <f t="shared" si="8"/>
        <v>26.770000000000003</v>
      </c>
      <c r="J296" s="7" t="str">
        <f t="shared" si="9"/>
        <v>OK</v>
      </c>
    </row>
    <row r="297" spans="1:10" x14ac:dyDescent="0.3">
      <c r="A297" s="7">
        <v>60</v>
      </c>
      <c r="B297" s="7" t="s">
        <v>332</v>
      </c>
      <c r="C297" s="7">
        <v>924104</v>
      </c>
      <c r="D297" s="7" t="s">
        <v>277</v>
      </c>
      <c r="E297" s="7" t="s">
        <v>215</v>
      </c>
      <c r="F297" s="8">
        <v>4</v>
      </c>
      <c r="G297" s="8">
        <v>0</v>
      </c>
      <c r="H297" s="7" t="s">
        <v>26</v>
      </c>
      <c r="I297" s="8">
        <f t="shared" si="8"/>
        <v>0</v>
      </c>
      <c r="J297" s="7" t="str">
        <f t="shared" si="9"/>
        <v>Queda en 0</v>
      </c>
    </row>
    <row r="298" spans="1:10" x14ac:dyDescent="0.3">
      <c r="A298" s="7">
        <v>60</v>
      </c>
      <c r="B298" s="7" t="s">
        <v>332</v>
      </c>
      <c r="C298" s="7">
        <v>925050</v>
      </c>
      <c r="D298" s="7" t="s">
        <v>261</v>
      </c>
      <c r="E298" s="7" t="s">
        <v>220</v>
      </c>
      <c r="F298" s="8">
        <v>4</v>
      </c>
      <c r="G298" s="8">
        <v>93.87</v>
      </c>
      <c r="H298" s="7" t="s">
        <v>26</v>
      </c>
      <c r="I298" s="8">
        <f t="shared" si="8"/>
        <v>89.87</v>
      </c>
      <c r="J298" s="7" t="str">
        <f t="shared" si="9"/>
        <v>OK</v>
      </c>
    </row>
    <row r="299" spans="1:10" x14ac:dyDescent="0.3">
      <c r="A299" s="7">
        <v>60</v>
      </c>
      <c r="B299" s="7" t="s">
        <v>332</v>
      </c>
      <c r="C299" s="7">
        <v>925059</v>
      </c>
      <c r="D299" s="7" t="s">
        <v>262</v>
      </c>
      <c r="E299" s="7" t="s">
        <v>220</v>
      </c>
      <c r="F299" s="8">
        <v>0.33</v>
      </c>
      <c r="G299" s="8">
        <v>0</v>
      </c>
      <c r="H299" s="7" t="s">
        <v>26</v>
      </c>
      <c r="I299" s="8">
        <f t="shared" si="8"/>
        <v>0</v>
      </c>
      <c r="J299" s="7" t="str">
        <f t="shared" si="9"/>
        <v>Queda en 0</v>
      </c>
    </row>
    <row r="300" spans="1:10" x14ac:dyDescent="0.3">
      <c r="A300" s="7">
        <v>60</v>
      </c>
      <c r="B300" s="7" t="s">
        <v>332</v>
      </c>
      <c r="C300" s="7">
        <v>925064</v>
      </c>
      <c r="D300" s="7" t="s">
        <v>263</v>
      </c>
      <c r="E300" s="7" t="s">
        <v>220</v>
      </c>
      <c r="F300" s="8">
        <v>8.33</v>
      </c>
      <c r="G300" s="8">
        <v>234.26</v>
      </c>
      <c r="H300" s="7" t="s">
        <v>26</v>
      </c>
      <c r="I300" s="8">
        <f t="shared" si="8"/>
        <v>225.92999999999998</v>
      </c>
      <c r="J300" s="7" t="str">
        <f t="shared" si="9"/>
        <v>OK</v>
      </c>
    </row>
    <row r="301" spans="1:10" x14ac:dyDescent="0.3">
      <c r="A301" s="7">
        <v>60</v>
      </c>
      <c r="B301" s="7" t="s">
        <v>332</v>
      </c>
      <c r="C301" s="7">
        <v>925078</v>
      </c>
      <c r="D301" s="7" t="s">
        <v>221</v>
      </c>
      <c r="E301" s="7" t="s">
        <v>220</v>
      </c>
      <c r="F301" s="8">
        <v>4</v>
      </c>
      <c r="G301" s="8">
        <v>38.51</v>
      </c>
      <c r="H301" s="7" t="s">
        <v>26</v>
      </c>
      <c r="I301" s="8">
        <f t="shared" si="8"/>
        <v>34.51</v>
      </c>
      <c r="J301" s="7" t="str">
        <f t="shared" si="9"/>
        <v>OK</v>
      </c>
    </row>
    <row r="302" spans="1:10" x14ac:dyDescent="0.3">
      <c r="A302" s="7">
        <v>60</v>
      </c>
      <c r="B302" s="7" t="s">
        <v>332</v>
      </c>
      <c r="C302" s="7">
        <v>925079</v>
      </c>
      <c r="D302" s="7" t="s">
        <v>279</v>
      </c>
      <c r="E302" s="7" t="s">
        <v>220</v>
      </c>
      <c r="F302" s="8">
        <v>2</v>
      </c>
      <c r="G302" s="8">
        <v>62.58</v>
      </c>
      <c r="H302" s="7" t="s">
        <v>26</v>
      </c>
      <c r="I302" s="8">
        <f t="shared" si="8"/>
        <v>60.58</v>
      </c>
      <c r="J302" s="7" t="str">
        <f t="shared" si="9"/>
        <v>OK</v>
      </c>
    </row>
    <row r="303" spans="1:10" x14ac:dyDescent="0.3">
      <c r="A303" s="7">
        <v>60</v>
      </c>
      <c r="B303" s="7" t="s">
        <v>332</v>
      </c>
      <c r="C303" s="7">
        <v>930012</v>
      </c>
      <c r="D303" s="7" t="s">
        <v>264</v>
      </c>
      <c r="E303" s="7" t="s">
        <v>243</v>
      </c>
      <c r="F303" s="8">
        <v>13.33</v>
      </c>
      <c r="G303" s="8">
        <v>232.78</v>
      </c>
      <c r="H303" s="7" t="s">
        <v>26</v>
      </c>
      <c r="I303" s="8">
        <f t="shared" si="8"/>
        <v>219.45</v>
      </c>
      <c r="J303" s="7" t="str">
        <f t="shared" si="9"/>
        <v>OK</v>
      </c>
    </row>
    <row r="304" spans="1:10" x14ac:dyDescent="0.3">
      <c r="A304" s="7">
        <v>60</v>
      </c>
      <c r="B304" s="7" t="s">
        <v>332</v>
      </c>
      <c r="C304" s="7">
        <v>930020</v>
      </c>
      <c r="D304" s="7" t="s">
        <v>299</v>
      </c>
      <c r="E304" s="7" t="s">
        <v>243</v>
      </c>
      <c r="F304" s="8">
        <v>2.67</v>
      </c>
      <c r="G304" s="8">
        <v>45.49</v>
      </c>
      <c r="H304" s="7" t="s">
        <v>26</v>
      </c>
      <c r="I304" s="8">
        <f t="shared" si="8"/>
        <v>42.82</v>
      </c>
      <c r="J304" s="7" t="str">
        <f t="shared" si="9"/>
        <v>OK</v>
      </c>
    </row>
    <row r="305" spans="1:10" x14ac:dyDescent="0.3">
      <c r="A305" s="7">
        <v>60</v>
      </c>
      <c r="B305" s="7" t="s">
        <v>332</v>
      </c>
      <c r="C305" s="7">
        <v>930021</v>
      </c>
      <c r="D305" s="7" t="s">
        <v>300</v>
      </c>
      <c r="E305" s="7" t="s">
        <v>243</v>
      </c>
      <c r="F305" s="8">
        <v>3.67</v>
      </c>
      <c r="G305" s="8">
        <v>76.7</v>
      </c>
      <c r="H305" s="7" t="s">
        <v>26</v>
      </c>
      <c r="I305" s="8">
        <f t="shared" si="8"/>
        <v>73.03</v>
      </c>
      <c r="J305" s="7" t="str">
        <f t="shared" si="9"/>
        <v>OK</v>
      </c>
    </row>
    <row r="306" spans="1:10" x14ac:dyDescent="0.3">
      <c r="A306" s="7">
        <v>60</v>
      </c>
      <c r="B306" s="7" t="s">
        <v>332</v>
      </c>
      <c r="C306" s="7">
        <v>930022</v>
      </c>
      <c r="D306" s="7" t="s">
        <v>265</v>
      </c>
      <c r="E306" s="7" t="s">
        <v>243</v>
      </c>
      <c r="F306" s="8">
        <v>3.67</v>
      </c>
      <c r="G306" s="8">
        <v>83.83</v>
      </c>
      <c r="H306" s="7" t="s">
        <v>26</v>
      </c>
      <c r="I306" s="8">
        <f t="shared" si="8"/>
        <v>80.16</v>
      </c>
      <c r="J306" s="7" t="str">
        <f t="shared" si="9"/>
        <v>OK</v>
      </c>
    </row>
    <row r="307" spans="1:10" x14ac:dyDescent="0.3">
      <c r="A307" s="7">
        <v>60</v>
      </c>
      <c r="B307" s="7" t="s">
        <v>332</v>
      </c>
      <c r="C307" s="7">
        <v>930025</v>
      </c>
      <c r="D307" s="7" t="s">
        <v>244</v>
      </c>
      <c r="E307" s="7" t="s">
        <v>243</v>
      </c>
      <c r="F307" s="8">
        <v>10.67</v>
      </c>
      <c r="G307" s="8">
        <v>102.56</v>
      </c>
      <c r="H307" s="7" t="s">
        <v>26</v>
      </c>
      <c r="I307" s="8">
        <f t="shared" si="8"/>
        <v>91.89</v>
      </c>
      <c r="J307" s="7" t="str">
        <f t="shared" si="9"/>
        <v>OK</v>
      </c>
    </row>
    <row r="308" spans="1:10" x14ac:dyDescent="0.3">
      <c r="A308" s="7">
        <v>60</v>
      </c>
      <c r="B308" s="7" t="s">
        <v>332</v>
      </c>
      <c r="C308" s="7">
        <v>930154</v>
      </c>
      <c r="D308" s="7" t="s">
        <v>245</v>
      </c>
      <c r="E308" s="7" t="s">
        <v>243</v>
      </c>
      <c r="F308" s="8">
        <v>1</v>
      </c>
      <c r="G308" s="8">
        <v>34.78</v>
      </c>
      <c r="H308" s="7" t="s">
        <v>26</v>
      </c>
      <c r="I308" s="8">
        <f t="shared" si="8"/>
        <v>33.78</v>
      </c>
      <c r="J308" s="7" t="str">
        <f t="shared" si="9"/>
        <v>OK</v>
      </c>
    </row>
    <row r="309" spans="1:10" x14ac:dyDescent="0.3">
      <c r="A309" s="7">
        <v>66</v>
      </c>
      <c r="B309" s="7" t="s">
        <v>333</v>
      </c>
      <c r="C309" s="7">
        <v>101005</v>
      </c>
      <c r="D309" s="7" t="s">
        <v>232</v>
      </c>
      <c r="E309" s="7" t="s">
        <v>215</v>
      </c>
      <c r="F309" s="8">
        <v>23.33</v>
      </c>
      <c r="G309" s="8">
        <v>94.55</v>
      </c>
      <c r="H309" s="7" t="s">
        <v>26</v>
      </c>
      <c r="I309" s="8">
        <f t="shared" si="8"/>
        <v>71.22</v>
      </c>
      <c r="J309" s="7" t="str">
        <f t="shared" si="9"/>
        <v>OK</v>
      </c>
    </row>
    <row r="310" spans="1:10" x14ac:dyDescent="0.3">
      <c r="A310" s="7">
        <v>66</v>
      </c>
      <c r="B310" s="7" t="s">
        <v>333</v>
      </c>
      <c r="C310" s="7">
        <v>101026</v>
      </c>
      <c r="D310" s="7" t="s">
        <v>233</v>
      </c>
      <c r="E310" s="7" t="s">
        <v>215</v>
      </c>
      <c r="F310" s="8">
        <v>48</v>
      </c>
      <c r="G310" s="8">
        <v>66.5</v>
      </c>
      <c r="H310" s="7" t="s">
        <v>26</v>
      </c>
      <c r="I310" s="8">
        <f t="shared" si="8"/>
        <v>18.5</v>
      </c>
      <c r="J310" s="7" t="str">
        <f t="shared" si="9"/>
        <v>OK</v>
      </c>
    </row>
    <row r="311" spans="1:10" x14ac:dyDescent="0.3">
      <c r="A311" s="7">
        <v>66</v>
      </c>
      <c r="B311" s="7" t="s">
        <v>333</v>
      </c>
      <c r="C311" s="7">
        <v>101027</v>
      </c>
      <c r="D311" s="7" t="s">
        <v>234</v>
      </c>
      <c r="E311" s="7" t="s">
        <v>215</v>
      </c>
      <c r="F311" s="8">
        <v>8</v>
      </c>
      <c r="G311" s="8">
        <v>104.11</v>
      </c>
      <c r="H311" s="7" t="s">
        <v>26</v>
      </c>
      <c r="I311" s="8">
        <f t="shared" si="8"/>
        <v>96.11</v>
      </c>
      <c r="J311" s="7" t="str">
        <f t="shared" si="9"/>
        <v>OK</v>
      </c>
    </row>
    <row r="312" spans="1:10" x14ac:dyDescent="0.3">
      <c r="A312" s="7">
        <v>66</v>
      </c>
      <c r="B312" s="7" t="s">
        <v>333</v>
      </c>
      <c r="C312" s="7">
        <v>101028</v>
      </c>
      <c r="D312" s="7" t="s">
        <v>214</v>
      </c>
      <c r="E312" s="7" t="s">
        <v>215</v>
      </c>
      <c r="F312" s="8">
        <v>41.67</v>
      </c>
      <c r="G312" s="8">
        <v>149.58000000000001</v>
      </c>
      <c r="H312" s="7" t="s">
        <v>26</v>
      </c>
      <c r="I312" s="8">
        <f t="shared" si="8"/>
        <v>107.91000000000001</v>
      </c>
      <c r="J312" s="7" t="str">
        <f t="shared" si="9"/>
        <v>OK</v>
      </c>
    </row>
    <row r="313" spans="1:10" x14ac:dyDescent="0.3">
      <c r="A313" s="7">
        <v>66</v>
      </c>
      <c r="B313" s="7" t="s">
        <v>333</v>
      </c>
      <c r="C313" s="7">
        <v>101038</v>
      </c>
      <c r="D313" s="7" t="s">
        <v>235</v>
      </c>
      <c r="E313" s="7" t="s">
        <v>215</v>
      </c>
      <c r="F313" s="8">
        <v>2.33</v>
      </c>
      <c r="G313" s="8">
        <v>433.19</v>
      </c>
      <c r="H313" s="7" t="s">
        <v>26</v>
      </c>
      <c r="I313" s="8">
        <f t="shared" si="8"/>
        <v>430.86</v>
      </c>
      <c r="J313" s="7" t="str">
        <f t="shared" si="9"/>
        <v>OK</v>
      </c>
    </row>
    <row r="314" spans="1:10" x14ac:dyDescent="0.3">
      <c r="A314" s="7">
        <v>66</v>
      </c>
      <c r="B314" s="7" t="s">
        <v>333</v>
      </c>
      <c r="C314" s="7">
        <v>103001</v>
      </c>
      <c r="D314" s="7" t="s">
        <v>248</v>
      </c>
      <c r="E314" s="7" t="s">
        <v>215</v>
      </c>
      <c r="F314" s="8">
        <v>16</v>
      </c>
      <c r="G314" s="8">
        <v>3111.89</v>
      </c>
      <c r="H314" s="7" t="s">
        <v>26</v>
      </c>
      <c r="I314" s="8">
        <f t="shared" si="8"/>
        <v>3095.89</v>
      </c>
      <c r="J314" s="7" t="str">
        <f t="shared" si="9"/>
        <v>OK</v>
      </c>
    </row>
    <row r="315" spans="1:10" x14ac:dyDescent="0.3">
      <c r="A315" s="7">
        <v>66</v>
      </c>
      <c r="B315" s="7" t="s">
        <v>333</v>
      </c>
      <c r="C315" s="7">
        <v>201001</v>
      </c>
      <c r="D315" s="7" t="s">
        <v>216</v>
      </c>
      <c r="E315" s="7" t="s">
        <v>217</v>
      </c>
      <c r="F315" s="8">
        <v>0.33</v>
      </c>
      <c r="G315" s="8">
        <v>461.51</v>
      </c>
      <c r="H315" s="7" t="s">
        <v>26</v>
      </c>
      <c r="I315" s="8">
        <f t="shared" si="8"/>
        <v>461.18</v>
      </c>
      <c r="J315" s="7" t="str">
        <f t="shared" si="9"/>
        <v>OK</v>
      </c>
    </row>
    <row r="316" spans="1:10" x14ac:dyDescent="0.3">
      <c r="A316" s="7">
        <v>66</v>
      </c>
      <c r="B316" s="7" t="s">
        <v>333</v>
      </c>
      <c r="C316" s="7">
        <v>501000</v>
      </c>
      <c r="D316" s="7" t="s">
        <v>237</v>
      </c>
      <c r="E316" s="7" t="s">
        <v>217</v>
      </c>
      <c r="F316" s="8">
        <v>0.67</v>
      </c>
      <c r="G316" s="8">
        <v>332.44</v>
      </c>
      <c r="H316" s="7" t="s">
        <v>26</v>
      </c>
      <c r="I316" s="8">
        <f t="shared" si="8"/>
        <v>331.77</v>
      </c>
      <c r="J316" s="7" t="str">
        <f t="shared" si="9"/>
        <v>OK</v>
      </c>
    </row>
    <row r="317" spans="1:10" x14ac:dyDescent="0.3">
      <c r="A317" s="7">
        <v>66</v>
      </c>
      <c r="B317" s="7" t="s">
        <v>333</v>
      </c>
      <c r="C317" s="7">
        <v>611048</v>
      </c>
      <c r="D317" s="7" t="s">
        <v>250</v>
      </c>
      <c r="E317" s="7" t="s">
        <v>217</v>
      </c>
      <c r="F317" s="8">
        <v>4</v>
      </c>
      <c r="G317" s="8">
        <v>3.85</v>
      </c>
      <c r="H317" s="7" t="s">
        <v>26</v>
      </c>
      <c r="I317" s="8">
        <f t="shared" si="8"/>
        <v>0</v>
      </c>
      <c r="J317" s="7" t="str">
        <f t="shared" si="9"/>
        <v>Queda en 0</v>
      </c>
    </row>
    <row r="318" spans="1:10" x14ac:dyDescent="0.3">
      <c r="A318" s="7">
        <v>66</v>
      </c>
      <c r="B318" s="7" t="s">
        <v>333</v>
      </c>
      <c r="C318" s="7">
        <v>611052</v>
      </c>
      <c r="D318" s="7" t="s">
        <v>252</v>
      </c>
      <c r="E318" s="7" t="s">
        <v>217</v>
      </c>
      <c r="F318" s="8">
        <v>16</v>
      </c>
      <c r="G318" s="8">
        <v>28.44</v>
      </c>
      <c r="H318" s="7" t="s">
        <v>26</v>
      </c>
      <c r="I318" s="8">
        <f t="shared" si="8"/>
        <v>12.440000000000001</v>
      </c>
      <c r="J318" s="7" t="str">
        <f t="shared" si="9"/>
        <v>OK</v>
      </c>
    </row>
    <row r="319" spans="1:10" x14ac:dyDescent="0.3">
      <c r="A319" s="7">
        <v>66</v>
      </c>
      <c r="B319" s="7" t="s">
        <v>333</v>
      </c>
      <c r="C319" s="7">
        <v>611053</v>
      </c>
      <c r="D319" s="7" t="s">
        <v>253</v>
      </c>
      <c r="E319" s="7" t="s">
        <v>217</v>
      </c>
      <c r="F319" s="8">
        <v>8</v>
      </c>
      <c r="G319" s="8">
        <v>675.55</v>
      </c>
      <c r="H319" s="7" t="s">
        <v>26</v>
      </c>
      <c r="I319" s="8">
        <f t="shared" si="8"/>
        <v>667.55</v>
      </c>
      <c r="J319" s="7" t="str">
        <f t="shared" si="9"/>
        <v>OK</v>
      </c>
    </row>
    <row r="320" spans="1:10" x14ac:dyDescent="0.3">
      <c r="A320" s="7">
        <v>66</v>
      </c>
      <c r="B320" s="7" t="s">
        <v>333</v>
      </c>
      <c r="C320" s="7">
        <v>611055</v>
      </c>
      <c r="D320" s="7" t="s">
        <v>254</v>
      </c>
      <c r="E320" s="7" t="s">
        <v>217</v>
      </c>
      <c r="F320" s="8">
        <v>18.670000000000002</v>
      </c>
      <c r="G320" s="8">
        <v>65.78</v>
      </c>
      <c r="H320" s="7" t="s">
        <v>26</v>
      </c>
      <c r="I320" s="8">
        <f t="shared" si="8"/>
        <v>47.11</v>
      </c>
      <c r="J320" s="7" t="str">
        <f t="shared" si="9"/>
        <v>OK</v>
      </c>
    </row>
    <row r="321" spans="1:10" x14ac:dyDescent="0.3">
      <c r="A321" s="7">
        <v>66</v>
      </c>
      <c r="B321" s="7" t="s">
        <v>333</v>
      </c>
      <c r="C321" s="7">
        <v>611507</v>
      </c>
      <c r="D321" s="7" t="s">
        <v>255</v>
      </c>
      <c r="E321" s="7" t="s">
        <v>215</v>
      </c>
      <c r="F321" s="8">
        <v>2.67</v>
      </c>
      <c r="G321" s="8">
        <v>0</v>
      </c>
      <c r="H321" s="7" t="s">
        <v>26</v>
      </c>
      <c r="I321" s="8">
        <f t="shared" si="8"/>
        <v>0</v>
      </c>
      <c r="J321" s="7" t="str">
        <f t="shared" si="9"/>
        <v>Queda en 0</v>
      </c>
    </row>
    <row r="322" spans="1:10" x14ac:dyDescent="0.3">
      <c r="A322" s="7">
        <v>66</v>
      </c>
      <c r="B322" s="7" t="s">
        <v>333</v>
      </c>
      <c r="C322" s="7">
        <v>621012</v>
      </c>
      <c r="D322" s="7" t="s">
        <v>334</v>
      </c>
      <c r="E322" s="7" t="s">
        <v>239</v>
      </c>
      <c r="F322" s="8">
        <v>8</v>
      </c>
      <c r="G322" s="8">
        <v>75.239999999999995</v>
      </c>
      <c r="H322" s="7" t="s">
        <v>26</v>
      </c>
      <c r="I322" s="8">
        <f t="shared" ref="I322:I385" si="10">MAX(0,G322-F322)</f>
        <v>67.239999999999995</v>
      </c>
      <c r="J322" s="7" t="str">
        <f t="shared" ref="J322:J385" si="11">IF(H322="No","Sin fila previa",IF(G322&lt;F322,"Queda en 0","OK"))</f>
        <v>OK</v>
      </c>
    </row>
    <row r="323" spans="1:10" x14ac:dyDescent="0.3">
      <c r="A323" s="7">
        <v>66</v>
      </c>
      <c r="B323" s="7" t="s">
        <v>333</v>
      </c>
      <c r="C323" s="7">
        <v>800088</v>
      </c>
      <c r="D323" s="7" t="s">
        <v>240</v>
      </c>
      <c r="E323" s="7" t="s">
        <v>215</v>
      </c>
      <c r="F323" s="8">
        <v>0.33</v>
      </c>
      <c r="G323" s="8">
        <v>189.07</v>
      </c>
      <c r="H323" s="7" t="s">
        <v>26</v>
      </c>
      <c r="I323" s="8">
        <f t="shared" si="10"/>
        <v>188.73999999999998</v>
      </c>
      <c r="J323" s="7" t="str">
        <f t="shared" si="11"/>
        <v>OK</v>
      </c>
    </row>
    <row r="324" spans="1:10" x14ac:dyDescent="0.3">
      <c r="A324" s="7">
        <v>66</v>
      </c>
      <c r="B324" s="7" t="s">
        <v>333</v>
      </c>
      <c r="C324" s="7">
        <v>800089</v>
      </c>
      <c r="D324" s="7" t="s">
        <v>241</v>
      </c>
      <c r="E324" s="7" t="s">
        <v>215</v>
      </c>
      <c r="F324" s="8">
        <v>1</v>
      </c>
      <c r="G324" s="8">
        <v>190.27</v>
      </c>
      <c r="H324" s="7" t="s">
        <v>26</v>
      </c>
      <c r="I324" s="8">
        <f t="shared" si="10"/>
        <v>189.27</v>
      </c>
      <c r="J324" s="7" t="str">
        <f t="shared" si="11"/>
        <v>OK</v>
      </c>
    </row>
    <row r="325" spans="1:10" x14ac:dyDescent="0.3">
      <c r="A325" s="7">
        <v>66</v>
      </c>
      <c r="B325" s="7" t="s">
        <v>333</v>
      </c>
      <c r="C325" s="7">
        <v>800792</v>
      </c>
      <c r="D325" s="7" t="s">
        <v>242</v>
      </c>
      <c r="E325" s="7" t="s">
        <v>243</v>
      </c>
      <c r="F325" s="8">
        <v>1.67</v>
      </c>
      <c r="G325" s="8">
        <v>357.28</v>
      </c>
      <c r="H325" s="7" t="s">
        <v>26</v>
      </c>
      <c r="I325" s="8">
        <f t="shared" si="10"/>
        <v>355.60999999999996</v>
      </c>
      <c r="J325" s="7" t="str">
        <f t="shared" si="11"/>
        <v>OK</v>
      </c>
    </row>
    <row r="326" spans="1:10" x14ac:dyDescent="0.3">
      <c r="A326" s="7">
        <v>66</v>
      </c>
      <c r="B326" s="7" t="s">
        <v>333</v>
      </c>
      <c r="C326" s="7">
        <v>910103</v>
      </c>
      <c r="D326" s="7" t="s">
        <v>295</v>
      </c>
      <c r="E326" s="7" t="s">
        <v>296</v>
      </c>
      <c r="F326" s="8">
        <v>8</v>
      </c>
      <c r="G326" s="8">
        <v>77.56</v>
      </c>
      <c r="H326" s="7" t="s">
        <v>26</v>
      </c>
      <c r="I326" s="8">
        <f t="shared" si="10"/>
        <v>69.56</v>
      </c>
      <c r="J326" s="7" t="str">
        <f t="shared" si="11"/>
        <v>OK</v>
      </c>
    </row>
    <row r="327" spans="1:10" x14ac:dyDescent="0.3">
      <c r="A327" s="7">
        <v>66</v>
      </c>
      <c r="B327" s="7" t="s">
        <v>333</v>
      </c>
      <c r="C327" s="7">
        <v>925064</v>
      </c>
      <c r="D327" s="7" t="s">
        <v>263</v>
      </c>
      <c r="E327" s="7" t="s">
        <v>220</v>
      </c>
      <c r="F327" s="8">
        <v>4</v>
      </c>
      <c r="G327" s="8">
        <v>367.94</v>
      </c>
      <c r="H327" s="7" t="s">
        <v>26</v>
      </c>
      <c r="I327" s="8">
        <f t="shared" si="10"/>
        <v>363.94</v>
      </c>
      <c r="J327" s="7" t="str">
        <f t="shared" si="11"/>
        <v>OK</v>
      </c>
    </row>
    <row r="328" spans="1:10" x14ac:dyDescent="0.3">
      <c r="A328" s="7">
        <v>66</v>
      </c>
      <c r="B328" s="7" t="s">
        <v>333</v>
      </c>
      <c r="C328" s="7">
        <v>925078</v>
      </c>
      <c r="D328" s="7" t="s">
        <v>221</v>
      </c>
      <c r="E328" s="7" t="s">
        <v>220</v>
      </c>
      <c r="F328" s="8">
        <v>8</v>
      </c>
      <c r="G328" s="8">
        <v>38.69</v>
      </c>
      <c r="H328" s="7" t="s">
        <v>26</v>
      </c>
      <c r="I328" s="8">
        <f t="shared" si="10"/>
        <v>30.689999999999998</v>
      </c>
      <c r="J328" s="7" t="str">
        <f t="shared" si="11"/>
        <v>OK</v>
      </c>
    </row>
    <row r="329" spans="1:10" x14ac:dyDescent="0.3">
      <c r="A329" s="7">
        <v>66</v>
      </c>
      <c r="B329" s="7" t="s">
        <v>333</v>
      </c>
      <c r="C329" s="7">
        <v>925079</v>
      </c>
      <c r="D329" s="7" t="s">
        <v>279</v>
      </c>
      <c r="E329" s="7" t="s">
        <v>220</v>
      </c>
      <c r="F329" s="8">
        <v>8</v>
      </c>
      <c r="G329" s="8">
        <v>82.49</v>
      </c>
      <c r="H329" s="7" t="s">
        <v>26</v>
      </c>
      <c r="I329" s="8">
        <f t="shared" si="10"/>
        <v>74.489999999999995</v>
      </c>
      <c r="J329" s="7" t="str">
        <f t="shared" si="11"/>
        <v>OK</v>
      </c>
    </row>
    <row r="330" spans="1:10" x14ac:dyDescent="0.3">
      <c r="A330" s="7">
        <v>66</v>
      </c>
      <c r="B330" s="7" t="s">
        <v>333</v>
      </c>
      <c r="C330" s="7">
        <v>925094</v>
      </c>
      <c r="D330" s="7" t="s">
        <v>298</v>
      </c>
      <c r="E330" s="7" t="s">
        <v>220</v>
      </c>
      <c r="F330" s="8">
        <v>2</v>
      </c>
      <c r="G330" s="8">
        <v>24.82</v>
      </c>
      <c r="H330" s="7" t="s">
        <v>26</v>
      </c>
      <c r="I330" s="8">
        <f t="shared" si="10"/>
        <v>22.82</v>
      </c>
      <c r="J330" s="7" t="str">
        <f t="shared" si="11"/>
        <v>OK</v>
      </c>
    </row>
    <row r="331" spans="1:10" x14ac:dyDescent="0.3">
      <c r="A331" s="7">
        <v>66</v>
      </c>
      <c r="B331" s="7" t="s">
        <v>333</v>
      </c>
      <c r="C331" s="7">
        <v>930012</v>
      </c>
      <c r="D331" s="7" t="s">
        <v>264</v>
      </c>
      <c r="E331" s="7" t="s">
        <v>243</v>
      </c>
      <c r="F331" s="8">
        <v>1.67</v>
      </c>
      <c r="G331" s="8">
        <v>188.96</v>
      </c>
      <c r="H331" s="7" t="s">
        <v>26</v>
      </c>
      <c r="I331" s="8">
        <f t="shared" si="10"/>
        <v>187.29000000000002</v>
      </c>
      <c r="J331" s="7" t="str">
        <f t="shared" si="11"/>
        <v>OK</v>
      </c>
    </row>
    <row r="332" spans="1:10" x14ac:dyDescent="0.3">
      <c r="A332" s="7">
        <v>66</v>
      </c>
      <c r="B332" s="7" t="s">
        <v>333</v>
      </c>
      <c r="C332" s="7">
        <v>930021</v>
      </c>
      <c r="D332" s="7" t="s">
        <v>300</v>
      </c>
      <c r="E332" s="7" t="s">
        <v>243</v>
      </c>
      <c r="F332" s="8">
        <v>1.67</v>
      </c>
      <c r="G332" s="8">
        <v>81.790000000000006</v>
      </c>
      <c r="H332" s="7" t="s">
        <v>26</v>
      </c>
      <c r="I332" s="8">
        <f t="shared" si="10"/>
        <v>80.12</v>
      </c>
      <c r="J332" s="7" t="str">
        <f t="shared" si="11"/>
        <v>OK</v>
      </c>
    </row>
    <row r="333" spans="1:10" x14ac:dyDescent="0.3">
      <c r="A333" s="7">
        <v>66</v>
      </c>
      <c r="B333" s="7" t="s">
        <v>333</v>
      </c>
      <c r="C333" s="7">
        <v>930023</v>
      </c>
      <c r="D333" s="7" t="s">
        <v>335</v>
      </c>
      <c r="E333" s="7" t="s">
        <v>243</v>
      </c>
      <c r="F333" s="8">
        <v>1</v>
      </c>
      <c r="G333" s="8">
        <v>7.05</v>
      </c>
      <c r="H333" s="7" t="s">
        <v>26</v>
      </c>
      <c r="I333" s="8">
        <f t="shared" si="10"/>
        <v>6.05</v>
      </c>
      <c r="J333" s="7" t="str">
        <f t="shared" si="11"/>
        <v>OK</v>
      </c>
    </row>
    <row r="334" spans="1:10" x14ac:dyDescent="0.3">
      <c r="A334" s="7">
        <v>66</v>
      </c>
      <c r="B334" s="7" t="s">
        <v>333</v>
      </c>
      <c r="C334" s="7">
        <v>930025</v>
      </c>
      <c r="D334" s="7" t="s">
        <v>244</v>
      </c>
      <c r="E334" s="7" t="s">
        <v>243</v>
      </c>
      <c r="F334" s="8">
        <v>1.33</v>
      </c>
      <c r="G334" s="8">
        <v>209.71</v>
      </c>
      <c r="H334" s="7" t="s">
        <v>26</v>
      </c>
      <c r="I334" s="8">
        <f t="shared" si="10"/>
        <v>208.38</v>
      </c>
      <c r="J334" s="7" t="str">
        <f t="shared" si="11"/>
        <v>OK</v>
      </c>
    </row>
    <row r="335" spans="1:10" x14ac:dyDescent="0.3">
      <c r="A335" s="7">
        <v>66</v>
      </c>
      <c r="B335" s="7" t="s">
        <v>333</v>
      </c>
      <c r="C335" s="7">
        <v>930026</v>
      </c>
      <c r="D335" s="7" t="s">
        <v>301</v>
      </c>
      <c r="E335" s="7" t="s">
        <v>243</v>
      </c>
      <c r="F335" s="8">
        <v>1</v>
      </c>
      <c r="G335" s="8">
        <v>22.37</v>
      </c>
      <c r="H335" s="7" t="s">
        <v>26</v>
      </c>
      <c r="I335" s="8">
        <f t="shared" si="10"/>
        <v>21.37</v>
      </c>
      <c r="J335" s="7" t="str">
        <f t="shared" si="11"/>
        <v>OK</v>
      </c>
    </row>
    <row r="336" spans="1:10" x14ac:dyDescent="0.3">
      <c r="A336" s="7">
        <v>66</v>
      </c>
      <c r="B336" s="7" t="s">
        <v>333</v>
      </c>
      <c r="C336" s="7">
        <v>930028</v>
      </c>
      <c r="D336" s="7" t="s">
        <v>302</v>
      </c>
      <c r="E336" s="7" t="s">
        <v>243</v>
      </c>
      <c r="F336" s="8">
        <v>1</v>
      </c>
      <c r="G336" s="8">
        <v>27.97</v>
      </c>
      <c r="H336" s="7" t="s">
        <v>26</v>
      </c>
      <c r="I336" s="8">
        <f t="shared" si="10"/>
        <v>26.97</v>
      </c>
      <c r="J336" s="7" t="str">
        <f t="shared" si="11"/>
        <v>OK</v>
      </c>
    </row>
    <row r="337" spans="1:10" x14ac:dyDescent="0.3">
      <c r="A337" s="7">
        <v>66</v>
      </c>
      <c r="B337" s="7" t="s">
        <v>333</v>
      </c>
      <c r="C337" s="7">
        <v>930060</v>
      </c>
      <c r="D337" s="7" t="s">
        <v>336</v>
      </c>
      <c r="E337" s="7" t="s">
        <v>243</v>
      </c>
      <c r="F337" s="8">
        <v>1</v>
      </c>
      <c r="G337" s="8">
        <v>5.93</v>
      </c>
      <c r="H337" s="7" t="s">
        <v>26</v>
      </c>
      <c r="I337" s="8">
        <f t="shared" si="10"/>
        <v>4.93</v>
      </c>
      <c r="J337" s="7" t="str">
        <f t="shared" si="11"/>
        <v>OK</v>
      </c>
    </row>
    <row r="338" spans="1:10" x14ac:dyDescent="0.3">
      <c r="A338" s="7">
        <v>66</v>
      </c>
      <c r="B338" s="7" t="s">
        <v>333</v>
      </c>
      <c r="C338" s="7">
        <v>930112</v>
      </c>
      <c r="D338" s="7" t="s">
        <v>310</v>
      </c>
      <c r="E338" s="7" t="s">
        <v>243</v>
      </c>
      <c r="F338" s="8">
        <v>0.67</v>
      </c>
      <c r="G338" s="8">
        <v>4.45</v>
      </c>
      <c r="H338" s="7" t="s">
        <v>26</v>
      </c>
      <c r="I338" s="8">
        <f t="shared" si="10"/>
        <v>3.7800000000000002</v>
      </c>
      <c r="J338" s="7" t="str">
        <f t="shared" si="11"/>
        <v>OK</v>
      </c>
    </row>
    <row r="339" spans="1:10" x14ac:dyDescent="0.3">
      <c r="A339" s="7">
        <v>66</v>
      </c>
      <c r="B339" s="7" t="s">
        <v>333</v>
      </c>
      <c r="C339" s="7">
        <v>930113</v>
      </c>
      <c r="D339" s="7" t="s">
        <v>303</v>
      </c>
      <c r="E339" s="7" t="s">
        <v>243</v>
      </c>
      <c r="F339" s="8">
        <v>0.67</v>
      </c>
      <c r="G339" s="8">
        <v>4.45</v>
      </c>
      <c r="H339" s="7" t="s">
        <v>26</v>
      </c>
      <c r="I339" s="8">
        <f t="shared" si="10"/>
        <v>3.7800000000000002</v>
      </c>
      <c r="J339" s="7" t="str">
        <f t="shared" si="11"/>
        <v>OK</v>
      </c>
    </row>
    <row r="340" spans="1:10" x14ac:dyDescent="0.3">
      <c r="A340" s="7">
        <v>66</v>
      </c>
      <c r="B340" s="7" t="s">
        <v>333</v>
      </c>
      <c r="C340" s="7">
        <v>930137</v>
      </c>
      <c r="D340" s="7" t="s">
        <v>311</v>
      </c>
      <c r="E340" s="7" t="s">
        <v>243</v>
      </c>
      <c r="F340" s="8">
        <v>4</v>
      </c>
      <c r="G340" s="8">
        <v>159.01</v>
      </c>
      <c r="H340" s="7" t="s">
        <v>26</v>
      </c>
      <c r="I340" s="8">
        <f t="shared" si="10"/>
        <v>155.01</v>
      </c>
      <c r="J340" s="7" t="str">
        <f t="shared" si="11"/>
        <v>OK</v>
      </c>
    </row>
    <row r="341" spans="1:10" x14ac:dyDescent="0.3">
      <c r="A341" s="7">
        <v>66</v>
      </c>
      <c r="B341" s="7" t="s">
        <v>333</v>
      </c>
      <c r="C341" s="7">
        <v>930138</v>
      </c>
      <c r="D341" s="7" t="s">
        <v>312</v>
      </c>
      <c r="E341" s="7" t="s">
        <v>243</v>
      </c>
      <c r="F341" s="8">
        <v>2</v>
      </c>
      <c r="G341" s="8">
        <v>191.21</v>
      </c>
      <c r="H341" s="7" t="s">
        <v>26</v>
      </c>
      <c r="I341" s="8">
        <f t="shared" si="10"/>
        <v>189.21</v>
      </c>
      <c r="J341" s="7" t="str">
        <f t="shared" si="11"/>
        <v>OK</v>
      </c>
    </row>
    <row r="342" spans="1:10" x14ac:dyDescent="0.3">
      <c r="A342" s="7">
        <v>66</v>
      </c>
      <c r="B342" s="7" t="s">
        <v>333</v>
      </c>
      <c r="C342" s="7">
        <v>930139</v>
      </c>
      <c r="D342" s="7" t="s">
        <v>313</v>
      </c>
      <c r="E342" s="7" t="s">
        <v>243</v>
      </c>
      <c r="F342" s="8">
        <v>2</v>
      </c>
      <c r="G342" s="8">
        <v>140.9</v>
      </c>
      <c r="H342" s="7" t="s">
        <v>26</v>
      </c>
      <c r="I342" s="8">
        <f t="shared" si="10"/>
        <v>138.9</v>
      </c>
      <c r="J342" s="7" t="str">
        <f t="shared" si="11"/>
        <v>OK</v>
      </c>
    </row>
    <row r="343" spans="1:10" x14ac:dyDescent="0.3">
      <c r="A343" s="7">
        <v>66</v>
      </c>
      <c r="B343" s="7" t="s">
        <v>333</v>
      </c>
      <c r="C343" s="7">
        <v>930140</v>
      </c>
      <c r="D343" s="7" t="s">
        <v>314</v>
      </c>
      <c r="E343" s="7" t="s">
        <v>243</v>
      </c>
      <c r="F343" s="8">
        <v>4</v>
      </c>
      <c r="G343" s="8">
        <v>287.83</v>
      </c>
      <c r="H343" s="7" t="s">
        <v>26</v>
      </c>
      <c r="I343" s="8">
        <f t="shared" si="10"/>
        <v>283.83</v>
      </c>
      <c r="J343" s="7" t="str">
        <f t="shared" si="11"/>
        <v>OK</v>
      </c>
    </row>
    <row r="344" spans="1:10" x14ac:dyDescent="0.3">
      <c r="A344" s="7">
        <v>66</v>
      </c>
      <c r="B344" s="7" t="s">
        <v>333</v>
      </c>
      <c r="C344" s="7">
        <v>930145</v>
      </c>
      <c r="D344" s="7" t="s">
        <v>316</v>
      </c>
      <c r="E344" s="7" t="s">
        <v>243</v>
      </c>
      <c r="F344" s="8">
        <v>2</v>
      </c>
      <c r="G344" s="8">
        <v>189.68</v>
      </c>
      <c r="H344" s="7" t="s">
        <v>26</v>
      </c>
      <c r="I344" s="8">
        <f t="shared" si="10"/>
        <v>187.68</v>
      </c>
      <c r="J344" s="7" t="str">
        <f t="shared" si="11"/>
        <v>OK</v>
      </c>
    </row>
    <row r="345" spans="1:10" x14ac:dyDescent="0.3">
      <c r="A345" s="7">
        <v>66</v>
      </c>
      <c r="B345" s="7" t="s">
        <v>333</v>
      </c>
      <c r="C345" s="7">
        <v>930154</v>
      </c>
      <c r="D345" s="7" t="s">
        <v>245</v>
      </c>
      <c r="E345" s="7" t="s">
        <v>243</v>
      </c>
      <c r="F345" s="8">
        <v>0.33</v>
      </c>
      <c r="G345" s="8">
        <v>47.94</v>
      </c>
      <c r="H345" s="7" t="s">
        <v>26</v>
      </c>
      <c r="I345" s="8">
        <f t="shared" si="10"/>
        <v>47.61</v>
      </c>
      <c r="J345" s="7" t="str">
        <f t="shared" si="11"/>
        <v>OK</v>
      </c>
    </row>
    <row r="346" spans="1:10" x14ac:dyDescent="0.3">
      <c r="A346" s="7">
        <v>66</v>
      </c>
      <c r="B346" s="7" t="s">
        <v>333</v>
      </c>
      <c r="C346" s="7">
        <v>930168</v>
      </c>
      <c r="D346" s="7" t="s">
        <v>337</v>
      </c>
      <c r="E346" s="7" t="s">
        <v>243</v>
      </c>
      <c r="F346" s="8">
        <v>2</v>
      </c>
      <c r="G346" s="8">
        <v>211.34</v>
      </c>
      <c r="H346" s="7" t="s">
        <v>26</v>
      </c>
      <c r="I346" s="8">
        <f t="shared" si="10"/>
        <v>209.34</v>
      </c>
      <c r="J346" s="7" t="str">
        <f t="shared" si="11"/>
        <v>OK</v>
      </c>
    </row>
    <row r="347" spans="1:10" x14ac:dyDescent="0.3">
      <c r="A347" s="7">
        <v>66</v>
      </c>
      <c r="B347" s="7" t="s">
        <v>333</v>
      </c>
      <c r="C347" s="7">
        <v>930177</v>
      </c>
      <c r="D347" s="7" t="s">
        <v>317</v>
      </c>
      <c r="E347" s="7" t="s">
        <v>243</v>
      </c>
      <c r="F347" s="8">
        <v>4</v>
      </c>
      <c r="G347" s="8">
        <v>386.45</v>
      </c>
      <c r="H347" s="7" t="s">
        <v>26</v>
      </c>
      <c r="I347" s="8">
        <f t="shared" si="10"/>
        <v>382.45</v>
      </c>
      <c r="J347" s="7" t="str">
        <f t="shared" si="11"/>
        <v>OK</v>
      </c>
    </row>
    <row r="348" spans="1:10" x14ac:dyDescent="0.3">
      <c r="A348" s="7">
        <v>66</v>
      </c>
      <c r="B348" s="7" t="s">
        <v>333</v>
      </c>
      <c r="C348" s="7">
        <v>930178</v>
      </c>
      <c r="D348" s="7" t="s">
        <v>267</v>
      </c>
      <c r="E348" s="7" t="s">
        <v>243</v>
      </c>
      <c r="F348" s="8">
        <v>2.33</v>
      </c>
      <c r="G348" s="8">
        <v>169.08</v>
      </c>
      <c r="H348" s="7" t="s">
        <v>26</v>
      </c>
      <c r="I348" s="8">
        <f t="shared" si="10"/>
        <v>166.75</v>
      </c>
      <c r="J348" s="7" t="str">
        <f t="shared" si="11"/>
        <v>OK</v>
      </c>
    </row>
    <row r="349" spans="1:10" x14ac:dyDescent="0.3">
      <c r="A349" s="7">
        <v>66</v>
      </c>
      <c r="B349" s="7" t="s">
        <v>333</v>
      </c>
      <c r="C349" s="7">
        <v>982005</v>
      </c>
      <c r="D349" s="7" t="s">
        <v>285</v>
      </c>
      <c r="E349" s="7" t="s">
        <v>270</v>
      </c>
      <c r="F349" s="8">
        <v>6</v>
      </c>
      <c r="G349" s="8">
        <v>494.98</v>
      </c>
      <c r="H349" s="7" t="s">
        <v>26</v>
      </c>
      <c r="I349" s="8">
        <f t="shared" si="10"/>
        <v>488.98</v>
      </c>
      <c r="J349" s="7" t="str">
        <f t="shared" si="11"/>
        <v>OK</v>
      </c>
    </row>
    <row r="350" spans="1:10" x14ac:dyDescent="0.3">
      <c r="A350" s="7">
        <v>70</v>
      </c>
      <c r="B350" s="7" t="s">
        <v>338</v>
      </c>
      <c r="C350" s="7">
        <v>101005</v>
      </c>
      <c r="D350" s="7" t="s">
        <v>232</v>
      </c>
      <c r="E350" s="7" t="s">
        <v>215</v>
      </c>
      <c r="F350" s="8">
        <v>36.67</v>
      </c>
      <c r="G350" s="8">
        <v>169.78</v>
      </c>
      <c r="H350" s="7" t="s">
        <v>26</v>
      </c>
      <c r="I350" s="8">
        <f t="shared" si="10"/>
        <v>133.11000000000001</v>
      </c>
      <c r="J350" s="7" t="str">
        <f t="shared" si="11"/>
        <v>OK</v>
      </c>
    </row>
    <row r="351" spans="1:10" x14ac:dyDescent="0.3">
      <c r="A351" s="7">
        <v>70</v>
      </c>
      <c r="B351" s="7" t="s">
        <v>338</v>
      </c>
      <c r="C351" s="7">
        <v>101026</v>
      </c>
      <c r="D351" s="7" t="s">
        <v>233</v>
      </c>
      <c r="E351" s="7" t="s">
        <v>215</v>
      </c>
      <c r="F351" s="8">
        <v>12</v>
      </c>
      <c r="G351" s="8">
        <v>174.92</v>
      </c>
      <c r="H351" s="7" t="s">
        <v>26</v>
      </c>
      <c r="I351" s="8">
        <f t="shared" si="10"/>
        <v>162.91999999999999</v>
      </c>
      <c r="J351" s="7" t="str">
        <f t="shared" si="11"/>
        <v>OK</v>
      </c>
    </row>
    <row r="352" spans="1:10" x14ac:dyDescent="0.3">
      <c r="A352" s="7">
        <v>70</v>
      </c>
      <c r="B352" s="7" t="s">
        <v>338</v>
      </c>
      <c r="C352" s="7">
        <v>101027</v>
      </c>
      <c r="D352" s="7" t="s">
        <v>234</v>
      </c>
      <c r="E352" s="7" t="s">
        <v>215</v>
      </c>
      <c r="F352" s="8">
        <v>46.67</v>
      </c>
      <c r="G352" s="8">
        <v>158.25</v>
      </c>
      <c r="H352" s="7" t="s">
        <v>26</v>
      </c>
      <c r="I352" s="8">
        <f t="shared" si="10"/>
        <v>111.58</v>
      </c>
      <c r="J352" s="7" t="str">
        <f t="shared" si="11"/>
        <v>OK</v>
      </c>
    </row>
    <row r="353" spans="1:10" x14ac:dyDescent="0.3">
      <c r="A353" s="7">
        <v>70</v>
      </c>
      <c r="B353" s="7" t="s">
        <v>338</v>
      </c>
      <c r="C353" s="7">
        <v>101028</v>
      </c>
      <c r="D353" s="7" t="s">
        <v>214</v>
      </c>
      <c r="E353" s="7" t="s">
        <v>215</v>
      </c>
      <c r="F353" s="8">
        <v>51.33</v>
      </c>
      <c r="G353" s="8">
        <v>206.46</v>
      </c>
      <c r="H353" s="7" t="s">
        <v>26</v>
      </c>
      <c r="I353" s="8">
        <f t="shared" si="10"/>
        <v>155.13</v>
      </c>
      <c r="J353" s="7" t="str">
        <f t="shared" si="11"/>
        <v>OK</v>
      </c>
    </row>
    <row r="354" spans="1:10" x14ac:dyDescent="0.3">
      <c r="A354" s="7">
        <v>70</v>
      </c>
      <c r="B354" s="7" t="s">
        <v>338</v>
      </c>
      <c r="C354" s="7">
        <v>101034</v>
      </c>
      <c r="D354" s="7" t="s">
        <v>272</v>
      </c>
      <c r="E354" s="7" t="s">
        <v>215</v>
      </c>
      <c r="F354" s="8">
        <v>0.67</v>
      </c>
      <c r="G354" s="8">
        <v>96.26</v>
      </c>
      <c r="H354" s="7" t="s">
        <v>26</v>
      </c>
      <c r="I354" s="8">
        <f t="shared" si="10"/>
        <v>95.59</v>
      </c>
      <c r="J354" s="7" t="str">
        <f t="shared" si="11"/>
        <v>OK</v>
      </c>
    </row>
    <row r="355" spans="1:10" x14ac:dyDescent="0.3">
      <c r="A355" s="7">
        <v>70</v>
      </c>
      <c r="B355" s="7" t="s">
        <v>338</v>
      </c>
      <c r="C355" s="7">
        <v>101038</v>
      </c>
      <c r="D355" s="7" t="s">
        <v>235</v>
      </c>
      <c r="E355" s="7" t="s">
        <v>215</v>
      </c>
      <c r="F355" s="8">
        <v>15</v>
      </c>
      <c r="G355" s="8">
        <v>344.81</v>
      </c>
      <c r="H355" s="7" t="s">
        <v>26</v>
      </c>
      <c r="I355" s="8">
        <f t="shared" si="10"/>
        <v>329.81</v>
      </c>
      <c r="J355" s="7" t="str">
        <f t="shared" si="11"/>
        <v>OK</v>
      </c>
    </row>
    <row r="356" spans="1:10" x14ac:dyDescent="0.3">
      <c r="A356" s="7">
        <v>70</v>
      </c>
      <c r="B356" s="7" t="s">
        <v>338</v>
      </c>
      <c r="C356" s="7">
        <v>101072</v>
      </c>
      <c r="D356" s="7" t="s">
        <v>273</v>
      </c>
      <c r="E356" s="7" t="s">
        <v>215</v>
      </c>
      <c r="F356" s="8">
        <v>4</v>
      </c>
      <c r="G356" s="8">
        <v>398.94</v>
      </c>
      <c r="H356" s="7" t="s">
        <v>26</v>
      </c>
      <c r="I356" s="8">
        <f t="shared" si="10"/>
        <v>394.94</v>
      </c>
      <c r="J356" s="7" t="str">
        <f t="shared" si="11"/>
        <v>OK</v>
      </c>
    </row>
    <row r="357" spans="1:10" x14ac:dyDescent="0.3">
      <c r="A357" s="7">
        <v>70</v>
      </c>
      <c r="B357" s="7" t="s">
        <v>338</v>
      </c>
      <c r="C357" s="7">
        <v>101111</v>
      </c>
      <c r="D357" s="7" t="s">
        <v>339</v>
      </c>
      <c r="E357" s="7" t="s">
        <v>215</v>
      </c>
      <c r="F357" s="8">
        <v>9</v>
      </c>
      <c r="G357" s="8">
        <v>2.8</v>
      </c>
      <c r="H357" s="7" t="s">
        <v>26</v>
      </c>
      <c r="I357" s="8">
        <f t="shared" si="10"/>
        <v>0</v>
      </c>
      <c r="J357" s="7" t="str">
        <f t="shared" si="11"/>
        <v>Queda en 0</v>
      </c>
    </row>
    <row r="358" spans="1:10" x14ac:dyDescent="0.3">
      <c r="A358" s="7">
        <v>70</v>
      </c>
      <c r="B358" s="7" t="s">
        <v>338</v>
      </c>
      <c r="C358" s="7">
        <v>101124</v>
      </c>
      <c r="D358" s="7" t="s">
        <v>322</v>
      </c>
      <c r="E358" s="7" t="s">
        <v>215</v>
      </c>
      <c r="F358" s="8">
        <v>8</v>
      </c>
      <c r="G358" s="8">
        <v>41.89</v>
      </c>
      <c r="H358" s="7" t="s">
        <v>26</v>
      </c>
      <c r="I358" s="8">
        <f t="shared" si="10"/>
        <v>33.89</v>
      </c>
      <c r="J358" s="7" t="str">
        <f t="shared" si="11"/>
        <v>OK</v>
      </c>
    </row>
    <row r="359" spans="1:10" x14ac:dyDescent="0.3">
      <c r="A359" s="7">
        <v>70</v>
      </c>
      <c r="B359" s="7" t="s">
        <v>338</v>
      </c>
      <c r="C359" s="7">
        <v>101130</v>
      </c>
      <c r="D359" s="7" t="s">
        <v>247</v>
      </c>
      <c r="E359" s="7" t="s">
        <v>215</v>
      </c>
      <c r="F359" s="8">
        <v>5.33</v>
      </c>
      <c r="G359" s="8">
        <v>0</v>
      </c>
      <c r="H359" s="7" t="s">
        <v>26</v>
      </c>
      <c r="I359" s="8">
        <f t="shared" si="10"/>
        <v>0</v>
      </c>
      <c r="J359" s="7" t="str">
        <f t="shared" si="11"/>
        <v>Queda en 0</v>
      </c>
    </row>
    <row r="360" spans="1:10" x14ac:dyDescent="0.3">
      <c r="A360" s="7">
        <v>70</v>
      </c>
      <c r="B360" s="7" t="s">
        <v>338</v>
      </c>
      <c r="C360" s="7">
        <v>101132</v>
      </c>
      <c r="D360" s="7" t="s">
        <v>340</v>
      </c>
      <c r="E360" s="7" t="s">
        <v>215</v>
      </c>
      <c r="F360" s="8">
        <v>6</v>
      </c>
      <c r="G360" s="8">
        <v>4.42</v>
      </c>
      <c r="H360" s="7" t="s">
        <v>26</v>
      </c>
      <c r="I360" s="8">
        <f t="shared" si="10"/>
        <v>0</v>
      </c>
      <c r="J360" s="7" t="str">
        <f t="shared" si="11"/>
        <v>Queda en 0</v>
      </c>
    </row>
    <row r="361" spans="1:10" x14ac:dyDescent="0.3">
      <c r="A361" s="7">
        <v>70</v>
      </c>
      <c r="B361" s="7" t="s">
        <v>338</v>
      </c>
      <c r="C361" s="7">
        <v>103001</v>
      </c>
      <c r="D361" s="7" t="s">
        <v>248</v>
      </c>
      <c r="E361" s="7" t="s">
        <v>215</v>
      </c>
      <c r="F361" s="8">
        <v>75.67</v>
      </c>
      <c r="G361" s="8">
        <v>2901.35</v>
      </c>
      <c r="H361" s="7" t="s">
        <v>26</v>
      </c>
      <c r="I361" s="8">
        <f t="shared" si="10"/>
        <v>2825.68</v>
      </c>
      <c r="J361" s="7" t="str">
        <f t="shared" si="11"/>
        <v>OK</v>
      </c>
    </row>
    <row r="362" spans="1:10" x14ac:dyDescent="0.3">
      <c r="A362" s="7">
        <v>70</v>
      </c>
      <c r="B362" s="7" t="s">
        <v>338</v>
      </c>
      <c r="C362" s="7">
        <v>104023</v>
      </c>
      <c r="D362" s="7" t="s">
        <v>341</v>
      </c>
      <c r="E362" s="7" t="s">
        <v>215</v>
      </c>
      <c r="F362" s="8">
        <v>0.67</v>
      </c>
      <c r="G362" s="8">
        <v>7.48</v>
      </c>
      <c r="H362" s="7" t="s">
        <v>26</v>
      </c>
      <c r="I362" s="8">
        <f t="shared" si="10"/>
        <v>6.8100000000000005</v>
      </c>
      <c r="J362" s="7" t="str">
        <f t="shared" si="11"/>
        <v>OK</v>
      </c>
    </row>
    <row r="363" spans="1:10" x14ac:dyDescent="0.3">
      <c r="A363" s="7">
        <v>70</v>
      </c>
      <c r="B363" s="7" t="s">
        <v>338</v>
      </c>
      <c r="C363" s="7">
        <v>201001</v>
      </c>
      <c r="D363" s="7" t="s">
        <v>216</v>
      </c>
      <c r="E363" s="7" t="s">
        <v>217</v>
      </c>
      <c r="F363" s="8">
        <v>19.329999999999998</v>
      </c>
      <c r="G363" s="8">
        <v>495.99</v>
      </c>
      <c r="H363" s="7" t="s">
        <v>26</v>
      </c>
      <c r="I363" s="8">
        <f t="shared" si="10"/>
        <v>476.66</v>
      </c>
      <c r="J363" s="7" t="str">
        <f t="shared" si="11"/>
        <v>OK</v>
      </c>
    </row>
    <row r="364" spans="1:10" x14ac:dyDescent="0.3">
      <c r="A364" s="7">
        <v>70</v>
      </c>
      <c r="B364" s="7" t="s">
        <v>338</v>
      </c>
      <c r="C364" s="7">
        <v>220006</v>
      </c>
      <c r="D364" s="7" t="s">
        <v>342</v>
      </c>
      <c r="E364" s="7" t="s">
        <v>220</v>
      </c>
      <c r="F364" s="8">
        <v>1</v>
      </c>
      <c r="G364" s="8">
        <v>0.92</v>
      </c>
      <c r="H364" s="7" t="s">
        <v>26</v>
      </c>
      <c r="I364" s="8">
        <f t="shared" si="10"/>
        <v>0</v>
      </c>
      <c r="J364" s="7" t="str">
        <f t="shared" si="11"/>
        <v>Queda en 0</v>
      </c>
    </row>
    <row r="365" spans="1:10" x14ac:dyDescent="0.3">
      <c r="A365" s="7">
        <v>70</v>
      </c>
      <c r="B365" s="7" t="s">
        <v>338</v>
      </c>
      <c r="C365" s="7">
        <v>220007</v>
      </c>
      <c r="D365" s="7" t="s">
        <v>343</v>
      </c>
      <c r="E365" s="7" t="s">
        <v>220</v>
      </c>
      <c r="F365" s="8">
        <v>1</v>
      </c>
      <c r="G365" s="8">
        <v>0.92</v>
      </c>
      <c r="H365" s="7" t="s">
        <v>26</v>
      </c>
      <c r="I365" s="8">
        <f t="shared" si="10"/>
        <v>0</v>
      </c>
      <c r="J365" s="7" t="str">
        <f t="shared" si="11"/>
        <v>Queda en 0</v>
      </c>
    </row>
    <row r="366" spans="1:10" x14ac:dyDescent="0.3">
      <c r="A366" s="7">
        <v>70</v>
      </c>
      <c r="B366" s="7" t="s">
        <v>338</v>
      </c>
      <c r="C366" s="7">
        <v>220008</v>
      </c>
      <c r="D366" s="7" t="s">
        <v>344</v>
      </c>
      <c r="E366" s="7" t="s">
        <v>220</v>
      </c>
      <c r="F366" s="8">
        <v>1</v>
      </c>
      <c r="G366" s="8">
        <v>0.92</v>
      </c>
      <c r="H366" s="7" t="s">
        <v>26</v>
      </c>
      <c r="I366" s="8">
        <f t="shared" si="10"/>
        <v>0</v>
      </c>
      <c r="J366" s="7" t="str">
        <f t="shared" si="11"/>
        <v>Queda en 0</v>
      </c>
    </row>
    <row r="367" spans="1:10" x14ac:dyDescent="0.3">
      <c r="A367" s="7">
        <v>70</v>
      </c>
      <c r="B367" s="7" t="s">
        <v>338</v>
      </c>
      <c r="C367" s="7">
        <v>511005</v>
      </c>
      <c r="D367" s="7" t="s">
        <v>249</v>
      </c>
      <c r="E367" s="7" t="s">
        <v>217</v>
      </c>
      <c r="F367" s="8">
        <v>4</v>
      </c>
      <c r="G367" s="8">
        <v>32.119999999999997</v>
      </c>
      <c r="H367" s="7" t="s">
        <v>26</v>
      </c>
      <c r="I367" s="8">
        <f t="shared" si="10"/>
        <v>28.119999999999997</v>
      </c>
      <c r="J367" s="7" t="str">
        <f t="shared" si="11"/>
        <v>OK</v>
      </c>
    </row>
    <row r="368" spans="1:10" x14ac:dyDescent="0.3">
      <c r="A368" s="7">
        <v>70</v>
      </c>
      <c r="B368" s="7" t="s">
        <v>338</v>
      </c>
      <c r="C368" s="7">
        <v>611049</v>
      </c>
      <c r="D368" s="7" t="s">
        <v>251</v>
      </c>
      <c r="E368" s="7" t="s">
        <v>217</v>
      </c>
      <c r="F368" s="8">
        <v>8</v>
      </c>
      <c r="G368" s="8">
        <v>87.13</v>
      </c>
      <c r="H368" s="7" t="s">
        <v>26</v>
      </c>
      <c r="I368" s="8">
        <f t="shared" si="10"/>
        <v>79.13</v>
      </c>
      <c r="J368" s="7" t="str">
        <f t="shared" si="11"/>
        <v>OK</v>
      </c>
    </row>
    <row r="369" spans="1:10" x14ac:dyDescent="0.3">
      <c r="A369" s="7">
        <v>70</v>
      </c>
      <c r="B369" s="7" t="s">
        <v>338</v>
      </c>
      <c r="C369" s="7">
        <v>611052</v>
      </c>
      <c r="D369" s="7" t="s">
        <v>252</v>
      </c>
      <c r="E369" s="7" t="s">
        <v>217</v>
      </c>
      <c r="F369" s="8">
        <v>8</v>
      </c>
      <c r="G369" s="8">
        <v>70.680000000000007</v>
      </c>
      <c r="H369" s="7" t="s">
        <v>26</v>
      </c>
      <c r="I369" s="8">
        <f t="shared" si="10"/>
        <v>62.680000000000007</v>
      </c>
      <c r="J369" s="7" t="str">
        <f t="shared" si="11"/>
        <v>OK</v>
      </c>
    </row>
    <row r="370" spans="1:10" x14ac:dyDescent="0.3">
      <c r="A370" s="7">
        <v>70</v>
      </c>
      <c r="B370" s="7" t="s">
        <v>338</v>
      </c>
      <c r="C370" s="7">
        <v>611053</v>
      </c>
      <c r="D370" s="7" t="s">
        <v>253</v>
      </c>
      <c r="E370" s="7" t="s">
        <v>217</v>
      </c>
      <c r="F370" s="8">
        <v>28</v>
      </c>
      <c r="G370" s="8">
        <v>809.63</v>
      </c>
      <c r="H370" s="7" t="s">
        <v>26</v>
      </c>
      <c r="I370" s="8">
        <f t="shared" si="10"/>
        <v>781.63</v>
      </c>
      <c r="J370" s="7" t="str">
        <f t="shared" si="11"/>
        <v>OK</v>
      </c>
    </row>
    <row r="371" spans="1:10" x14ac:dyDescent="0.3">
      <c r="A371" s="7">
        <v>70</v>
      </c>
      <c r="B371" s="7" t="s">
        <v>338</v>
      </c>
      <c r="C371" s="7">
        <v>611055</v>
      </c>
      <c r="D371" s="7" t="s">
        <v>254</v>
      </c>
      <c r="E371" s="7" t="s">
        <v>217</v>
      </c>
      <c r="F371" s="8">
        <v>17.329999999999998</v>
      </c>
      <c r="G371" s="8">
        <v>76.03</v>
      </c>
      <c r="H371" s="7" t="s">
        <v>26</v>
      </c>
      <c r="I371" s="8">
        <f t="shared" si="10"/>
        <v>58.7</v>
      </c>
      <c r="J371" s="7" t="str">
        <f t="shared" si="11"/>
        <v>OK</v>
      </c>
    </row>
    <row r="372" spans="1:10" x14ac:dyDescent="0.3">
      <c r="A372" s="7">
        <v>70</v>
      </c>
      <c r="B372" s="7" t="s">
        <v>338</v>
      </c>
      <c r="C372" s="7">
        <v>621004</v>
      </c>
      <c r="D372" s="7" t="s">
        <v>256</v>
      </c>
      <c r="E372" s="7" t="s">
        <v>239</v>
      </c>
      <c r="F372" s="8">
        <v>4</v>
      </c>
      <c r="G372" s="8">
        <v>12.53</v>
      </c>
      <c r="H372" s="7" t="s">
        <v>26</v>
      </c>
      <c r="I372" s="8">
        <f t="shared" si="10"/>
        <v>8.5299999999999994</v>
      </c>
      <c r="J372" s="7" t="str">
        <f t="shared" si="11"/>
        <v>OK</v>
      </c>
    </row>
    <row r="373" spans="1:10" x14ac:dyDescent="0.3">
      <c r="A373" s="7">
        <v>70</v>
      </c>
      <c r="B373" s="7" t="s">
        <v>338</v>
      </c>
      <c r="C373" s="7">
        <v>621043</v>
      </c>
      <c r="D373" s="7" t="s">
        <v>257</v>
      </c>
      <c r="E373" s="7" t="s">
        <v>239</v>
      </c>
      <c r="F373" s="8">
        <v>1.33</v>
      </c>
      <c r="G373" s="8">
        <v>0</v>
      </c>
      <c r="H373" s="7" t="s">
        <v>26</v>
      </c>
      <c r="I373" s="8">
        <f t="shared" si="10"/>
        <v>0</v>
      </c>
      <c r="J373" s="7" t="str">
        <f t="shared" si="11"/>
        <v>Queda en 0</v>
      </c>
    </row>
    <row r="374" spans="1:10" x14ac:dyDescent="0.3">
      <c r="A374" s="7">
        <v>70</v>
      </c>
      <c r="B374" s="7" t="s">
        <v>338</v>
      </c>
      <c r="C374" s="7">
        <v>621045</v>
      </c>
      <c r="D374" s="7" t="s">
        <v>238</v>
      </c>
      <c r="E374" s="7" t="s">
        <v>239</v>
      </c>
      <c r="F374" s="8">
        <v>16</v>
      </c>
      <c r="G374" s="8">
        <v>352.1</v>
      </c>
      <c r="H374" s="7" t="s">
        <v>26</v>
      </c>
      <c r="I374" s="8">
        <f t="shared" si="10"/>
        <v>336.1</v>
      </c>
      <c r="J374" s="7" t="str">
        <f t="shared" si="11"/>
        <v>OK</v>
      </c>
    </row>
    <row r="375" spans="1:10" x14ac:dyDescent="0.3">
      <c r="A375" s="7">
        <v>70</v>
      </c>
      <c r="B375" s="7" t="s">
        <v>338</v>
      </c>
      <c r="C375" s="7">
        <v>800088</v>
      </c>
      <c r="D375" s="7" t="s">
        <v>240</v>
      </c>
      <c r="E375" s="7" t="s">
        <v>215</v>
      </c>
      <c r="F375" s="8">
        <v>0.67</v>
      </c>
      <c r="G375" s="8">
        <v>181.31</v>
      </c>
      <c r="H375" s="7" t="s">
        <v>26</v>
      </c>
      <c r="I375" s="8">
        <f t="shared" si="10"/>
        <v>180.64000000000001</v>
      </c>
      <c r="J375" s="7" t="str">
        <f t="shared" si="11"/>
        <v>OK</v>
      </c>
    </row>
    <row r="376" spans="1:10" x14ac:dyDescent="0.3">
      <c r="A376" s="7">
        <v>70</v>
      </c>
      <c r="B376" s="7" t="s">
        <v>338</v>
      </c>
      <c r="C376" s="7">
        <v>800089</v>
      </c>
      <c r="D376" s="7" t="s">
        <v>241</v>
      </c>
      <c r="E376" s="7" t="s">
        <v>215</v>
      </c>
      <c r="F376" s="8">
        <v>5.67</v>
      </c>
      <c r="G376" s="8">
        <v>177.09</v>
      </c>
      <c r="H376" s="7" t="s">
        <v>26</v>
      </c>
      <c r="I376" s="8">
        <f t="shared" si="10"/>
        <v>171.42000000000002</v>
      </c>
      <c r="J376" s="7" t="str">
        <f t="shared" si="11"/>
        <v>OK</v>
      </c>
    </row>
    <row r="377" spans="1:10" x14ac:dyDescent="0.3">
      <c r="A377" s="7">
        <v>70</v>
      </c>
      <c r="B377" s="7" t="s">
        <v>338</v>
      </c>
      <c r="C377" s="7">
        <v>800783</v>
      </c>
      <c r="D377" s="7" t="s">
        <v>258</v>
      </c>
      <c r="E377" s="7" t="s">
        <v>243</v>
      </c>
      <c r="F377" s="8">
        <v>0.33</v>
      </c>
      <c r="G377" s="8">
        <v>0</v>
      </c>
      <c r="H377" s="7" t="s">
        <v>26</v>
      </c>
      <c r="I377" s="8">
        <f t="shared" si="10"/>
        <v>0</v>
      </c>
      <c r="J377" s="7" t="str">
        <f t="shared" si="11"/>
        <v>Queda en 0</v>
      </c>
    </row>
    <row r="378" spans="1:10" x14ac:dyDescent="0.3">
      <c r="A378" s="7">
        <v>70</v>
      </c>
      <c r="B378" s="7" t="s">
        <v>338</v>
      </c>
      <c r="C378" s="7">
        <v>800791</v>
      </c>
      <c r="D378" s="7" t="s">
        <v>259</v>
      </c>
      <c r="E378" s="7" t="s">
        <v>243</v>
      </c>
      <c r="F378" s="8">
        <v>1</v>
      </c>
      <c r="G378" s="8">
        <v>37.61</v>
      </c>
      <c r="H378" s="7" t="s">
        <v>26</v>
      </c>
      <c r="I378" s="8">
        <f t="shared" si="10"/>
        <v>36.61</v>
      </c>
      <c r="J378" s="7" t="str">
        <f t="shared" si="11"/>
        <v>OK</v>
      </c>
    </row>
    <row r="379" spans="1:10" x14ac:dyDescent="0.3">
      <c r="A379" s="7">
        <v>70</v>
      </c>
      <c r="B379" s="7" t="s">
        <v>338</v>
      </c>
      <c r="C379" s="7">
        <v>800792</v>
      </c>
      <c r="D379" s="7" t="s">
        <v>242</v>
      </c>
      <c r="E379" s="7" t="s">
        <v>243</v>
      </c>
      <c r="F379" s="8">
        <v>3.67</v>
      </c>
      <c r="G379" s="8">
        <v>191.93</v>
      </c>
      <c r="H379" s="7" t="s">
        <v>26</v>
      </c>
      <c r="I379" s="8">
        <f t="shared" si="10"/>
        <v>188.26000000000002</v>
      </c>
      <c r="J379" s="7" t="str">
        <f t="shared" si="11"/>
        <v>OK</v>
      </c>
    </row>
    <row r="380" spans="1:10" x14ac:dyDescent="0.3">
      <c r="A380" s="7">
        <v>70</v>
      </c>
      <c r="B380" s="7" t="s">
        <v>338</v>
      </c>
      <c r="C380" s="7">
        <v>800793</v>
      </c>
      <c r="D380" s="7" t="s">
        <v>260</v>
      </c>
      <c r="E380" s="7" t="s">
        <v>243</v>
      </c>
      <c r="F380" s="8">
        <v>1.33</v>
      </c>
      <c r="G380" s="8">
        <v>51.71</v>
      </c>
      <c r="H380" s="7" t="s">
        <v>26</v>
      </c>
      <c r="I380" s="8">
        <f t="shared" si="10"/>
        <v>50.38</v>
      </c>
      <c r="J380" s="7" t="str">
        <f t="shared" si="11"/>
        <v>OK</v>
      </c>
    </row>
    <row r="381" spans="1:10" x14ac:dyDescent="0.3">
      <c r="A381" s="7">
        <v>70</v>
      </c>
      <c r="B381" s="7" t="s">
        <v>338</v>
      </c>
      <c r="C381" s="7">
        <v>925050</v>
      </c>
      <c r="D381" s="7" t="s">
        <v>261</v>
      </c>
      <c r="E381" s="7" t="s">
        <v>220</v>
      </c>
      <c r="F381" s="8">
        <v>8</v>
      </c>
      <c r="G381" s="8">
        <v>105.9</v>
      </c>
      <c r="H381" s="7" t="s">
        <v>26</v>
      </c>
      <c r="I381" s="8">
        <f t="shared" si="10"/>
        <v>97.9</v>
      </c>
      <c r="J381" s="7" t="str">
        <f t="shared" si="11"/>
        <v>OK</v>
      </c>
    </row>
    <row r="382" spans="1:10" x14ac:dyDescent="0.3">
      <c r="A382" s="7">
        <v>70</v>
      </c>
      <c r="B382" s="7" t="s">
        <v>338</v>
      </c>
      <c r="C382" s="7">
        <v>925059</v>
      </c>
      <c r="D382" s="7" t="s">
        <v>262</v>
      </c>
      <c r="E382" s="7" t="s">
        <v>220</v>
      </c>
      <c r="F382" s="8">
        <v>0.67</v>
      </c>
      <c r="G382" s="8">
        <v>0</v>
      </c>
      <c r="H382" s="7" t="s">
        <v>26</v>
      </c>
      <c r="I382" s="8">
        <f t="shared" si="10"/>
        <v>0</v>
      </c>
      <c r="J382" s="7" t="str">
        <f t="shared" si="11"/>
        <v>Queda en 0</v>
      </c>
    </row>
    <row r="383" spans="1:10" x14ac:dyDescent="0.3">
      <c r="A383" s="7">
        <v>70</v>
      </c>
      <c r="B383" s="7" t="s">
        <v>338</v>
      </c>
      <c r="C383" s="7">
        <v>925062</v>
      </c>
      <c r="D383" s="7" t="s">
        <v>345</v>
      </c>
      <c r="E383" s="7" t="s">
        <v>220</v>
      </c>
      <c r="F383" s="8">
        <v>1.33</v>
      </c>
      <c r="G383" s="8">
        <v>0</v>
      </c>
      <c r="H383" s="7" t="s">
        <v>26</v>
      </c>
      <c r="I383" s="8">
        <f t="shared" si="10"/>
        <v>0</v>
      </c>
      <c r="J383" s="7" t="str">
        <f t="shared" si="11"/>
        <v>Queda en 0</v>
      </c>
    </row>
    <row r="384" spans="1:10" x14ac:dyDescent="0.3">
      <c r="A384" s="7">
        <v>70</v>
      </c>
      <c r="B384" s="7" t="s">
        <v>338</v>
      </c>
      <c r="C384" s="7">
        <v>925064</v>
      </c>
      <c r="D384" s="7" t="s">
        <v>263</v>
      </c>
      <c r="E384" s="7" t="s">
        <v>220</v>
      </c>
      <c r="F384" s="8">
        <v>16.670000000000002</v>
      </c>
      <c r="G384" s="8">
        <v>446.86</v>
      </c>
      <c r="H384" s="7" t="s">
        <v>26</v>
      </c>
      <c r="I384" s="8">
        <f t="shared" si="10"/>
        <v>430.19</v>
      </c>
      <c r="J384" s="7" t="str">
        <f t="shared" si="11"/>
        <v>OK</v>
      </c>
    </row>
    <row r="385" spans="1:10" x14ac:dyDescent="0.3">
      <c r="A385" s="7">
        <v>70</v>
      </c>
      <c r="B385" s="7" t="s">
        <v>338</v>
      </c>
      <c r="C385" s="7">
        <v>925076</v>
      </c>
      <c r="D385" s="7" t="s">
        <v>278</v>
      </c>
      <c r="E385" s="7" t="s">
        <v>220</v>
      </c>
      <c r="F385" s="8">
        <v>16</v>
      </c>
      <c r="G385" s="8">
        <v>60.97</v>
      </c>
      <c r="H385" s="7" t="s">
        <v>26</v>
      </c>
      <c r="I385" s="8">
        <f t="shared" si="10"/>
        <v>44.97</v>
      </c>
      <c r="J385" s="7" t="str">
        <f t="shared" si="11"/>
        <v>OK</v>
      </c>
    </row>
    <row r="386" spans="1:10" x14ac:dyDescent="0.3">
      <c r="A386" s="7">
        <v>70</v>
      </c>
      <c r="B386" s="7" t="s">
        <v>338</v>
      </c>
      <c r="C386" s="7">
        <v>925083</v>
      </c>
      <c r="D386" s="7" t="s">
        <v>346</v>
      </c>
      <c r="E386" s="7" t="s">
        <v>220</v>
      </c>
      <c r="F386" s="8">
        <v>4</v>
      </c>
      <c r="G386" s="8">
        <v>4.01</v>
      </c>
      <c r="H386" s="7" t="s">
        <v>26</v>
      </c>
      <c r="I386" s="8">
        <f t="shared" ref="I386:I449" si="12">MAX(0,G386-F386)</f>
        <v>9.9999999999997868E-3</v>
      </c>
      <c r="J386" s="7" t="str">
        <f t="shared" ref="J386:J449" si="13">IF(H386="No","Sin fila previa",IF(G386&lt;F386,"Queda en 0","OK"))</f>
        <v>OK</v>
      </c>
    </row>
    <row r="387" spans="1:10" x14ac:dyDescent="0.3">
      <c r="A387" s="7">
        <v>70</v>
      </c>
      <c r="B387" s="7" t="s">
        <v>338</v>
      </c>
      <c r="C387" s="7">
        <v>930012</v>
      </c>
      <c r="D387" s="7" t="s">
        <v>264</v>
      </c>
      <c r="E387" s="7" t="s">
        <v>243</v>
      </c>
      <c r="F387" s="8">
        <v>0.33</v>
      </c>
      <c r="G387" s="8">
        <v>126.12</v>
      </c>
      <c r="H387" s="7" t="s">
        <v>26</v>
      </c>
      <c r="I387" s="8">
        <f t="shared" si="12"/>
        <v>125.79</v>
      </c>
      <c r="J387" s="7" t="str">
        <f t="shared" si="13"/>
        <v>OK</v>
      </c>
    </row>
    <row r="388" spans="1:10" x14ac:dyDescent="0.3">
      <c r="A388" s="7">
        <v>70</v>
      </c>
      <c r="B388" s="7" t="s">
        <v>338</v>
      </c>
      <c r="C388" s="7">
        <v>930022</v>
      </c>
      <c r="D388" s="7" t="s">
        <v>265</v>
      </c>
      <c r="E388" s="7" t="s">
        <v>243</v>
      </c>
      <c r="F388" s="8">
        <v>1</v>
      </c>
      <c r="G388" s="8">
        <v>53.28</v>
      </c>
      <c r="H388" s="7" t="s">
        <v>26</v>
      </c>
      <c r="I388" s="8">
        <f t="shared" si="12"/>
        <v>52.28</v>
      </c>
      <c r="J388" s="7" t="str">
        <f t="shared" si="13"/>
        <v>OK</v>
      </c>
    </row>
    <row r="389" spans="1:10" x14ac:dyDescent="0.3">
      <c r="A389" s="7">
        <v>70</v>
      </c>
      <c r="B389" s="7" t="s">
        <v>338</v>
      </c>
      <c r="C389" s="7">
        <v>930023</v>
      </c>
      <c r="D389" s="7" t="s">
        <v>335</v>
      </c>
      <c r="E389" s="7" t="s">
        <v>243</v>
      </c>
      <c r="F389" s="8">
        <v>5.33</v>
      </c>
      <c r="G389" s="8">
        <v>18.010000000000002</v>
      </c>
      <c r="H389" s="7" t="s">
        <v>26</v>
      </c>
      <c r="I389" s="8">
        <f t="shared" si="12"/>
        <v>12.680000000000001</v>
      </c>
      <c r="J389" s="7" t="str">
        <f t="shared" si="13"/>
        <v>OK</v>
      </c>
    </row>
    <row r="390" spans="1:10" x14ac:dyDescent="0.3">
      <c r="A390" s="7">
        <v>70</v>
      </c>
      <c r="B390" s="7" t="s">
        <v>338</v>
      </c>
      <c r="C390" s="7">
        <v>930025</v>
      </c>
      <c r="D390" s="7" t="s">
        <v>244</v>
      </c>
      <c r="E390" s="7" t="s">
        <v>243</v>
      </c>
      <c r="F390" s="8">
        <v>2</v>
      </c>
      <c r="G390" s="8">
        <v>183.31</v>
      </c>
      <c r="H390" s="7" t="s">
        <v>26</v>
      </c>
      <c r="I390" s="8">
        <f t="shared" si="12"/>
        <v>181.31</v>
      </c>
      <c r="J390" s="7" t="str">
        <f t="shared" si="13"/>
        <v>OK</v>
      </c>
    </row>
    <row r="391" spans="1:10" x14ac:dyDescent="0.3">
      <c r="A391" s="7">
        <v>70</v>
      </c>
      <c r="B391" s="7" t="s">
        <v>338</v>
      </c>
      <c r="C391" s="7">
        <v>930153</v>
      </c>
      <c r="D391" s="7" t="s">
        <v>282</v>
      </c>
      <c r="E391" s="7" t="s">
        <v>243</v>
      </c>
      <c r="F391" s="8">
        <v>0.33</v>
      </c>
      <c r="G391" s="8">
        <v>38.39</v>
      </c>
      <c r="H391" s="7" t="s">
        <v>26</v>
      </c>
      <c r="I391" s="8">
        <f t="shared" si="12"/>
        <v>38.06</v>
      </c>
      <c r="J391" s="7" t="str">
        <f t="shared" si="13"/>
        <v>OK</v>
      </c>
    </row>
    <row r="392" spans="1:10" x14ac:dyDescent="0.3">
      <c r="A392" s="7">
        <v>70</v>
      </c>
      <c r="B392" s="7" t="s">
        <v>338</v>
      </c>
      <c r="C392" s="7">
        <v>930154</v>
      </c>
      <c r="D392" s="7" t="s">
        <v>245</v>
      </c>
      <c r="E392" s="7" t="s">
        <v>243</v>
      </c>
      <c r="F392" s="8">
        <v>0.33</v>
      </c>
      <c r="G392" s="8">
        <v>18.8</v>
      </c>
      <c r="H392" s="7" t="s">
        <v>26</v>
      </c>
      <c r="I392" s="8">
        <f t="shared" si="12"/>
        <v>18.470000000000002</v>
      </c>
      <c r="J392" s="7" t="str">
        <f t="shared" si="13"/>
        <v>OK</v>
      </c>
    </row>
    <row r="393" spans="1:10" x14ac:dyDescent="0.3">
      <c r="A393" s="7">
        <v>70</v>
      </c>
      <c r="B393" s="7" t="s">
        <v>338</v>
      </c>
      <c r="C393" s="7">
        <v>930178</v>
      </c>
      <c r="D393" s="7" t="s">
        <v>267</v>
      </c>
      <c r="E393" s="7" t="s">
        <v>243</v>
      </c>
      <c r="F393" s="8">
        <v>0.33</v>
      </c>
      <c r="G393" s="8">
        <v>15.67</v>
      </c>
      <c r="H393" s="7" t="s">
        <v>26</v>
      </c>
      <c r="I393" s="8">
        <f t="shared" si="12"/>
        <v>15.34</v>
      </c>
      <c r="J393" s="7" t="str">
        <f t="shared" si="13"/>
        <v>OK</v>
      </c>
    </row>
    <row r="394" spans="1:10" x14ac:dyDescent="0.3">
      <c r="A394" s="7">
        <v>70</v>
      </c>
      <c r="B394" s="7" t="s">
        <v>338</v>
      </c>
      <c r="C394" s="7">
        <v>930193</v>
      </c>
      <c r="D394" s="7" t="s">
        <v>268</v>
      </c>
      <c r="E394" s="7" t="s">
        <v>243</v>
      </c>
      <c r="F394" s="8">
        <v>0.33</v>
      </c>
      <c r="G394" s="8">
        <v>0</v>
      </c>
      <c r="H394" s="7" t="s">
        <v>26</v>
      </c>
      <c r="I394" s="8">
        <f t="shared" si="12"/>
        <v>0</v>
      </c>
      <c r="J394" s="7" t="str">
        <f t="shared" si="13"/>
        <v>Queda en 0</v>
      </c>
    </row>
    <row r="395" spans="1:10" x14ac:dyDescent="0.3">
      <c r="A395" s="7">
        <v>70</v>
      </c>
      <c r="B395" s="7" t="s">
        <v>338</v>
      </c>
      <c r="C395" s="7">
        <v>982005</v>
      </c>
      <c r="D395" s="7" t="s">
        <v>285</v>
      </c>
      <c r="E395" s="7" t="s">
        <v>270</v>
      </c>
      <c r="F395" s="8">
        <v>3</v>
      </c>
      <c r="G395" s="8">
        <v>781.53</v>
      </c>
      <c r="H395" s="7" t="s">
        <v>26</v>
      </c>
      <c r="I395" s="8">
        <f t="shared" si="12"/>
        <v>778.53</v>
      </c>
      <c r="J395" s="7" t="str">
        <f t="shared" si="13"/>
        <v>OK</v>
      </c>
    </row>
    <row r="396" spans="1:10" x14ac:dyDescent="0.3">
      <c r="A396" s="7">
        <v>72</v>
      </c>
      <c r="B396" s="7" t="s">
        <v>347</v>
      </c>
      <c r="C396" s="7">
        <v>101005</v>
      </c>
      <c r="D396" s="7" t="s">
        <v>232</v>
      </c>
      <c r="E396" s="7" t="s">
        <v>215</v>
      </c>
      <c r="F396" s="8">
        <v>180</v>
      </c>
      <c r="G396" s="8">
        <v>332.54</v>
      </c>
      <c r="H396" s="7" t="s">
        <v>26</v>
      </c>
      <c r="I396" s="8">
        <f t="shared" si="12"/>
        <v>152.54000000000002</v>
      </c>
      <c r="J396" s="7" t="str">
        <f t="shared" si="13"/>
        <v>OK</v>
      </c>
    </row>
    <row r="397" spans="1:10" x14ac:dyDescent="0.3">
      <c r="A397" s="7">
        <v>72</v>
      </c>
      <c r="B397" s="7" t="s">
        <v>347</v>
      </c>
      <c r="C397" s="7">
        <v>101026</v>
      </c>
      <c r="D397" s="7" t="s">
        <v>233</v>
      </c>
      <c r="E397" s="7" t="s">
        <v>215</v>
      </c>
      <c r="F397" s="8">
        <v>162.33000000000001</v>
      </c>
      <c r="G397" s="8">
        <v>369.91</v>
      </c>
      <c r="H397" s="7" t="s">
        <v>26</v>
      </c>
      <c r="I397" s="8">
        <f t="shared" si="12"/>
        <v>207.58</v>
      </c>
      <c r="J397" s="7" t="str">
        <f t="shared" si="13"/>
        <v>OK</v>
      </c>
    </row>
    <row r="398" spans="1:10" x14ac:dyDescent="0.3">
      <c r="A398" s="7">
        <v>72</v>
      </c>
      <c r="B398" s="7" t="s">
        <v>347</v>
      </c>
      <c r="C398" s="7">
        <v>101027</v>
      </c>
      <c r="D398" s="7" t="s">
        <v>234</v>
      </c>
      <c r="E398" s="7" t="s">
        <v>215</v>
      </c>
      <c r="F398" s="8">
        <v>144</v>
      </c>
      <c r="G398" s="8">
        <v>333.58</v>
      </c>
      <c r="H398" s="7" t="s">
        <v>26</v>
      </c>
      <c r="I398" s="8">
        <f t="shared" si="12"/>
        <v>189.57999999999998</v>
      </c>
      <c r="J398" s="7" t="str">
        <f t="shared" si="13"/>
        <v>OK</v>
      </c>
    </row>
    <row r="399" spans="1:10" x14ac:dyDescent="0.3">
      <c r="A399" s="7">
        <v>72</v>
      </c>
      <c r="B399" s="7" t="s">
        <v>347</v>
      </c>
      <c r="C399" s="7">
        <v>101028</v>
      </c>
      <c r="D399" s="7" t="s">
        <v>214</v>
      </c>
      <c r="E399" s="7" t="s">
        <v>215</v>
      </c>
      <c r="F399" s="8">
        <v>176.33</v>
      </c>
      <c r="G399" s="8">
        <v>416.19</v>
      </c>
      <c r="H399" s="7" t="s">
        <v>26</v>
      </c>
      <c r="I399" s="8">
        <f t="shared" si="12"/>
        <v>239.85999999999999</v>
      </c>
      <c r="J399" s="7" t="str">
        <f t="shared" si="13"/>
        <v>OK</v>
      </c>
    </row>
    <row r="400" spans="1:10" x14ac:dyDescent="0.3">
      <c r="A400" s="7">
        <v>72</v>
      </c>
      <c r="B400" s="7" t="s">
        <v>347</v>
      </c>
      <c r="C400" s="7">
        <v>101034</v>
      </c>
      <c r="D400" s="7" t="s">
        <v>272</v>
      </c>
      <c r="E400" s="7" t="s">
        <v>215</v>
      </c>
      <c r="F400" s="8">
        <v>5.67</v>
      </c>
      <c r="G400" s="8">
        <v>134.07</v>
      </c>
      <c r="H400" s="7" t="s">
        <v>26</v>
      </c>
      <c r="I400" s="8">
        <f t="shared" si="12"/>
        <v>128.4</v>
      </c>
      <c r="J400" s="7" t="str">
        <f t="shared" si="13"/>
        <v>OK</v>
      </c>
    </row>
    <row r="401" spans="1:10" x14ac:dyDescent="0.3">
      <c r="A401" s="7">
        <v>72</v>
      </c>
      <c r="B401" s="7" t="s">
        <v>347</v>
      </c>
      <c r="C401" s="7">
        <v>101038</v>
      </c>
      <c r="D401" s="7" t="s">
        <v>235</v>
      </c>
      <c r="E401" s="7" t="s">
        <v>215</v>
      </c>
      <c r="F401" s="8">
        <v>22.33</v>
      </c>
      <c r="G401" s="8">
        <v>425.6</v>
      </c>
      <c r="H401" s="7" t="s">
        <v>26</v>
      </c>
      <c r="I401" s="8">
        <f t="shared" si="12"/>
        <v>403.27000000000004</v>
      </c>
      <c r="J401" s="7" t="str">
        <f t="shared" si="13"/>
        <v>OK</v>
      </c>
    </row>
    <row r="402" spans="1:10" x14ac:dyDescent="0.3">
      <c r="A402" s="7">
        <v>72</v>
      </c>
      <c r="B402" s="7" t="s">
        <v>347</v>
      </c>
      <c r="C402" s="7">
        <v>101072</v>
      </c>
      <c r="D402" s="7" t="s">
        <v>273</v>
      </c>
      <c r="E402" s="7" t="s">
        <v>215</v>
      </c>
      <c r="F402" s="8">
        <v>30.67</v>
      </c>
      <c r="G402" s="8">
        <v>254.83</v>
      </c>
      <c r="H402" s="7" t="s">
        <v>26</v>
      </c>
      <c r="I402" s="8">
        <f t="shared" si="12"/>
        <v>224.16000000000003</v>
      </c>
      <c r="J402" s="7" t="str">
        <f t="shared" si="13"/>
        <v>OK</v>
      </c>
    </row>
    <row r="403" spans="1:10" x14ac:dyDescent="0.3">
      <c r="A403" s="7">
        <v>72</v>
      </c>
      <c r="B403" s="7" t="s">
        <v>347</v>
      </c>
      <c r="C403" s="7">
        <v>101124</v>
      </c>
      <c r="D403" s="7" t="s">
        <v>322</v>
      </c>
      <c r="E403" s="7" t="s">
        <v>215</v>
      </c>
      <c r="F403" s="8">
        <v>48</v>
      </c>
      <c r="G403" s="8">
        <v>44.72</v>
      </c>
      <c r="H403" s="7" t="s">
        <v>26</v>
      </c>
      <c r="I403" s="8">
        <f t="shared" si="12"/>
        <v>0</v>
      </c>
      <c r="J403" s="7" t="str">
        <f t="shared" si="13"/>
        <v>Queda en 0</v>
      </c>
    </row>
    <row r="404" spans="1:10" x14ac:dyDescent="0.3">
      <c r="A404" s="7">
        <v>72</v>
      </c>
      <c r="B404" s="7" t="s">
        <v>347</v>
      </c>
      <c r="C404" s="7">
        <v>101130</v>
      </c>
      <c r="D404" s="7" t="s">
        <v>247</v>
      </c>
      <c r="E404" s="7" t="s">
        <v>215</v>
      </c>
      <c r="F404" s="8">
        <v>13.33</v>
      </c>
      <c r="G404" s="8">
        <v>0</v>
      </c>
      <c r="H404" s="7" t="s">
        <v>26</v>
      </c>
      <c r="I404" s="8">
        <f t="shared" si="12"/>
        <v>0</v>
      </c>
      <c r="J404" s="7" t="str">
        <f t="shared" si="13"/>
        <v>Queda en 0</v>
      </c>
    </row>
    <row r="405" spans="1:10" x14ac:dyDescent="0.3">
      <c r="A405" s="7">
        <v>72</v>
      </c>
      <c r="B405" s="7" t="s">
        <v>347</v>
      </c>
      <c r="C405" s="7">
        <v>101145</v>
      </c>
      <c r="D405" s="7" t="s">
        <v>275</v>
      </c>
      <c r="E405" s="7" t="s">
        <v>215</v>
      </c>
      <c r="F405" s="8">
        <v>8</v>
      </c>
      <c r="G405" s="8">
        <v>0</v>
      </c>
      <c r="H405" s="7" t="s">
        <v>26</v>
      </c>
      <c r="I405" s="8">
        <f t="shared" si="12"/>
        <v>0</v>
      </c>
      <c r="J405" s="7" t="str">
        <f t="shared" si="13"/>
        <v>Queda en 0</v>
      </c>
    </row>
    <row r="406" spans="1:10" x14ac:dyDescent="0.3">
      <c r="A406" s="7">
        <v>72</v>
      </c>
      <c r="B406" s="7" t="s">
        <v>347</v>
      </c>
      <c r="C406" s="7">
        <v>103001</v>
      </c>
      <c r="D406" s="7" t="s">
        <v>248</v>
      </c>
      <c r="E406" s="7" t="s">
        <v>215</v>
      </c>
      <c r="F406" s="8">
        <v>157</v>
      </c>
      <c r="G406" s="8">
        <v>2854.55</v>
      </c>
      <c r="H406" s="7" t="s">
        <v>26</v>
      </c>
      <c r="I406" s="8">
        <f t="shared" si="12"/>
        <v>2697.55</v>
      </c>
      <c r="J406" s="7" t="str">
        <f t="shared" si="13"/>
        <v>OK</v>
      </c>
    </row>
    <row r="407" spans="1:10" x14ac:dyDescent="0.3">
      <c r="A407" s="7">
        <v>72</v>
      </c>
      <c r="B407" s="7" t="s">
        <v>347</v>
      </c>
      <c r="C407" s="7">
        <v>103202</v>
      </c>
      <c r="D407" s="7" t="s">
        <v>287</v>
      </c>
      <c r="E407" s="7" t="s">
        <v>215</v>
      </c>
      <c r="F407" s="8">
        <v>36</v>
      </c>
      <c r="G407" s="8">
        <v>25.78</v>
      </c>
      <c r="H407" s="7" t="s">
        <v>26</v>
      </c>
      <c r="I407" s="8">
        <f t="shared" si="12"/>
        <v>0</v>
      </c>
      <c r="J407" s="7" t="str">
        <f t="shared" si="13"/>
        <v>Queda en 0</v>
      </c>
    </row>
    <row r="408" spans="1:10" x14ac:dyDescent="0.3">
      <c r="A408" s="7">
        <v>72</v>
      </c>
      <c r="B408" s="7" t="s">
        <v>347</v>
      </c>
      <c r="C408" s="7">
        <v>103208</v>
      </c>
      <c r="D408" s="7" t="s">
        <v>236</v>
      </c>
      <c r="E408" s="7" t="s">
        <v>215</v>
      </c>
      <c r="F408" s="8">
        <v>8</v>
      </c>
      <c r="G408" s="8">
        <v>14.07</v>
      </c>
      <c r="H408" s="7" t="s">
        <v>26</v>
      </c>
      <c r="I408" s="8">
        <f t="shared" si="12"/>
        <v>6.07</v>
      </c>
      <c r="J408" s="7" t="str">
        <f t="shared" si="13"/>
        <v>OK</v>
      </c>
    </row>
    <row r="409" spans="1:10" x14ac:dyDescent="0.3">
      <c r="A409" s="7">
        <v>72</v>
      </c>
      <c r="B409" s="7" t="s">
        <v>347</v>
      </c>
      <c r="C409" s="7">
        <v>201001</v>
      </c>
      <c r="D409" s="7" t="s">
        <v>216</v>
      </c>
      <c r="E409" s="7" t="s">
        <v>217</v>
      </c>
      <c r="F409" s="8">
        <v>104</v>
      </c>
      <c r="G409" s="8">
        <v>660.2</v>
      </c>
      <c r="H409" s="7" t="s">
        <v>26</v>
      </c>
      <c r="I409" s="8">
        <f t="shared" si="12"/>
        <v>556.20000000000005</v>
      </c>
      <c r="J409" s="7" t="str">
        <f t="shared" si="13"/>
        <v>OK</v>
      </c>
    </row>
    <row r="410" spans="1:10" x14ac:dyDescent="0.3">
      <c r="A410" s="7">
        <v>72</v>
      </c>
      <c r="B410" s="7" t="s">
        <v>347</v>
      </c>
      <c r="C410" s="7">
        <v>511005</v>
      </c>
      <c r="D410" s="7" t="s">
        <v>249</v>
      </c>
      <c r="E410" s="7" t="s">
        <v>217</v>
      </c>
      <c r="F410" s="8">
        <v>8</v>
      </c>
      <c r="G410" s="8">
        <v>26.77</v>
      </c>
      <c r="H410" s="7" t="s">
        <v>26</v>
      </c>
      <c r="I410" s="8">
        <f t="shared" si="12"/>
        <v>18.77</v>
      </c>
      <c r="J410" s="7" t="str">
        <f t="shared" si="13"/>
        <v>OK</v>
      </c>
    </row>
    <row r="411" spans="1:10" x14ac:dyDescent="0.3">
      <c r="A411" s="7">
        <v>72</v>
      </c>
      <c r="B411" s="7" t="s">
        <v>347</v>
      </c>
      <c r="C411" s="7">
        <v>611049</v>
      </c>
      <c r="D411" s="7" t="s">
        <v>251</v>
      </c>
      <c r="E411" s="7" t="s">
        <v>217</v>
      </c>
      <c r="F411" s="8">
        <v>16</v>
      </c>
      <c r="G411" s="8">
        <v>80.430000000000007</v>
      </c>
      <c r="H411" s="7" t="s">
        <v>26</v>
      </c>
      <c r="I411" s="8">
        <f t="shared" si="12"/>
        <v>64.430000000000007</v>
      </c>
      <c r="J411" s="7" t="str">
        <f t="shared" si="13"/>
        <v>OK</v>
      </c>
    </row>
    <row r="412" spans="1:10" x14ac:dyDescent="0.3">
      <c r="A412" s="7">
        <v>72</v>
      </c>
      <c r="B412" s="7" t="s">
        <v>347</v>
      </c>
      <c r="C412" s="7">
        <v>611053</v>
      </c>
      <c r="D412" s="7" t="s">
        <v>253</v>
      </c>
      <c r="E412" s="7" t="s">
        <v>217</v>
      </c>
      <c r="F412" s="8">
        <v>16</v>
      </c>
      <c r="G412" s="8">
        <v>606.15</v>
      </c>
      <c r="H412" s="7" t="s">
        <v>26</v>
      </c>
      <c r="I412" s="8">
        <f t="shared" si="12"/>
        <v>590.15</v>
      </c>
      <c r="J412" s="7" t="str">
        <f t="shared" si="13"/>
        <v>OK</v>
      </c>
    </row>
    <row r="413" spans="1:10" x14ac:dyDescent="0.3">
      <c r="A413" s="7">
        <v>72</v>
      </c>
      <c r="B413" s="7" t="s">
        <v>347</v>
      </c>
      <c r="C413" s="7">
        <v>611055</v>
      </c>
      <c r="D413" s="7" t="s">
        <v>254</v>
      </c>
      <c r="E413" s="7" t="s">
        <v>217</v>
      </c>
      <c r="F413" s="8">
        <v>2.67</v>
      </c>
      <c r="G413" s="8">
        <v>54.62</v>
      </c>
      <c r="H413" s="7" t="s">
        <v>26</v>
      </c>
      <c r="I413" s="8">
        <f t="shared" si="12"/>
        <v>51.949999999999996</v>
      </c>
      <c r="J413" s="7" t="str">
        <f t="shared" si="13"/>
        <v>OK</v>
      </c>
    </row>
    <row r="414" spans="1:10" x14ac:dyDescent="0.3">
      <c r="A414" s="7">
        <v>72</v>
      </c>
      <c r="B414" s="7" t="s">
        <v>347</v>
      </c>
      <c r="C414" s="7">
        <v>611092</v>
      </c>
      <c r="D414" s="7" t="s">
        <v>348</v>
      </c>
      <c r="E414" s="7" t="s">
        <v>294</v>
      </c>
      <c r="F414" s="8">
        <v>0.67</v>
      </c>
      <c r="G414" s="8">
        <v>39.85</v>
      </c>
      <c r="H414" s="7" t="s">
        <v>26</v>
      </c>
      <c r="I414" s="8">
        <f t="shared" si="12"/>
        <v>39.18</v>
      </c>
      <c r="J414" s="7" t="str">
        <f t="shared" si="13"/>
        <v>OK</v>
      </c>
    </row>
    <row r="415" spans="1:10" x14ac:dyDescent="0.3">
      <c r="A415" s="7">
        <v>72</v>
      </c>
      <c r="B415" s="7" t="s">
        <v>347</v>
      </c>
      <c r="C415" s="7">
        <v>611221</v>
      </c>
      <c r="D415" s="7" t="s">
        <v>293</v>
      </c>
      <c r="E415" s="7" t="s">
        <v>294</v>
      </c>
      <c r="F415" s="8">
        <v>2.67</v>
      </c>
      <c r="G415" s="8">
        <v>60.64</v>
      </c>
      <c r="H415" s="7" t="s">
        <v>26</v>
      </c>
      <c r="I415" s="8">
        <f t="shared" si="12"/>
        <v>57.97</v>
      </c>
      <c r="J415" s="7" t="str">
        <f t="shared" si="13"/>
        <v>OK</v>
      </c>
    </row>
    <row r="416" spans="1:10" x14ac:dyDescent="0.3">
      <c r="A416" s="7">
        <v>72</v>
      </c>
      <c r="B416" s="7" t="s">
        <v>347</v>
      </c>
      <c r="C416" s="7">
        <v>611507</v>
      </c>
      <c r="D416" s="7" t="s">
        <v>255</v>
      </c>
      <c r="E416" s="7" t="s">
        <v>215</v>
      </c>
      <c r="F416" s="8">
        <v>10.67</v>
      </c>
      <c r="G416" s="8">
        <v>0</v>
      </c>
      <c r="H416" s="7" t="s">
        <v>26</v>
      </c>
      <c r="I416" s="8">
        <f t="shared" si="12"/>
        <v>0</v>
      </c>
      <c r="J416" s="7" t="str">
        <f t="shared" si="13"/>
        <v>Queda en 0</v>
      </c>
    </row>
    <row r="417" spans="1:10" x14ac:dyDescent="0.3">
      <c r="A417" s="7">
        <v>72</v>
      </c>
      <c r="B417" s="7" t="s">
        <v>347</v>
      </c>
      <c r="C417" s="7">
        <v>621004</v>
      </c>
      <c r="D417" s="7" t="s">
        <v>256</v>
      </c>
      <c r="E417" s="7" t="s">
        <v>239</v>
      </c>
      <c r="F417" s="8">
        <v>6</v>
      </c>
      <c r="G417" s="8">
        <v>36.47</v>
      </c>
      <c r="H417" s="7" t="s">
        <v>26</v>
      </c>
      <c r="I417" s="8">
        <f t="shared" si="12"/>
        <v>30.47</v>
      </c>
      <c r="J417" s="7" t="str">
        <f t="shared" si="13"/>
        <v>OK</v>
      </c>
    </row>
    <row r="418" spans="1:10" x14ac:dyDescent="0.3">
      <c r="A418" s="7">
        <v>72</v>
      </c>
      <c r="B418" s="7" t="s">
        <v>347</v>
      </c>
      <c r="C418" s="7">
        <v>621006</v>
      </c>
      <c r="D418" s="7" t="s">
        <v>288</v>
      </c>
      <c r="E418" s="7" t="s">
        <v>239</v>
      </c>
      <c r="F418" s="8">
        <v>4</v>
      </c>
      <c r="G418" s="8">
        <v>30.76</v>
      </c>
      <c r="H418" s="7" t="s">
        <v>26</v>
      </c>
      <c r="I418" s="8">
        <f t="shared" si="12"/>
        <v>26.76</v>
      </c>
      <c r="J418" s="7" t="str">
        <f t="shared" si="13"/>
        <v>OK</v>
      </c>
    </row>
    <row r="419" spans="1:10" x14ac:dyDescent="0.3">
      <c r="A419" s="7">
        <v>72</v>
      </c>
      <c r="B419" s="7" t="s">
        <v>347</v>
      </c>
      <c r="C419" s="7">
        <v>621008</v>
      </c>
      <c r="D419" s="7" t="s">
        <v>289</v>
      </c>
      <c r="E419" s="7" t="s">
        <v>239</v>
      </c>
      <c r="F419" s="8">
        <v>2</v>
      </c>
      <c r="G419" s="8">
        <v>25.07</v>
      </c>
      <c r="H419" s="7" t="s">
        <v>26</v>
      </c>
      <c r="I419" s="8">
        <f t="shared" si="12"/>
        <v>23.07</v>
      </c>
      <c r="J419" s="7" t="str">
        <f t="shared" si="13"/>
        <v>OK</v>
      </c>
    </row>
    <row r="420" spans="1:10" x14ac:dyDescent="0.3">
      <c r="A420" s="7">
        <v>72</v>
      </c>
      <c r="B420" s="7" t="s">
        <v>347</v>
      </c>
      <c r="C420" s="7">
        <v>621043</v>
      </c>
      <c r="D420" s="7" t="s">
        <v>257</v>
      </c>
      <c r="E420" s="7" t="s">
        <v>239</v>
      </c>
      <c r="F420" s="8">
        <v>3.33</v>
      </c>
      <c r="G420" s="8">
        <v>0</v>
      </c>
      <c r="H420" s="7" t="s">
        <v>26</v>
      </c>
      <c r="I420" s="8">
        <f t="shared" si="12"/>
        <v>0</v>
      </c>
      <c r="J420" s="7" t="str">
        <f t="shared" si="13"/>
        <v>Queda en 0</v>
      </c>
    </row>
    <row r="421" spans="1:10" x14ac:dyDescent="0.3">
      <c r="A421" s="7">
        <v>72</v>
      </c>
      <c r="B421" s="7" t="s">
        <v>347</v>
      </c>
      <c r="C421" s="7">
        <v>621045</v>
      </c>
      <c r="D421" s="7" t="s">
        <v>238</v>
      </c>
      <c r="E421" s="7" t="s">
        <v>239</v>
      </c>
      <c r="F421" s="8">
        <v>30</v>
      </c>
      <c r="G421" s="8">
        <v>384.01</v>
      </c>
      <c r="H421" s="7" t="s">
        <v>26</v>
      </c>
      <c r="I421" s="8">
        <f t="shared" si="12"/>
        <v>354.01</v>
      </c>
      <c r="J421" s="7" t="str">
        <f t="shared" si="13"/>
        <v>OK</v>
      </c>
    </row>
    <row r="422" spans="1:10" x14ac:dyDescent="0.3">
      <c r="A422" s="7">
        <v>72</v>
      </c>
      <c r="B422" s="7" t="s">
        <v>347</v>
      </c>
      <c r="C422" s="7">
        <v>800088</v>
      </c>
      <c r="D422" s="7" t="s">
        <v>240</v>
      </c>
      <c r="E422" s="7" t="s">
        <v>215</v>
      </c>
      <c r="F422" s="8">
        <v>12</v>
      </c>
      <c r="G422" s="8">
        <v>252.01</v>
      </c>
      <c r="H422" s="7" t="s">
        <v>26</v>
      </c>
      <c r="I422" s="8">
        <f t="shared" si="12"/>
        <v>240.01</v>
      </c>
      <c r="J422" s="7" t="str">
        <f t="shared" si="13"/>
        <v>OK</v>
      </c>
    </row>
    <row r="423" spans="1:10" x14ac:dyDescent="0.3">
      <c r="A423" s="7">
        <v>72</v>
      </c>
      <c r="B423" s="7" t="s">
        <v>347</v>
      </c>
      <c r="C423" s="7">
        <v>800089</v>
      </c>
      <c r="D423" s="7" t="s">
        <v>241</v>
      </c>
      <c r="E423" s="7" t="s">
        <v>215</v>
      </c>
      <c r="F423" s="8">
        <v>21.33</v>
      </c>
      <c r="G423" s="8">
        <v>223.78</v>
      </c>
      <c r="H423" s="7" t="s">
        <v>26</v>
      </c>
      <c r="I423" s="8">
        <f t="shared" si="12"/>
        <v>202.45</v>
      </c>
      <c r="J423" s="7" t="str">
        <f t="shared" si="13"/>
        <v>OK</v>
      </c>
    </row>
    <row r="424" spans="1:10" x14ac:dyDescent="0.3">
      <c r="A424" s="7">
        <v>72</v>
      </c>
      <c r="B424" s="7" t="s">
        <v>347</v>
      </c>
      <c r="C424" s="7">
        <v>800792</v>
      </c>
      <c r="D424" s="7" t="s">
        <v>242</v>
      </c>
      <c r="E424" s="7" t="s">
        <v>243</v>
      </c>
      <c r="F424" s="8">
        <v>4.33</v>
      </c>
      <c r="G424" s="8">
        <v>330.67</v>
      </c>
      <c r="H424" s="7" t="s">
        <v>26</v>
      </c>
      <c r="I424" s="8">
        <f t="shared" si="12"/>
        <v>326.34000000000003</v>
      </c>
      <c r="J424" s="7" t="str">
        <f t="shared" si="13"/>
        <v>OK</v>
      </c>
    </row>
    <row r="425" spans="1:10" x14ac:dyDescent="0.3">
      <c r="A425" s="7">
        <v>72</v>
      </c>
      <c r="B425" s="7" t="s">
        <v>347</v>
      </c>
      <c r="C425" s="7">
        <v>800793</v>
      </c>
      <c r="D425" s="7" t="s">
        <v>260</v>
      </c>
      <c r="E425" s="7" t="s">
        <v>243</v>
      </c>
      <c r="F425" s="8">
        <v>3</v>
      </c>
      <c r="G425" s="8">
        <v>63.21</v>
      </c>
      <c r="H425" s="7" t="s">
        <v>26</v>
      </c>
      <c r="I425" s="8">
        <f t="shared" si="12"/>
        <v>60.21</v>
      </c>
      <c r="J425" s="7" t="str">
        <f t="shared" si="13"/>
        <v>OK</v>
      </c>
    </row>
    <row r="426" spans="1:10" x14ac:dyDescent="0.3">
      <c r="A426" s="7">
        <v>72</v>
      </c>
      <c r="B426" s="7" t="s">
        <v>347</v>
      </c>
      <c r="C426" s="7">
        <v>800796</v>
      </c>
      <c r="D426" s="7" t="s">
        <v>276</v>
      </c>
      <c r="E426" s="7" t="s">
        <v>243</v>
      </c>
      <c r="F426" s="8">
        <v>0.33</v>
      </c>
      <c r="G426" s="8">
        <v>20.149999999999999</v>
      </c>
      <c r="H426" s="7" t="s">
        <v>26</v>
      </c>
      <c r="I426" s="8">
        <f t="shared" si="12"/>
        <v>19.82</v>
      </c>
      <c r="J426" s="7" t="str">
        <f t="shared" si="13"/>
        <v>OK</v>
      </c>
    </row>
    <row r="427" spans="1:10" x14ac:dyDescent="0.3">
      <c r="A427" s="7">
        <v>72</v>
      </c>
      <c r="B427" s="7" t="s">
        <v>347</v>
      </c>
      <c r="C427" s="7">
        <v>800951</v>
      </c>
      <c r="D427" s="7" t="s">
        <v>349</v>
      </c>
      <c r="E427" s="7" t="s">
        <v>350</v>
      </c>
      <c r="F427" s="8">
        <v>4</v>
      </c>
      <c r="G427" s="8">
        <v>0</v>
      </c>
      <c r="H427" s="7" t="s">
        <v>26</v>
      </c>
      <c r="I427" s="8">
        <f t="shared" si="12"/>
        <v>0</v>
      </c>
      <c r="J427" s="7" t="str">
        <f t="shared" si="13"/>
        <v>Queda en 0</v>
      </c>
    </row>
    <row r="428" spans="1:10" x14ac:dyDescent="0.3">
      <c r="A428" s="7">
        <v>72</v>
      </c>
      <c r="B428" s="7" t="s">
        <v>347</v>
      </c>
      <c r="C428" s="7">
        <v>800952</v>
      </c>
      <c r="D428" s="7" t="s">
        <v>351</v>
      </c>
      <c r="E428" s="7" t="s">
        <v>350</v>
      </c>
      <c r="F428" s="8">
        <v>0.33</v>
      </c>
      <c r="G428" s="8">
        <v>0</v>
      </c>
      <c r="H428" s="7" t="s">
        <v>26</v>
      </c>
      <c r="I428" s="8">
        <f t="shared" si="12"/>
        <v>0</v>
      </c>
      <c r="J428" s="7" t="str">
        <f t="shared" si="13"/>
        <v>Queda en 0</v>
      </c>
    </row>
    <row r="429" spans="1:10" x14ac:dyDescent="0.3">
      <c r="A429" s="7">
        <v>72</v>
      </c>
      <c r="B429" s="7" t="s">
        <v>347</v>
      </c>
      <c r="C429" s="7">
        <v>924104</v>
      </c>
      <c r="D429" s="7" t="s">
        <v>277</v>
      </c>
      <c r="E429" s="7" t="s">
        <v>215</v>
      </c>
      <c r="F429" s="8">
        <v>10</v>
      </c>
      <c r="G429" s="8">
        <v>0</v>
      </c>
      <c r="H429" s="7" t="s">
        <v>26</v>
      </c>
      <c r="I429" s="8">
        <f t="shared" si="12"/>
        <v>0</v>
      </c>
      <c r="J429" s="7" t="str">
        <f t="shared" si="13"/>
        <v>Queda en 0</v>
      </c>
    </row>
    <row r="430" spans="1:10" x14ac:dyDescent="0.3">
      <c r="A430" s="7">
        <v>72</v>
      </c>
      <c r="B430" s="7" t="s">
        <v>347</v>
      </c>
      <c r="C430" s="7">
        <v>924109</v>
      </c>
      <c r="D430" s="7" t="s">
        <v>352</v>
      </c>
      <c r="E430" s="7" t="s">
        <v>215</v>
      </c>
      <c r="F430" s="8">
        <v>0.33</v>
      </c>
      <c r="G430" s="8">
        <v>5.24</v>
      </c>
      <c r="H430" s="7" t="s">
        <v>26</v>
      </c>
      <c r="I430" s="8">
        <f t="shared" si="12"/>
        <v>4.91</v>
      </c>
      <c r="J430" s="7" t="str">
        <f t="shared" si="13"/>
        <v>OK</v>
      </c>
    </row>
    <row r="431" spans="1:10" x14ac:dyDescent="0.3">
      <c r="A431" s="7">
        <v>72</v>
      </c>
      <c r="B431" s="7" t="s">
        <v>347</v>
      </c>
      <c r="C431" s="7">
        <v>925064</v>
      </c>
      <c r="D431" s="7" t="s">
        <v>263</v>
      </c>
      <c r="E431" s="7" t="s">
        <v>220</v>
      </c>
      <c r="F431" s="8">
        <v>8.33</v>
      </c>
      <c r="G431" s="8">
        <v>469.32</v>
      </c>
      <c r="H431" s="7" t="s">
        <v>26</v>
      </c>
      <c r="I431" s="8">
        <f t="shared" si="12"/>
        <v>460.99</v>
      </c>
      <c r="J431" s="7" t="str">
        <f t="shared" si="13"/>
        <v>OK</v>
      </c>
    </row>
    <row r="432" spans="1:10" x14ac:dyDescent="0.3">
      <c r="A432" s="7">
        <v>72</v>
      </c>
      <c r="B432" s="7" t="s">
        <v>347</v>
      </c>
      <c r="C432" s="7">
        <v>925078</v>
      </c>
      <c r="D432" s="7" t="s">
        <v>221</v>
      </c>
      <c r="E432" s="7" t="s">
        <v>220</v>
      </c>
      <c r="F432" s="8">
        <v>4</v>
      </c>
      <c r="G432" s="8">
        <v>63.38</v>
      </c>
      <c r="H432" s="7" t="s">
        <v>26</v>
      </c>
      <c r="I432" s="8">
        <f t="shared" si="12"/>
        <v>59.38</v>
      </c>
      <c r="J432" s="7" t="str">
        <f t="shared" si="13"/>
        <v>OK</v>
      </c>
    </row>
    <row r="433" spans="1:10" x14ac:dyDescent="0.3">
      <c r="A433" s="7">
        <v>72</v>
      </c>
      <c r="B433" s="7" t="s">
        <v>347</v>
      </c>
      <c r="C433" s="7">
        <v>925079</v>
      </c>
      <c r="D433" s="7" t="s">
        <v>279</v>
      </c>
      <c r="E433" s="7" t="s">
        <v>220</v>
      </c>
      <c r="F433" s="8">
        <v>12</v>
      </c>
      <c r="G433" s="8">
        <v>135.58000000000001</v>
      </c>
      <c r="H433" s="7" t="s">
        <v>26</v>
      </c>
      <c r="I433" s="8">
        <f t="shared" si="12"/>
        <v>123.58000000000001</v>
      </c>
      <c r="J433" s="7" t="str">
        <f t="shared" si="13"/>
        <v>OK</v>
      </c>
    </row>
    <row r="434" spans="1:10" x14ac:dyDescent="0.3">
      <c r="A434" s="7">
        <v>72</v>
      </c>
      <c r="B434" s="7" t="s">
        <v>347</v>
      </c>
      <c r="C434" s="7">
        <v>925105</v>
      </c>
      <c r="D434" s="7" t="s">
        <v>290</v>
      </c>
      <c r="E434" s="7" t="s">
        <v>220</v>
      </c>
      <c r="F434" s="8">
        <v>0.67</v>
      </c>
      <c r="G434" s="8">
        <v>0</v>
      </c>
      <c r="H434" s="7" t="s">
        <v>26</v>
      </c>
      <c r="I434" s="8">
        <f t="shared" si="12"/>
        <v>0</v>
      </c>
      <c r="J434" s="7" t="str">
        <f t="shared" si="13"/>
        <v>Queda en 0</v>
      </c>
    </row>
    <row r="435" spans="1:10" x14ac:dyDescent="0.3">
      <c r="A435" s="7">
        <v>72</v>
      </c>
      <c r="B435" s="7" t="s">
        <v>347</v>
      </c>
      <c r="C435" s="7">
        <v>930012</v>
      </c>
      <c r="D435" s="7" t="s">
        <v>264</v>
      </c>
      <c r="E435" s="7" t="s">
        <v>243</v>
      </c>
      <c r="F435" s="8">
        <v>2.67</v>
      </c>
      <c r="G435" s="8">
        <v>118.17</v>
      </c>
      <c r="H435" s="7" t="s">
        <v>26</v>
      </c>
      <c r="I435" s="8">
        <f t="shared" si="12"/>
        <v>115.5</v>
      </c>
      <c r="J435" s="7" t="str">
        <f t="shared" si="13"/>
        <v>OK</v>
      </c>
    </row>
    <row r="436" spans="1:10" x14ac:dyDescent="0.3">
      <c r="A436" s="7">
        <v>72</v>
      </c>
      <c r="B436" s="7" t="s">
        <v>347</v>
      </c>
      <c r="C436" s="7">
        <v>930020</v>
      </c>
      <c r="D436" s="7" t="s">
        <v>299</v>
      </c>
      <c r="E436" s="7" t="s">
        <v>243</v>
      </c>
      <c r="F436" s="8">
        <v>0.33</v>
      </c>
      <c r="G436" s="8">
        <v>20.149999999999999</v>
      </c>
      <c r="H436" s="7" t="s">
        <v>26</v>
      </c>
      <c r="I436" s="8">
        <f t="shared" si="12"/>
        <v>19.82</v>
      </c>
      <c r="J436" s="7" t="str">
        <f t="shared" si="13"/>
        <v>OK</v>
      </c>
    </row>
    <row r="437" spans="1:10" x14ac:dyDescent="0.3">
      <c r="A437" s="7">
        <v>72</v>
      </c>
      <c r="B437" s="7" t="s">
        <v>347</v>
      </c>
      <c r="C437" s="7">
        <v>930021</v>
      </c>
      <c r="D437" s="7" t="s">
        <v>300</v>
      </c>
      <c r="E437" s="7" t="s">
        <v>243</v>
      </c>
      <c r="F437" s="8">
        <v>2</v>
      </c>
      <c r="G437" s="8">
        <v>44.88</v>
      </c>
      <c r="H437" s="7" t="s">
        <v>26</v>
      </c>
      <c r="I437" s="8">
        <f t="shared" si="12"/>
        <v>42.88</v>
      </c>
      <c r="J437" s="7" t="str">
        <f t="shared" si="13"/>
        <v>OK</v>
      </c>
    </row>
    <row r="438" spans="1:10" x14ac:dyDescent="0.3">
      <c r="A438" s="7">
        <v>72</v>
      </c>
      <c r="B438" s="7" t="s">
        <v>347</v>
      </c>
      <c r="C438" s="7">
        <v>930022</v>
      </c>
      <c r="D438" s="7" t="s">
        <v>265</v>
      </c>
      <c r="E438" s="7" t="s">
        <v>243</v>
      </c>
      <c r="F438" s="8">
        <v>2.67</v>
      </c>
      <c r="G438" s="8">
        <v>54.04</v>
      </c>
      <c r="H438" s="7" t="s">
        <v>26</v>
      </c>
      <c r="I438" s="8">
        <f t="shared" si="12"/>
        <v>51.37</v>
      </c>
      <c r="J438" s="7" t="str">
        <f t="shared" si="13"/>
        <v>OK</v>
      </c>
    </row>
    <row r="439" spans="1:10" x14ac:dyDescent="0.3">
      <c r="A439" s="7">
        <v>72</v>
      </c>
      <c r="B439" s="7" t="s">
        <v>347</v>
      </c>
      <c r="C439" s="7">
        <v>930025</v>
      </c>
      <c r="D439" s="7" t="s">
        <v>244</v>
      </c>
      <c r="E439" s="7" t="s">
        <v>243</v>
      </c>
      <c r="F439" s="8">
        <v>6.67</v>
      </c>
      <c r="G439" s="8">
        <v>197.85</v>
      </c>
      <c r="H439" s="7" t="s">
        <v>26</v>
      </c>
      <c r="I439" s="8">
        <f t="shared" si="12"/>
        <v>191.18</v>
      </c>
      <c r="J439" s="7" t="str">
        <f t="shared" si="13"/>
        <v>OK</v>
      </c>
    </row>
    <row r="440" spans="1:10" x14ac:dyDescent="0.3">
      <c r="A440" s="7">
        <v>72</v>
      </c>
      <c r="B440" s="7" t="s">
        <v>347</v>
      </c>
      <c r="C440" s="7">
        <v>930026</v>
      </c>
      <c r="D440" s="7" t="s">
        <v>301</v>
      </c>
      <c r="E440" s="7" t="s">
        <v>243</v>
      </c>
      <c r="F440" s="8">
        <v>1.67</v>
      </c>
      <c r="G440" s="8">
        <v>14.65</v>
      </c>
      <c r="H440" s="7" t="s">
        <v>26</v>
      </c>
      <c r="I440" s="8">
        <f t="shared" si="12"/>
        <v>12.98</v>
      </c>
      <c r="J440" s="7" t="str">
        <f t="shared" si="13"/>
        <v>OK</v>
      </c>
    </row>
    <row r="441" spans="1:10" x14ac:dyDescent="0.3">
      <c r="A441" s="7">
        <v>72</v>
      </c>
      <c r="B441" s="7" t="s">
        <v>347</v>
      </c>
      <c r="C441" s="7">
        <v>930028</v>
      </c>
      <c r="D441" s="7" t="s">
        <v>302</v>
      </c>
      <c r="E441" s="7" t="s">
        <v>243</v>
      </c>
      <c r="F441" s="8">
        <v>0.33</v>
      </c>
      <c r="G441" s="8">
        <v>4.58</v>
      </c>
      <c r="H441" s="7" t="s">
        <v>26</v>
      </c>
      <c r="I441" s="8">
        <f t="shared" si="12"/>
        <v>4.25</v>
      </c>
      <c r="J441" s="7" t="str">
        <f t="shared" si="13"/>
        <v>OK</v>
      </c>
    </row>
    <row r="442" spans="1:10" x14ac:dyDescent="0.3">
      <c r="A442" s="7">
        <v>72</v>
      </c>
      <c r="B442" s="7" t="s">
        <v>347</v>
      </c>
      <c r="C442" s="7">
        <v>930033</v>
      </c>
      <c r="D442" s="7" t="s">
        <v>353</v>
      </c>
      <c r="E442" s="7" t="s">
        <v>243</v>
      </c>
      <c r="F442" s="8">
        <v>0.33</v>
      </c>
      <c r="G442" s="8">
        <v>16.489999999999998</v>
      </c>
      <c r="H442" s="7" t="s">
        <v>26</v>
      </c>
      <c r="I442" s="8">
        <f t="shared" si="12"/>
        <v>16.16</v>
      </c>
      <c r="J442" s="7" t="str">
        <f t="shared" si="13"/>
        <v>OK</v>
      </c>
    </row>
    <row r="443" spans="1:10" x14ac:dyDescent="0.3">
      <c r="A443" s="7">
        <v>72</v>
      </c>
      <c r="B443" s="7" t="s">
        <v>347</v>
      </c>
      <c r="C443" s="7">
        <v>930034</v>
      </c>
      <c r="D443" s="7" t="s">
        <v>266</v>
      </c>
      <c r="E443" s="7" t="s">
        <v>243</v>
      </c>
      <c r="F443" s="8">
        <v>0.33</v>
      </c>
      <c r="G443" s="8">
        <v>9.16</v>
      </c>
      <c r="H443" s="7" t="s">
        <v>26</v>
      </c>
      <c r="I443" s="8">
        <f t="shared" si="12"/>
        <v>8.83</v>
      </c>
      <c r="J443" s="7" t="str">
        <f t="shared" si="13"/>
        <v>OK</v>
      </c>
    </row>
    <row r="444" spans="1:10" x14ac:dyDescent="0.3">
      <c r="A444" s="7">
        <v>72</v>
      </c>
      <c r="B444" s="7" t="s">
        <v>347</v>
      </c>
      <c r="C444" s="7">
        <v>930104</v>
      </c>
      <c r="D444" s="7" t="s">
        <v>328</v>
      </c>
      <c r="E444" s="7" t="s">
        <v>243</v>
      </c>
      <c r="F444" s="8">
        <v>0.33</v>
      </c>
      <c r="G444" s="8">
        <v>4.58</v>
      </c>
      <c r="H444" s="7" t="s">
        <v>26</v>
      </c>
      <c r="I444" s="8">
        <f t="shared" si="12"/>
        <v>4.25</v>
      </c>
      <c r="J444" s="7" t="str">
        <f t="shared" si="13"/>
        <v>OK</v>
      </c>
    </row>
    <row r="445" spans="1:10" x14ac:dyDescent="0.3">
      <c r="A445" s="7">
        <v>72</v>
      </c>
      <c r="B445" s="7" t="s">
        <v>347</v>
      </c>
      <c r="C445" s="7">
        <v>930112</v>
      </c>
      <c r="D445" s="7" t="s">
        <v>310</v>
      </c>
      <c r="E445" s="7" t="s">
        <v>243</v>
      </c>
      <c r="F445" s="8">
        <v>1</v>
      </c>
      <c r="G445" s="8">
        <v>10.08</v>
      </c>
      <c r="H445" s="7" t="s">
        <v>26</v>
      </c>
      <c r="I445" s="8">
        <f t="shared" si="12"/>
        <v>9.08</v>
      </c>
      <c r="J445" s="7" t="str">
        <f t="shared" si="13"/>
        <v>OK</v>
      </c>
    </row>
    <row r="446" spans="1:10" x14ac:dyDescent="0.3">
      <c r="A446" s="7">
        <v>72</v>
      </c>
      <c r="B446" s="7" t="s">
        <v>347</v>
      </c>
      <c r="C446" s="7">
        <v>930113</v>
      </c>
      <c r="D446" s="7" t="s">
        <v>303</v>
      </c>
      <c r="E446" s="7" t="s">
        <v>243</v>
      </c>
      <c r="F446" s="8">
        <v>0.33</v>
      </c>
      <c r="G446" s="8">
        <v>15.57</v>
      </c>
      <c r="H446" s="7" t="s">
        <v>26</v>
      </c>
      <c r="I446" s="8">
        <f t="shared" si="12"/>
        <v>15.24</v>
      </c>
      <c r="J446" s="7" t="str">
        <f t="shared" si="13"/>
        <v>OK</v>
      </c>
    </row>
    <row r="447" spans="1:10" x14ac:dyDescent="0.3">
      <c r="A447" s="7">
        <v>72</v>
      </c>
      <c r="B447" s="7" t="s">
        <v>347</v>
      </c>
      <c r="C447" s="7">
        <v>930121</v>
      </c>
      <c r="D447" s="7" t="s">
        <v>304</v>
      </c>
      <c r="E447" s="7" t="s">
        <v>243</v>
      </c>
      <c r="F447" s="8">
        <v>2.67</v>
      </c>
      <c r="G447" s="8">
        <v>18.32</v>
      </c>
      <c r="H447" s="7" t="s">
        <v>26</v>
      </c>
      <c r="I447" s="8">
        <f t="shared" si="12"/>
        <v>15.65</v>
      </c>
      <c r="J447" s="7" t="str">
        <f t="shared" si="13"/>
        <v>OK</v>
      </c>
    </row>
    <row r="448" spans="1:10" x14ac:dyDescent="0.3">
      <c r="A448" s="7">
        <v>72</v>
      </c>
      <c r="B448" s="7" t="s">
        <v>347</v>
      </c>
      <c r="C448" s="7">
        <v>930137</v>
      </c>
      <c r="D448" s="7" t="s">
        <v>311</v>
      </c>
      <c r="E448" s="7" t="s">
        <v>243</v>
      </c>
      <c r="F448" s="8">
        <v>2.67</v>
      </c>
      <c r="G448" s="8">
        <v>122.74</v>
      </c>
      <c r="H448" s="7" t="s">
        <v>26</v>
      </c>
      <c r="I448" s="8">
        <f t="shared" si="12"/>
        <v>120.07</v>
      </c>
      <c r="J448" s="7" t="str">
        <f t="shared" si="13"/>
        <v>OK</v>
      </c>
    </row>
    <row r="449" spans="1:10" x14ac:dyDescent="0.3">
      <c r="A449" s="7">
        <v>72</v>
      </c>
      <c r="B449" s="7" t="s">
        <v>347</v>
      </c>
      <c r="C449" s="7">
        <v>930138</v>
      </c>
      <c r="D449" s="7" t="s">
        <v>312</v>
      </c>
      <c r="E449" s="7" t="s">
        <v>243</v>
      </c>
      <c r="F449" s="8">
        <v>1.33</v>
      </c>
      <c r="G449" s="8">
        <v>165.79</v>
      </c>
      <c r="H449" s="7" t="s">
        <v>26</v>
      </c>
      <c r="I449" s="8">
        <f t="shared" si="12"/>
        <v>164.45999999999998</v>
      </c>
      <c r="J449" s="7" t="str">
        <f t="shared" si="13"/>
        <v>OK</v>
      </c>
    </row>
    <row r="450" spans="1:10" x14ac:dyDescent="0.3">
      <c r="A450" s="7">
        <v>72</v>
      </c>
      <c r="B450" s="7" t="s">
        <v>347</v>
      </c>
      <c r="C450" s="7">
        <v>930139</v>
      </c>
      <c r="D450" s="7" t="s">
        <v>313</v>
      </c>
      <c r="E450" s="7" t="s">
        <v>243</v>
      </c>
      <c r="F450" s="8">
        <v>1.33</v>
      </c>
      <c r="G450" s="8">
        <v>130.07</v>
      </c>
      <c r="H450" s="7" t="s">
        <v>26</v>
      </c>
      <c r="I450" s="8">
        <f t="shared" ref="I450:I513" si="14">MAX(0,G450-F450)</f>
        <v>128.73999999999998</v>
      </c>
      <c r="J450" s="7" t="str">
        <f t="shared" ref="J450:J513" si="15">IF(H450="No","Sin fila previa",IF(G450&lt;F450,"Queda en 0","OK"))</f>
        <v>OK</v>
      </c>
    </row>
    <row r="451" spans="1:10" x14ac:dyDescent="0.3">
      <c r="A451" s="7">
        <v>72</v>
      </c>
      <c r="B451" s="7" t="s">
        <v>347</v>
      </c>
      <c r="C451" s="7">
        <v>930140</v>
      </c>
      <c r="D451" s="7" t="s">
        <v>314</v>
      </c>
      <c r="E451" s="7" t="s">
        <v>243</v>
      </c>
      <c r="F451" s="8">
        <v>2.67</v>
      </c>
      <c r="G451" s="8">
        <v>169.46</v>
      </c>
      <c r="H451" s="7" t="s">
        <v>26</v>
      </c>
      <c r="I451" s="8">
        <f t="shared" si="14"/>
        <v>166.79000000000002</v>
      </c>
      <c r="J451" s="7" t="str">
        <f t="shared" si="15"/>
        <v>OK</v>
      </c>
    </row>
    <row r="452" spans="1:10" x14ac:dyDescent="0.3">
      <c r="A452" s="7">
        <v>72</v>
      </c>
      <c r="B452" s="7" t="s">
        <v>347</v>
      </c>
      <c r="C452" s="7">
        <v>930144</v>
      </c>
      <c r="D452" s="7" t="s">
        <v>315</v>
      </c>
      <c r="E452" s="7" t="s">
        <v>243</v>
      </c>
      <c r="F452" s="8">
        <v>1.33</v>
      </c>
      <c r="G452" s="8">
        <v>97.09</v>
      </c>
      <c r="H452" s="7" t="s">
        <v>26</v>
      </c>
      <c r="I452" s="8">
        <f t="shared" si="14"/>
        <v>95.76</v>
      </c>
      <c r="J452" s="7" t="str">
        <f t="shared" si="15"/>
        <v>OK</v>
      </c>
    </row>
    <row r="453" spans="1:10" x14ac:dyDescent="0.3">
      <c r="A453" s="7">
        <v>72</v>
      </c>
      <c r="B453" s="7" t="s">
        <v>347</v>
      </c>
      <c r="C453" s="7">
        <v>930145</v>
      </c>
      <c r="D453" s="7" t="s">
        <v>316</v>
      </c>
      <c r="E453" s="7" t="s">
        <v>243</v>
      </c>
      <c r="F453" s="8">
        <v>2.67</v>
      </c>
      <c r="G453" s="8">
        <v>171.29</v>
      </c>
      <c r="H453" s="7" t="s">
        <v>26</v>
      </c>
      <c r="I453" s="8">
        <f t="shared" si="14"/>
        <v>168.62</v>
      </c>
      <c r="J453" s="7" t="str">
        <f t="shared" si="15"/>
        <v>OK</v>
      </c>
    </row>
    <row r="454" spans="1:10" x14ac:dyDescent="0.3">
      <c r="A454" s="7">
        <v>72</v>
      </c>
      <c r="B454" s="7" t="s">
        <v>347</v>
      </c>
      <c r="C454" s="7">
        <v>930153</v>
      </c>
      <c r="D454" s="7" t="s">
        <v>282</v>
      </c>
      <c r="E454" s="7" t="s">
        <v>243</v>
      </c>
      <c r="F454" s="8">
        <v>1.67</v>
      </c>
      <c r="G454" s="8">
        <v>55.88</v>
      </c>
      <c r="H454" s="7" t="s">
        <v>26</v>
      </c>
      <c r="I454" s="8">
        <f t="shared" si="14"/>
        <v>54.21</v>
      </c>
      <c r="J454" s="7" t="str">
        <f t="shared" si="15"/>
        <v>OK</v>
      </c>
    </row>
    <row r="455" spans="1:10" x14ac:dyDescent="0.3">
      <c r="A455" s="7">
        <v>72</v>
      </c>
      <c r="B455" s="7" t="s">
        <v>347</v>
      </c>
      <c r="C455" s="7">
        <v>930154</v>
      </c>
      <c r="D455" s="7" t="s">
        <v>245</v>
      </c>
      <c r="E455" s="7" t="s">
        <v>243</v>
      </c>
      <c r="F455" s="8">
        <v>1.67</v>
      </c>
      <c r="G455" s="8">
        <v>35.72</v>
      </c>
      <c r="H455" s="7" t="s">
        <v>26</v>
      </c>
      <c r="I455" s="8">
        <f t="shared" si="14"/>
        <v>34.049999999999997</v>
      </c>
      <c r="J455" s="7" t="str">
        <f t="shared" si="15"/>
        <v>OK</v>
      </c>
    </row>
    <row r="456" spans="1:10" x14ac:dyDescent="0.3">
      <c r="A456" s="7">
        <v>72</v>
      </c>
      <c r="B456" s="7" t="s">
        <v>347</v>
      </c>
      <c r="C456" s="7">
        <v>930177</v>
      </c>
      <c r="D456" s="7" t="s">
        <v>317</v>
      </c>
      <c r="E456" s="7" t="s">
        <v>243</v>
      </c>
      <c r="F456" s="8">
        <v>1.67</v>
      </c>
      <c r="G456" s="8">
        <v>219.83</v>
      </c>
      <c r="H456" s="7" t="s">
        <v>26</v>
      </c>
      <c r="I456" s="8">
        <f t="shared" si="14"/>
        <v>218.16000000000003</v>
      </c>
      <c r="J456" s="7" t="str">
        <f t="shared" si="15"/>
        <v>OK</v>
      </c>
    </row>
    <row r="457" spans="1:10" x14ac:dyDescent="0.3">
      <c r="A457" s="7">
        <v>72</v>
      </c>
      <c r="B457" s="7" t="s">
        <v>347</v>
      </c>
      <c r="C457" s="7">
        <v>930178</v>
      </c>
      <c r="D457" s="7" t="s">
        <v>267</v>
      </c>
      <c r="E457" s="7" t="s">
        <v>243</v>
      </c>
      <c r="F457" s="8">
        <v>2.67</v>
      </c>
      <c r="G457" s="8">
        <v>70.53</v>
      </c>
      <c r="H457" s="7" t="s">
        <v>26</v>
      </c>
      <c r="I457" s="8">
        <f t="shared" si="14"/>
        <v>67.86</v>
      </c>
      <c r="J457" s="7" t="str">
        <f t="shared" si="15"/>
        <v>OK</v>
      </c>
    </row>
    <row r="458" spans="1:10" x14ac:dyDescent="0.3">
      <c r="A458" s="7">
        <v>72</v>
      </c>
      <c r="B458" s="7" t="s">
        <v>347</v>
      </c>
      <c r="C458" s="7">
        <v>930188</v>
      </c>
      <c r="D458" s="7" t="s">
        <v>354</v>
      </c>
      <c r="E458" s="7" t="s">
        <v>243</v>
      </c>
      <c r="F458" s="8">
        <v>0.33</v>
      </c>
      <c r="G458" s="8">
        <v>25.65</v>
      </c>
      <c r="H458" s="7" t="s">
        <v>26</v>
      </c>
      <c r="I458" s="8">
        <f t="shared" si="14"/>
        <v>25.32</v>
      </c>
      <c r="J458" s="7" t="str">
        <f t="shared" si="15"/>
        <v>OK</v>
      </c>
    </row>
    <row r="459" spans="1:10" x14ac:dyDescent="0.3">
      <c r="A459" s="7">
        <v>72</v>
      </c>
      <c r="B459" s="7" t="s">
        <v>347</v>
      </c>
      <c r="C459" s="7">
        <v>982003</v>
      </c>
      <c r="D459" s="7" t="s">
        <v>269</v>
      </c>
      <c r="E459" s="7" t="s">
        <v>270</v>
      </c>
      <c r="F459" s="8">
        <v>8.33</v>
      </c>
      <c r="G459" s="8">
        <v>34.630000000000003</v>
      </c>
      <c r="H459" s="7" t="s">
        <v>26</v>
      </c>
      <c r="I459" s="8">
        <f t="shared" si="14"/>
        <v>26.300000000000004</v>
      </c>
      <c r="J459" s="7" t="str">
        <f t="shared" si="15"/>
        <v>OK</v>
      </c>
    </row>
    <row r="460" spans="1:10" x14ac:dyDescent="0.3">
      <c r="A460" s="7">
        <v>72</v>
      </c>
      <c r="B460" s="7" t="s">
        <v>347</v>
      </c>
      <c r="C460" s="7">
        <v>982005</v>
      </c>
      <c r="D460" s="7" t="s">
        <v>285</v>
      </c>
      <c r="E460" s="7" t="s">
        <v>270</v>
      </c>
      <c r="F460" s="8">
        <v>3</v>
      </c>
      <c r="G460" s="8">
        <v>608.36</v>
      </c>
      <c r="H460" s="7" t="s">
        <v>26</v>
      </c>
      <c r="I460" s="8">
        <f t="shared" si="14"/>
        <v>605.36</v>
      </c>
      <c r="J460" s="7" t="str">
        <f t="shared" si="15"/>
        <v>OK</v>
      </c>
    </row>
    <row r="461" spans="1:10" x14ac:dyDescent="0.3">
      <c r="A461" s="7">
        <v>83</v>
      </c>
      <c r="B461" s="7" t="s">
        <v>355</v>
      </c>
      <c r="C461" s="7">
        <v>101005</v>
      </c>
      <c r="D461" s="7" t="s">
        <v>232</v>
      </c>
      <c r="E461" s="7" t="s">
        <v>215</v>
      </c>
      <c r="F461" s="8">
        <v>3.33</v>
      </c>
      <c r="G461" s="8">
        <v>0</v>
      </c>
      <c r="H461" s="7" t="s">
        <v>75</v>
      </c>
      <c r="I461" s="8">
        <f t="shared" si="14"/>
        <v>0</v>
      </c>
      <c r="J461" s="7" t="str">
        <f t="shared" si="15"/>
        <v>Sin fila previa</v>
      </c>
    </row>
    <row r="462" spans="1:10" x14ac:dyDescent="0.3">
      <c r="A462" s="7">
        <v>83</v>
      </c>
      <c r="B462" s="7" t="s">
        <v>355</v>
      </c>
      <c r="C462" s="7">
        <v>101027</v>
      </c>
      <c r="D462" s="7" t="s">
        <v>234</v>
      </c>
      <c r="E462" s="7" t="s">
        <v>215</v>
      </c>
      <c r="F462" s="8">
        <v>3.33</v>
      </c>
      <c r="G462" s="8">
        <v>0</v>
      </c>
      <c r="H462" s="7" t="s">
        <v>75</v>
      </c>
      <c r="I462" s="8">
        <f t="shared" si="14"/>
        <v>0</v>
      </c>
      <c r="J462" s="7" t="str">
        <f t="shared" si="15"/>
        <v>Sin fila previa</v>
      </c>
    </row>
    <row r="463" spans="1:10" x14ac:dyDescent="0.3">
      <c r="A463" s="7">
        <v>83</v>
      </c>
      <c r="B463" s="7" t="s">
        <v>355</v>
      </c>
      <c r="C463" s="7">
        <v>101028</v>
      </c>
      <c r="D463" s="7" t="s">
        <v>214</v>
      </c>
      <c r="E463" s="7" t="s">
        <v>215</v>
      </c>
      <c r="F463" s="8">
        <v>3.33</v>
      </c>
      <c r="G463" s="8">
        <v>0</v>
      </c>
      <c r="H463" s="7" t="s">
        <v>75</v>
      </c>
      <c r="I463" s="8">
        <f t="shared" si="14"/>
        <v>0</v>
      </c>
      <c r="J463" s="7" t="str">
        <f t="shared" si="15"/>
        <v>Sin fila previa</v>
      </c>
    </row>
    <row r="464" spans="1:10" x14ac:dyDescent="0.3">
      <c r="A464" s="7">
        <v>84</v>
      </c>
      <c r="B464" s="7" t="s">
        <v>356</v>
      </c>
      <c r="C464" s="7">
        <v>101005</v>
      </c>
      <c r="D464" s="7" t="s">
        <v>232</v>
      </c>
      <c r="E464" s="7" t="s">
        <v>215</v>
      </c>
      <c r="F464" s="8">
        <v>88</v>
      </c>
      <c r="G464" s="8">
        <v>98.29</v>
      </c>
      <c r="H464" s="7" t="s">
        <v>26</v>
      </c>
      <c r="I464" s="8">
        <f t="shared" si="14"/>
        <v>10.290000000000006</v>
      </c>
      <c r="J464" s="7" t="str">
        <f t="shared" si="15"/>
        <v>OK</v>
      </c>
    </row>
    <row r="465" spans="1:10" x14ac:dyDescent="0.3">
      <c r="A465" s="7">
        <v>84</v>
      </c>
      <c r="B465" s="7" t="s">
        <v>356</v>
      </c>
      <c r="C465" s="7">
        <v>101006</v>
      </c>
      <c r="D465" s="7" t="s">
        <v>357</v>
      </c>
      <c r="E465" s="7" t="s">
        <v>215</v>
      </c>
      <c r="F465" s="8">
        <v>6</v>
      </c>
      <c r="G465" s="8">
        <v>7.02</v>
      </c>
      <c r="H465" s="7" t="s">
        <v>26</v>
      </c>
      <c r="I465" s="8">
        <f t="shared" si="14"/>
        <v>1.0199999999999996</v>
      </c>
      <c r="J465" s="7" t="str">
        <f t="shared" si="15"/>
        <v>OK</v>
      </c>
    </row>
    <row r="466" spans="1:10" x14ac:dyDescent="0.3">
      <c r="A466" s="7">
        <v>84</v>
      </c>
      <c r="B466" s="7" t="s">
        <v>356</v>
      </c>
      <c r="C466" s="7">
        <v>101018</v>
      </c>
      <c r="D466" s="7" t="s">
        <v>321</v>
      </c>
      <c r="E466" s="7" t="s">
        <v>215</v>
      </c>
      <c r="F466" s="8">
        <v>32</v>
      </c>
      <c r="G466" s="8">
        <v>676.88</v>
      </c>
      <c r="H466" s="7" t="s">
        <v>26</v>
      </c>
      <c r="I466" s="8">
        <f t="shared" si="14"/>
        <v>644.88</v>
      </c>
      <c r="J466" s="7" t="str">
        <f t="shared" si="15"/>
        <v>OK</v>
      </c>
    </row>
    <row r="467" spans="1:10" x14ac:dyDescent="0.3">
      <c r="A467" s="7">
        <v>84</v>
      </c>
      <c r="B467" s="7" t="s">
        <v>356</v>
      </c>
      <c r="C467" s="7">
        <v>101026</v>
      </c>
      <c r="D467" s="7" t="s">
        <v>233</v>
      </c>
      <c r="E467" s="7" t="s">
        <v>215</v>
      </c>
      <c r="F467" s="8">
        <v>96.33</v>
      </c>
      <c r="G467" s="8">
        <v>206.94</v>
      </c>
      <c r="H467" s="7" t="s">
        <v>26</v>
      </c>
      <c r="I467" s="8">
        <f t="shared" si="14"/>
        <v>110.61</v>
      </c>
      <c r="J467" s="7" t="str">
        <f t="shared" si="15"/>
        <v>OK</v>
      </c>
    </row>
    <row r="468" spans="1:10" x14ac:dyDescent="0.3">
      <c r="A468" s="7">
        <v>84</v>
      </c>
      <c r="B468" s="7" t="s">
        <v>356</v>
      </c>
      <c r="C468" s="7">
        <v>101027</v>
      </c>
      <c r="D468" s="7" t="s">
        <v>234</v>
      </c>
      <c r="E468" s="7" t="s">
        <v>215</v>
      </c>
      <c r="F468" s="8">
        <v>72</v>
      </c>
      <c r="G468" s="8">
        <v>129.88</v>
      </c>
      <c r="H468" s="7" t="s">
        <v>26</v>
      </c>
      <c r="I468" s="8">
        <f t="shared" si="14"/>
        <v>57.879999999999995</v>
      </c>
      <c r="J468" s="7" t="str">
        <f t="shared" si="15"/>
        <v>OK</v>
      </c>
    </row>
    <row r="469" spans="1:10" x14ac:dyDescent="0.3">
      <c r="A469" s="7">
        <v>84</v>
      </c>
      <c r="B469" s="7" t="s">
        <v>356</v>
      </c>
      <c r="C469" s="7">
        <v>101028</v>
      </c>
      <c r="D469" s="7" t="s">
        <v>214</v>
      </c>
      <c r="E469" s="7" t="s">
        <v>215</v>
      </c>
      <c r="F469" s="8">
        <v>102</v>
      </c>
      <c r="G469" s="8">
        <v>235.16</v>
      </c>
      <c r="H469" s="7" t="s">
        <v>26</v>
      </c>
      <c r="I469" s="8">
        <f t="shared" si="14"/>
        <v>133.16</v>
      </c>
      <c r="J469" s="7" t="str">
        <f t="shared" si="15"/>
        <v>OK</v>
      </c>
    </row>
    <row r="470" spans="1:10" x14ac:dyDescent="0.3">
      <c r="A470" s="7">
        <v>84</v>
      </c>
      <c r="B470" s="7" t="s">
        <v>356</v>
      </c>
      <c r="C470" s="7">
        <v>101034</v>
      </c>
      <c r="D470" s="7" t="s">
        <v>272</v>
      </c>
      <c r="E470" s="7" t="s">
        <v>215</v>
      </c>
      <c r="F470" s="8">
        <v>6</v>
      </c>
      <c r="G470" s="8">
        <v>89.06</v>
      </c>
      <c r="H470" s="7" t="s">
        <v>26</v>
      </c>
      <c r="I470" s="8">
        <f t="shared" si="14"/>
        <v>83.06</v>
      </c>
      <c r="J470" s="7" t="str">
        <f t="shared" si="15"/>
        <v>OK</v>
      </c>
    </row>
    <row r="471" spans="1:10" x14ac:dyDescent="0.3">
      <c r="A471" s="7">
        <v>84</v>
      </c>
      <c r="B471" s="7" t="s">
        <v>356</v>
      </c>
      <c r="C471" s="7">
        <v>101038</v>
      </c>
      <c r="D471" s="7" t="s">
        <v>235</v>
      </c>
      <c r="E471" s="7" t="s">
        <v>215</v>
      </c>
      <c r="F471" s="8">
        <v>85</v>
      </c>
      <c r="G471" s="8">
        <v>388.44</v>
      </c>
      <c r="H471" s="7" t="s">
        <v>26</v>
      </c>
      <c r="I471" s="8">
        <f t="shared" si="14"/>
        <v>303.44</v>
      </c>
      <c r="J471" s="7" t="str">
        <f t="shared" si="15"/>
        <v>OK</v>
      </c>
    </row>
    <row r="472" spans="1:10" x14ac:dyDescent="0.3">
      <c r="A472" s="7">
        <v>84</v>
      </c>
      <c r="B472" s="7" t="s">
        <v>356</v>
      </c>
      <c r="C472" s="7">
        <v>101072</v>
      </c>
      <c r="D472" s="7" t="s">
        <v>273</v>
      </c>
      <c r="E472" s="7" t="s">
        <v>215</v>
      </c>
      <c r="F472" s="8">
        <v>8</v>
      </c>
      <c r="G472" s="8">
        <v>443.45</v>
      </c>
      <c r="H472" s="7" t="s">
        <v>26</v>
      </c>
      <c r="I472" s="8">
        <f t="shared" si="14"/>
        <v>435.45</v>
      </c>
      <c r="J472" s="7" t="str">
        <f t="shared" si="15"/>
        <v>OK</v>
      </c>
    </row>
    <row r="473" spans="1:10" x14ac:dyDescent="0.3">
      <c r="A473" s="7">
        <v>84</v>
      </c>
      <c r="B473" s="7" t="s">
        <v>356</v>
      </c>
      <c r="C473" s="7">
        <v>101100</v>
      </c>
      <c r="D473" s="7" t="s">
        <v>274</v>
      </c>
      <c r="E473" s="7" t="s">
        <v>215</v>
      </c>
      <c r="F473" s="8">
        <v>0.67</v>
      </c>
      <c r="G473" s="8">
        <v>0</v>
      </c>
      <c r="H473" s="7" t="s">
        <v>26</v>
      </c>
      <c r="I473" s="8">
        <f t="shared" si="14"/>
        <v>0</v>
      </c>
      <c r="J473" s="7" t="str">
        <f t="shared" si="15"/>
        <v>Queda en 0</v>
      </c>
    </row>
    <row r="474" spans="1:10" x14ac:dyDescent="0.3">
      <c r="A474" s="7">
        <v>84</v>
      </c>
      <c r="B474" s="7" t="s">
        <v>356</v>
      </c>
      <c r="C474" s="7">
        <v>101111</v>
      </c>
      <c r="D474" s="7" t="s">
        <v>339</v>
      </c>
      <c r="E474" s="7" t="s">
        <v>215</v>
      </c>
      <c r="F474" s="8">
        <v>14</v>
      </c>
      <c r="G474" s="8">
        <v>23.31</v>
      </c>
      <c r="H474" s="7" t="s">
        <v>26</v>
      </c>
      <c r="I474" s="8">
        <f t="shared" si="14"/>
        <v>9.3099999999999987</v>
      </c>
      <c r="J474" s="7" t="str">
        <f t="shared" si="15"/>
        <v>OK</v>
      </c>
    </row>
    <row r="475" spans="1:10" x14ac:dyDescent="0.3">
      <c r="A475" s="7">
        <v>84</v>
      </c>
      <c r="B475" s="7" t="s">
        <v>356</v>
      </c>
      <c r="C475" s="7">
        <v>101130</v>
      </c>
      <c r="D475" s="7" t="s">
        <v>247</v>
      </c>
      <c r="E475" s="7" t="s">
        <v>215</v>
      </c>
      <c r="F475" s="8">
        <v>138.66999999999999</v>
      </c>
      <c r="G475" s="8">
        <v>0</v>
      </c>
      <c r="H475" s="7" t="s">
        <v>26</v>
      </c>
      <c r="I475" s="8">
        <f t="shared" si="14"/>
        <v>0</v>
      </c>
      <c r="J475" s="7" t="str">
        <f t="shared" si="15"/>
        <v>Queda en 0</v>
      </c>
    </row>
    <row r="476" spans="1:10" x14ac:dyDescent="0.3">
      <c r="A476" s="7">
        <v>84</v>
      </c>
      <c r="B476" s="7" t="s">
        <v>356</v>
      </c>
      <c r="C476" s="7">
        <v>101132</v>
      </c>
      <c r="D476" s="7" t="s">
        <v>340</v>
      </c>
      <c r="E476" s="7" t="s">
        <v>215</v>
      </c>
      <c r="F476" s="8">
        <v>14</v>
      </c>
      <c r="G476" s="8">
        <v>20.87</v>
      </c>
      <c r="H476" s="7" t="s">
        <v>26</v>
      </c>
      <c r="I476" s="8">
        <f t="shared" si="14"/>
        <v>6.870000000000001</v>
      </c>
      <c r="J476" s="7" t="str">
        <f t="shared" si="15"/>
        <v>OK</v>
      </c>
    </row>
    <row r="477" spans="1:10" x14ac:dyDescent="0.3">
      <c r="A477" s="7">
        <v>84</v>
      </c>
      <c r="B477" s="7" t="s">
        <v>356</v>
      </c>
      <c r="C477" s="7">
        <v>101145</v>
      </c>
      <c r="D477" s="7" t="s">
        <v>275</v>
      </c>
      <c r="E477" s="7" t="s">
        <v>215</v>
      </c>
      <c r="F477" s="8">
        <v>13.33</v>
      </c>
      <c r="G477" s="8">
        <v>0</v>
      </c>
      <c r="H477" s="7" t="s">
        <v>26</v>
      </c>
      <c r="I477" s="8">
        <f t="shared" si="14"/>
        <v>0</v>
      </c>
      <c r="J477" s="7" t="str">
        <f t="shared" si="15"/>
        <v>Queda en 0</v>
      </c>
    </row>
    <row r="478" spans="1:10" x14ac:dyDescent="0.3">
      <c r="A478" s="7">
        <v>84</v>
      </c>
      <c r="B478" s="7" t="s">
        <v>356</v>
      </c>
      <c r="C478" s="7">
        <v>103001</v>
      </c>
      <c r="D478" s="7" t="s">
        <v>248</v>
      </c>
      <c r="E478" s="7" t="s">
        <v>215</v>
      </c>
      <c r="F478" s="8">
        <v>221</v>
      </c>
      <c r="G478" s="8">
        <v>3353.32</v>
      </c>
      <c r="H478" s="7" t="s">
        <v>26</v>
      </c>
      <c r="I478" s="8">
        <f t="shared" si="14"/>
        <v>3132.32</v>
      </c>
      <c r="J478" s="7" t="str">
        <f t="shared" si="15"/>
        <v>OK</v>
      </c>
    </row>
    <row r="479" spans="1:10" x14ac:dyDescent="0.3">
      <c r="A479" s="7">
        <v>84</v>
      </c>
      <c r="B479" s="7" t="s">
        <v>356</v>
      </c>
      <c r="C479" s="7">
        <v>201001</v>
      </c>
      <c r="D479" s="7" t="s">
        <v>216</v>
      </c>
      <c r="E479" s="7" t="s">
        <v>217</v>
      </c>
      <c r="F479" s="8">
        <v>227.33</v>
      </c>
      <c r="G479" s="8">
        <v>624.42999999999995</v>
      </c>
      <c r="H479" s="7" t="s">
        <v>26</v>
      </c>
      <c r="I479" s="8">
        <f t="shared" si="14"/>
        <v>397.09999999999991</v>
      </c>
      <c r="J479" s="7" t="str">
        <f t="shared" si="15"/>
        <v>OK</v>
      </c>
    </row>
    <row r="480" spans="1:10" x14ac:dyDescent="0.3">
      <c r="A480" s="7">
        <v>84</v>
      </c>
      <c r="B480" s="7" t="s">
        <v>356</v>
      </c>
      <c r="C480" s="7">
        <v>220002</v>
      </c>
      <c r="D480" s="7" t="s">
        <v>358</v>
      </c>
      <c r="E480" s="7" t="s">
        <v>220</v>
      </c>
      <c r="F480" s="8">
        <v>1.67</v>
      </c>
      <c r="G480" s="8">
        <v>9.1199999999999992</v>
      </c>
      <c r="H480" s="7" t="s">
        <v>26</v>
      </c>
      <c r="I480" s="8">
        <f t="shared" si="14"/>
        <v>7.4499999999999993</v>
      </c>
      <c r="J480" s="7" t="str">
        <f t="shared" si="15"/>
        <v>OK</v>
      </c>
    </row>
    <row r="481" spans="1:10" x14ac:dyDescent="0.3">
      <c r="A481" s="7">
        <v>84</v>
      </c>
      <c r="B481" s="7" t="s">
        <v>356</v>
      </c>
      <c r="C481" s="7">
        <v>220003</v>
      </c>
      <c r="D481" s="7" t="s">
        <v>359</v>
      </c>
      <c r="E481" s="7" t="s">
        <v>220</v>
      </c>
      <c r="F481" s="8">
        <v>2</v>
      </c>
      <c r="G481" s="8">
        <v>12.94</v>
      </c>
      <c r="H481" s="7" t="s">
        <v>26</v>
      </c>
      <c r="I481" s="8">
        <f t="shared" si="14"/>
        <v>10.94</v>
      </c>
      <c r="J481" s="7" t="str">
        <f t="shared" si="15"/>
        <v>OK</v>
      </c>
    </row>
    <row r="482" spans="1:10" x14ac:dyDescent="0.3">
      <c r="A482" s="7">
        <v>84</v>
      </c>
      <c r="B482" s="7" t="s">
        <v>356</v>
      </c>
      <c r="C482" s="7">
        <v>220004</v>
      </c>
      <c r="D482" s="7" t="s">
        <v>219</v>
      </c>
      <c r="E482" s="7" t="s">
        <v>220</v>
      </c>
      <c r="F482" s="8">
        <v>0.33</v>
      </c>
      <c r="G482" s="8">
        <v>12.94</v>
      </c>
      <c r="H482" s="7" t="s">
        <v>26</v>
      </c>
      <c r="I482" s="8">
        <f t="shared" si="14"/>
        <v>12.61</v>
      </c>
      <c r="J482" s="7" t="str">
        <f t="shared" si="15"/>
        <v>OK</v>
      </c>
    </row>
    <row r="483" spans="1:10" x14ac:dyDescent="0.3">
      <c r="A483" s="7">
        <v>84</v>
      </c>
      <c r="B483" s="7" t="s">
        <v>356</v>
      </c>
      <c r="C483" s="7">
        <v>501000</v>
      </c>
      <c r="D483" s="7" t="s">
        <v>237</v>
      </c>
      <c r="E483" s="7" t="s">
        <v>217</v>
      </c>
      <c r="F483" s="8">
        <v>1.33</v>
      </c>
      <c r="G483" s="8">
        <v>245.78</v>
      </c>
      <c r="H483" s="7" t="s">
        <v>26</v>
      </c>
      <c r="I483" s="8">
        <f t="shared" si="14"/>
        <v>244.45</v>
      </c>
      <c r="J483" s="7" t="str">
        <f t="shared" si="15"/>
        <v>OK</v>
      </c>
    </row>
    <row r="484" spans="1:10" x14ac:dyDescent="0.3">
      <c r="A484" s="7">
        <v>84</v>
      </c>
      <c r="B484" s="7" t="s">
        <v>356</v>
      </c>
      <c r="C484" s="7">
        <v>511005</v>
      </c>
      <c r="D484" s="7" t="s">
        <v>249</v>
      </c>
      <c r="E484" s="7" t="s">
        <v>217</v>
      </c>
      <c r="F484" s="8">
        <v>2</v>
      </c>
      <c r="G484" s="8">
        <v>13.01</v>
      </c>
      <c r="H484" s="7" t="s">
        <v>26</v>
      </c>
      <c r="I484" s="8">
        <f t="shared" si="14"/>
        <v>11.01</v>
      </c>
      <c r="J484" s="7" t="str">
        <f t="shared" si="15"/>
        <v>OK</v>
      </c>
    </row>
    <row r="485" spans="1:10" x14ac:dyDescent="0.3">
      <c r="A485" s="7">
        <v>84</v>
      </c>
      <c r="B485" s="7" t="s">
        <v>356</v>
      </c>
      <c r="C485" s="7">
        <v>611052</v>
      </c>
      <c r="D485" s="7" t="s">
        <v>252</v>
      </c>
      <c r="E485" s="7" t="s">
        <v>217</v>
      </c>
      <c r="F485" s="8">
        <v>6</v>
      </c>
      <c r="G485" s="8">
        <v>86.75</v>
      </c>
      <c r="H485" s="7" t="s">
        <v>26</v>
      </c>
      <c r="I485" s="8">
        <f t="shared" si="14"/>
        <v>80.75</v>
      </c>
      <c r="J485" s="7" t="str">
        <f t="shared" si="15"/>
        <v>OK</v>
      </c>
    </row>
    <row r="486" spans="1:10" x14ac:dyDescent="0.3">
      <c r="A486" s="7">
        <v>84</v>
      </c>
      <c r="B486" s="7" t="s">
        <v>356</v>
      </c>
      <c r="C486" s="7">
        <v>611053</v>
      </c>
      <c r="D486" s="7" t="s">
        <v>253</v>
      </c>
      <c r="E486" s="7" t="s">
        <v>217</v>
      </c>
      <c r="F486" s="8">
        <v>48</v>
      </c>
      <c r="G486" s="8">
        <v>829.87</v>
      </c>
      <c r="H486" s="7" t="s">
        <v>26</v>
      </c>
      <c r="I486" s="8">
        <f t="shared" si="14"/>
        <v>781.87</v>
      </c>
      <c r="J486" s="7" t="str">
        <f t="shared" si="15"/>
        <v>OK</v>
      </c>
    </row>
    <row r="487" spans="1:10" x14ac:dyDescent="0.3">
      <c r="A487" s="7">
        <v>84</v>
      </c>
      <c r="B487" s="7" t="s">
        <v>356</v>
      </c>
      <c r="C487" s="7">
        <v>611055</v>
      </c>
      <c r="D487" s="7" t="s">
        <v>254</v>
      </c>
      <c r="E487" s="7" t="s">
        <v>217</v>
      </c>
      <c r="F487" s="8">
        <v>17.329999999999998</v>
      </c>
      <c r="G487" s="8">
        <v>173.49</v>
      </c>
      <c r="H487" s="7" t="s">
        <v>26</v>
      </c>
      <c r="I487" s="8">
        <f t="shared" si="14"/>
        <v>156.16000000000003</v>
      </c>
      <c r="J487" s="7" t="str">
        <f t="shared" si="15"/>
        <v>OK</v>
      </c>
    </row>
    <row r="488" spans="1:10" x14ac:dyDescent="0.3">
      <c r="A488" s="7">
        <v>84</v>
      </c>
      <c r="B488" s="7" t="s">
        <v>356</v>
      </c>
      <c r="C488" s="7">
        <v>611092</v>
      </c>
      <c r="D488" s="7" t="s">
        <v>348</v>
      </c>
      <c r="E488" s="7" t="s">
        <v>294</v>
      </c>
      <c r="F488" s="8">
        <v>1</v>
      </c>
      <c r="G488" s="8">
        <v>25.73</v>
      </c>
      <c r="H488" s="7" t="s">
        <v>26</v>
      </c>
      <c r="I488" s="8">
        <f t="shared" si="14"/>
        <v>24.73</v>
      </c>
      <c r="J488" s="7" t="str">
        <f t="shared" si="15"/>
        <v>OK</v>
      </c>
    </row>
    <row r="489" spans="1:10" x14ac:dyDescent="0.3">
      <c r="A489" s="7">
        <v>84</v>
      </c>
      <c r="B489" s="7" t="s">
        <v>356</v>
      </c>
      <c r="C489" s="7">
        <v>611221</v>
      </c>
      <c r="D489" s="7" t="s">
        <v>293</v>
      </c>
      <c r="E489" s="7" t="s">
        <v>294</v>
      </c>
      <c r="F489" s="8">
        <v>9.33</v>
      </c>
      <c r="G489" s="8">
        <v>107.58</v>
      </c>
      <c r="H489" s="7" t="s">
        <v>26</v>
      </c>
      <c r="I489" s="8">
        <f t="shared" si="14"/>
        <v>98.25</v>
      </c>
      <c r="J489" s="7" t="str">
        <f t="shared" si="15"/>
        <v>OK</v>
      </c>
    </row>
    <row r="490" spans="1:10" x14ac:dyDescent="0.3">
      <c r="A490" s="7">
        <v>84</v>
      </c>
      <c r="B490" s="7" t="s">
        <v>356</v>
      </c>
      <c r="C490" s="7">
        <v>611507</v>
      </c>
      <c r="D490" s="7" t="s">
        <v>255</v>
      </c>
      <c r="E490" s="7" t="s">
        <v>215</v>
      </c>
      <c r="F490" s="8">
        <v>2.67</v>
      </c>
      <c r="G490" s="8">
        <v>0</v>
      </c>
      <c r="H490" s="7" t="s">
        <v>26</v>
      </c>
      <c r="I490" s="8">
        <f t="shared" si="14"/>
        <v>0</v>
      </c>
      <c r="J490" s="7" t="str">
        <f t="shared" si="15"/>
        <v>Queda en 0</v>
      </c>
    </row>
    <row r="491" spans="1:10" x14ac:dyDescent="0.3">
      <c r="A491" s="7">
        <v>84</v>
      </c>
      <c r="B491" s="7" t="s">
        <v>356</v>
      </c>
      <c r="C491" s="7">
        <v>621006</v>
      </c>
      <c r="D491" s="7" t="s">
        <v>288</v>
      </c>
      <c r="E491" s="7" t="s">
        <v>239</v>
      </c>
      <c r="F491" s="8">
        <v>4</v>
      </c>
      <c r="G491" s="8">
        <v>32.81</v>
      </c>
      <c r="H491" s="7" t="s">
        <v>26</v>
      </c>
      <c r="I491" s="8">
        <f t="shared" si="14"/>
        <v>28.810000000000002</v>
      </c>
      <c r="J491" s="7" t="str">
        <f t="shared" si="15"/>
        <v>OK</v>
      </c>
    </row>
    <row r="492" spans="1:10" x14ac:dyDescent="0.3">
      <c r="A492" s="7">
        <v>84</v>
      </c>
      <c r="B492" s="7" t="s">
        <v>356</v>
      </c>
      <c r="C492" s="7">
        <v>621008</v>
      </c>
      <c r="D492" s="7" t="s">
        <v>289</v>
      </c>
      <c r="E492" s="7" t="s">
        <v>239</v>
      </c>
      <c r="F492" s="8">
        <v>12</v>
      </c>
      <c r="G492" s="8">
        <v>49.23</v>
      </c>
      <c r="H492" s="7" t="s">
        <v>26</v>
      </c>
      <c r="I492" s="8">
        <f t="shared" si="14"/>
        <v>37.229999999999997</v>
      </c>
      <c r="J492" s="7" t="str">
        <f t="shared" si="15"/>
        <v>OK</v>
      </c>
    </row>
    <row r="493" spans="1:10" x14ac:dyDescent="0.3">
      <c r="A493" s="7">
        <v>84</v>
      </c>
      <c r="B493" s="7" t="s">
        <v>356</v>
      </c>
      <c r="C493" s="7">
        <v>621043</v>
      </c>
      <c r="D493" s="7" t="s">
        <v>257</v>
      </c>
      <c r="E493" s="7" t="s">
        <v>239</v>
      </c>
      <c r="F493" s="8">
        <v>4</v>
      </c>
      <c r="G493" s="8">
        <v>0</v>
      </c>
      <c r="H493" s="7" t="s">
        <v>26</v>
      </c>
      <c r="I493" s="8">
        <f t="shared" si="14"/>
        <v>0</v>
      </c>
      <c r="J493" s="7" t="str">
        <f t="shared" si="15"/>
        <v>Queda en 0</v>
      </c>
    </row>
    <row r="494" spans="1:10" x14ac:dyDescent="0.3">
      <c r="A494" s="7">
        <v>84</v>
      </c>
      <c r="B494" s="7" t="s">
        <v>356</v>
      </c>
      <c r="C494" s="7">
        <v>621045</v>
      </c>
      <c r="D494" s="7" t="s">
        <v>238</v>
      </c>
      <c r="E494" s="7" t="s">
        <v>239</v>
      </c>
      <c r="F494" s="8">
        <v>22</v>
      </c>
      <c r="G494" s="8">
        <v>439.75</v>
      </c>
      <c r="H494" s="7" t="s">
        <v>26</v>
      </c>
      <c r="I494" s="8">
        <f t="shared" si="14"/>
        <v>417.75</v>
      </c>
      <c r="J494" s="7" t="str">
        <f t="shared" si="15"/>
        <v>OK</v>
      </c>
    </row>
    <row r="495" spans="1:10" x14ac:dyDescent="0.3">
      <c r="A495" s="7">
        <v>84</v>
      </c>
      <c r="B495" s="7" t="s">
        <v>356</v>
      </c>
      <c r="C495" s="7">
        <v>800088</v>
      </c>
      <c r="D495" s="7" t="s">
        <v>240</v>
      </c>
      <c r="E495" s="7" t="s">
        <v>215</v>
      </c>
      <c r="F495" s="8">
        <v>51.67</v>
      </c>
      <c r="G495" s="8">
        <v>228.15</v>
      </c>
      <c r="H495" s="7" t="s">
        <v>26</v>
      </c>
      <c r="I495" s="8">
        <f t="shared" si="14"/>
        <v>176.48000000000002</v>
      </c>
      <c r="J495" s="7" t="str">
        <f t="shared" si="15"/>
        <v>OK</v>
      </c>
    </row>
    <row r="496" spans="1:10" x14ac:dyDescent="0.3">
      <c r="A496" s="7">
        <v>84</v>
      </c>
      <c r="B496" s="7" t="s">
        <v>356</v>
      </c>
      <c r="C496" s="7">
        <v>800089</v>
      </c>
      <c r="D496" s="7" t="s">
        <v>241</v>
      </c>
      <c r="E496" s="7" t="s">
        <v>215</v>
      </c>
      <c r="F496" s="8">
        <v>59</v>
      </c>
      <c r="G496" s="8">
        <v>219.97</v>
      </c>
      <c r="H496" s="7" t="s">
        <v>26</v>
      </c>
      <c r="I496" s="8">
        <f t="shared" si="14"/>
        <v>160.97</v>
      </c>
      <c r="J496" s="7" t="str">
        <f t="shared" si="15"/>
        <v>OK</v>
      </c>
    </row>
    <row r="497" spans="1:10" x14ac:dyDescent="0.3">
      <c r="A497" s="7">
        <v>84</v>
      </c>
      <c r="B497" s="7" t="s">
        <v>356</v>
      </c>
      <c r="C497" s="7">
        <v>800783</v>
      </c>
      <c r="D497" s="7" t="s">
        <v>258</v>
      </c>
      <c r="E497" s="7" t="s">
        <v>243</v>
      </c>
      <c r="F497" s="8">
        <v>0.33</v>
      </c>
      <c r="G497" s="8">
        <v>0</v>
      </c>
      <c r="H497" s="7" t="s">
        <v>26</v>
      </c>
      <c r="I497" s="8">
        <f t="shared" si="14"/>
        <v>0</v>
      </c>
      <c r="J497" s="7" t="str">
        <f t="shared" si="15"/>
        <v>Queda en 0</v>
      </c>
    </row>
    <row r="498" spans="1:10" x14ac:dyDescent="0.3">
      <c r="A498" s="7">
        <v>84</v>
      </c>
      <c r="B498" s="7" t="s">
        <v>356</v>
      </c>
      <c r="C498" s="7">
        <v>800791</v>
      </c>
      <c r="D498" s="7" t="s">
        <v>259</v>
      </c>
      <c r="E498" s="7" t="s">
        <v>243</v>
      </c>
      <c r="F498" s="8">
        <v>5</v>
      </c>
      <c r="G498" s="8">
        <v>40</v>
      </c>
      <c r="H498" s="7" t="s">
        <v>26</v>
      </c>
      <c r="I498" s="8">
        <f t="shared" si="14"/>
        <v>35</v>
      </c>
      <c r="J498" s="7" t="str">
        <f t="shared" si="15"/>
        <v>OK</v>
      </c>
    </row>
    <row r="499" spans="1:10" x14ac:dyDescent="0.3">
      <c r="A499" s="7">
        <v>84</v>
      </c>
      <c r="B499" s="7" t="s">
        <v>356</v>
      </c>
      <c r="C499" s="7">
        <v>800792</v>
      </c>
      <c r="D499" s="7" t="s">
        <v>242</v>
      </c>
      <c r="E499" s="7" t="s">
        <v>243</v>
      </c>
      <c r="F499" s="8">
        <v>1.67</v>
      </c>
      <c r="G499" s="8">
        <v>423.7</v>
      </c>
      <c r="H499" s="7" t="s">
        <v>26</v>
      </c>
      <c r="I499" s="8">
        <f t="shared" si="14"/>
        <v>422.03</v>
      </c>
      <c r="J499" s="7" t="str">
        <f t="shared" si="15"/>
        <v>OK</v>
      </c>
    </row>
    <row r="500" spans="1:10" x14ac:dyDescent="0.3">
      <c r="A500" s="7">
        <v>84</v>
      </c>
      <c r="B500" s="7" t="s">
        <v>356</v>
      </c>
      <c r="C500" s="7">
        <v>800793</v>
      </c>
      <c r="D500" s="7" t="s">
        <v>260</v>
      </c>
      <c r="E500" s="7" t="s">
        <v>243</v>
      </c>
      <c r="F500" s="8">
        <v>4</v>
      </c>
      <c r="G500" s="8">
        <v>67.48</v>
      </c>
      <c r="H500" s="7" t="s">
        <v>26</v>
      </c>
      <c r="I500" s="8">
        <f t="shared" si="14"/>
        <v>63.480000000000004</v>
      </c>
      <c r="J500" s="7" t="str">
        <f t="shared" si="15"/>
        <v>OK</v>
      </c>
    </row>
    <row r="501" spans="1:10" x14ac:dyDescent="0.3">
      <c r="A501" s="7">
        <v>84</v>
      </c>
      <c r="B501" s="7" t="s">
        <v>356</v>
      </c>
      <c r="C501" s="7">
        <v>910103</v>
      </c>
      <c r="D501" s="7" t="s">
        <v>295</v>
      </c>
      <c r="E501" s="7" t="s">
        <v>296</v>
      </c>
      <c r="F501" s="8">
        <v>8</v>
      </c>
      <c r="G501" s="8">
        <v>99.03</v>
      </c>
      <c r="H501" s="7" t="s">
        <v>26</v>
      </c>
      <c r="I501" s="8">
        <f t="shared" si="14"/>
        <v>91.03</v>
      </c>
      <c r="J501" s="7" t="str">
        <f t="shared" si="15"/>
        <v>OK</v>
      </c>
    </row>
    <row r="502" spans="1:10" x14ac:dyDescent="0.3">
      <c r="A502" s="7">
        <v>84</v>
      </c>
      <c r="B502" s="7" t="s">
        <v>356</v>
      </c>
      <c r="C502" s="7">
        <v>910104</v>
      </c>
      <c r="D502" s="7" t="s">
        <v>309</v>
      </c>
      <c r="E502" s="7" t="s">
        <v>296</v>
      </c>
      <c r="F502" s="8">
        <v>8</v>
      </c>
      <c r="G502" s="8">
        <v>34</v>
      </c>
      <c r="H502" s="7" t="s">
        <v>26</v>
      </c>
      <c r="I502" s="8">
        <f t="shared" si="14"/>
        <v>26</v>
      </c>
      <c r="J502" s="7" t="str">
        <f t="shared" si="15"/>
        <v>OK</v>
      </c>
    </row>
    <row r="503" spans="1:10" x14ac:dyDescent="0.3">
      <c r="A503" s="7">
        <v>84</v>
      </c>
      <c r="B503" s="7" t="s">
        <v>356</v>
      </c>
      <c r="C503" s="7">
        <v>910123</v>
      </c>
      <c r="D503" s="7" t="s">
        <v>360</v>
      </c>
      <c r="E503" s="7" t="s">
        <v>296</v>
      </c>
      <c r="F503" s="8">
        <v>8</v>
      </c>
      <c r="G503" s="8">
        <v>3.58</v>
      </c>
      <c r="H503" s="7" t="s">
        <v>26</v>
      </c>
      <c r="I503" s="8">
        <f t="shared" si="14"/>
        <v>0</v>
      </c>
      <c r="J503" s="7" t="str">
        <f t="shared" si="15"/>
        <v>Queda en 0</v>
      </c>
    </row>
    <row r="504" spans="1:10" x14ac:dyDescent="0.3">
      <c r="A504" s="7">
        <v>84</v>
      </c>
      <c r="B504" s="7" t="s">
        <v>356</v>
      </c>
      <c r="C504" s="7">
        <v>924109</v>
      </c>
      <c r="D504" s="7" t="s">
        <v>352</v>
      </c>
      <c r="E504" s="7" t="s">
        <v>215</v>
      </c>
      <c r="F504" s="8">
        <v>0.67</v>
      </c>
      <c r="G504" s="8">
        <v>7.02</v>
      </c>
      <c r="H504" s="7" t="s">
        <v>26</v>
      </c>
      <c r="I504" s="8">
        <f t="shared" si="14"/>
        <v>6.35</v>
      </c>
      <c r="J504" s="7" t="str">
        <f t="shared" si="15"/>
        <v>OK</v>
      </c>
    </row>
    <row r="505" spans="1:10" x14ac:dyDescent="0.3">
      <c r="A505" s="7">
        <v>84</v>
      </c>
      <c r="B505" s="7" t="s">
        <v>356</v>
      </c>
      <c r="C505" s="7">
        <v>925050</v>
      </c>
      <c r="D505" s="7" t="s">
        <v>261</v>
      </c>
      <c r="E505" s="7" t="s">
        <v>220</v>
      </c>
      <c r="F505" s="8">
        <v>19</v>
      </c>
      <c r="G505" s="8">
        <v>96.27</v>
      </c>
      <c r="H505" s="7" t="s">
        <v>26</v>
      </c>
      <c r="I505" s="8">
        <f t="shared" si="14"/>
        <v>77.27</v>
      </c>
      <c r="J505" s="7" t="str">
        <f t="shared" si="15"/>
        <v>OK</v>
      </c>
    </row>
    <row r="506" spans="1:10" x14ac:dyDescent="0.3">
      <c r="A506" s="7">
        <v>84</v>
      </c>
      <c r="B506" s="7" t="s">
        <v>356</v>
      </c>
      <c r="C506" s="7">
        <v>925059</v>
      </c>
      <c r="D506" s="7" t="s">
        <v>262</v>
      </c>
      <c r="E506" s="7" t="s">
        <v>220</v>
      </c>
      <c r="F506" s="8">
        <v>1.33</v>
      </c>
      <c r="G506" s="8">
        <v>0</v>
      </c>
      <c r="H506" s="7" t="s">
        <v>26</v>
      </c>
      <c r="I506" s="8">
        <f t="shared" si="14"/>
        <v>0</v>
      </c>
      <c r="J506" s="7" t="str">
        <f t="shared" si="15"/>
        <v>Queda en 0</v>
      </c>
    </row>
    <row r="507" spans="1:10" x14ac:dyDescent="0.3">
      <c r="A507" s="7">
        <v>84</v>
      </c>
      <c r="B507" s="7" t="s">
        <v>356</v>
      </c>
      <c r="C507" s="7">
        <v>925064</v>
      </c>
      <c r="D507" s="7" t="s">
        <v>263</v>
      </c>
      <c r="E507" s="7" t="s">
        <v>220</v>
      </c>
      <c r="F507" s="8">
        <v>21</v>
      </c>
      <c r="G507" s="8">
        <v>534.29999999999995</v>
      </c>
      <c r="H507" s="7" t="s">
        <v>26</v>
      </c>
      <c r="I507" s="8">
        <f t="shared" si="14"/>
        <v>513.29999999999995</v>
      </c>
      <c r="J507" s="7" t="str">
        <f t="shared" si="15"/>
        <v>OK</v>
      </c>
    </row>
    <row r="508" spans="1:10" x14ac:dyDescent="0.3">
      <c r="A508" s="7">
        <v>84</v>
      </c>
      <c r="B508" s="7" t="s">
        <v>356</v>
      </c>
      <c r="C508" s="7">
        <v>925076</v>
      </c>
      <c r="D508" s="7" t="s">
        <v>278</v>
      </c>
      <c r="E508" s="7" t="s">
        <v>220</v>
      </c>
      <c r="F508" s="8">
        <v>20</v>
      </c>
      <c r="G508" s="8">
        <v>103.49</v>
      </c>
      <c r="H508" s="7" t="s">
        <v>26</v>
      </c>
      <c r="I508" s="8">
        <f t="shared" si="14"/>
        <v>83.49</v>
      </c>
      <c r="J508" s="7" t="str">
        <f t="shared" si="15"/>
        <v>OK</v>
      </c>
    </row>
    <row r="509" spans="1:10" x14ac:dyDescent="0.3">
      <c r="A509" s="7">
        <v>84</v>
      </c>
      <c r="B509" s="7" t="s">
        <v>356</v>
      </c>
      <c r="C509" s="7">
        <v>925083</v>
      </c>
      <c r="D509" s="7" t="s">
        <v>346</v>
      </c>
      <c r="E509" s="7" t="s">
        <v>220</v>
      </c>
      <c r="F509" s="8">
        <v>8</v>
      </c>
      <c r="G509" s="8">
        <v>0</v>
      </c>
      <c r="H509" s="7" t="s">
        <v>26</v>
      </c>
      <c r="I509" s="8">
        <f t="shared" si="14"/>
        <v>0</v>
      </c>
      <c r="J509" s="7" t="str">
        <f t="shared" si="15"/>
        <v>Queda en 0</v>
      </c>
    </row>
    <row r="510" spans="1:10" x14ac:dyDescent="0.3">
      <c r="A510" s="7">
        <v>84</v>
      </c>
      <c r="B510" s="7" t="s">
        <v>356</v>
      </c>
      <c r="C510" s="7">
        <v>925094</v>
      </c>
      <c r="D510" s="7" t="s">
        <v>298</v>
      </c>
      <c r="E510" s="7" t="s">
        <v>220</v>
      </c>
      <c r="F510" s="8">
        <v>16</v>
      </c>
      <c r="G510" s="8">
        <v>67.400000000000006</v>
      </c>
      <c r="H510" s="7" t="s">
        <v>26</v>
      </c>
      <c r="I510" s="8">
        <f t="shared" si="14"/>
        <v>51.400000000000006</v>
      </c>
      <c r="J510" s="7" t="str">
        <f t="shared" si="15"/>
        <v>OK</v>
      </c>
    </row>
    <row r="511" spans="1:10" x14ac:dyDescent="0.3">
      <c r="A511" s="7">
        <v>84</v>
      </c>
      <c r="B511" s="7" t="s">
        <v>356</v>
      </c>
      <c r="C511" s="7">
        <v>925095</v>
      </c>
      <c r="D511" s="7" t="s">
        <v>280</v>
      </c>
      <c r="E511" s="7" t="s">
        <v>220</v>
      </c>
      <c r="F511" s="8">
        <v>48</v>
      </c>
      <c r="G511" s="8">
        <v>184.11</v>
      </c>
      <c r="H511" s="7" t="s">
        <v>26</v>
      </c>
      <c r="I511" s="8">
        <f t="shared" si="14"/>
        <v>136.11000000000001</v>
      </c>
      <c r="J511" s="7" t="str">
        <f t="shared" si="15"/>
        <v>OK</v>
      </c>
    </row>
    <row r="512" spans="1:10" x14ac:dyDescent="0.3">
      <c r="A512" s="7">
        <v>84</v>
      </c>
      <c r="B512" s="7" t="s">
        <v>356</v>
      </c>
      <c r="C512" s="7">
        <v>930012</v>
      </c>
      <c r="D512" s="7" t="s">
        <v>264</v>
      </c>
      <c r="E512" s="7" t="s">
        <v>243</v>
      </c>
      <c r="F512" s="8">
        <v>18</v>
      </c>
      <c r="G512" s="8">
        <v>187.52</v>
      </c>
      <c r="H512" s="7" t="s">
        <v>26</v>
      </c>
      <c r="I512" s="8">
        <f t="shared" si="14"/>
        <v>169.52</v>
      </c>
      <c r="J512" s="7" t="str">
        <f t="shared" si="15"/>
        <v>OK</v>
      </c>
    </row>
    <row r="513" spans="1:10" x14ac:dyDescent="0.3">
      <c r="A513" s="7">
        <v>84</v>
      </c>
      <c r="B513" s="7" t="s">
        <v>356</v>
      </c>
      <c r="C513" s="7">
        <v>930020</v>
      </c>
      <c r="D513" s="7" t="s">
        <v>299</v>
      </c>
      <c r="E513" s="7" t="s">
        <v>243</v>
      </c>
      <c r="F513" s="8">
        <v>3</v>
      </c>
      <c r="G513" s="8">
        <v>60.06</v>
      </c>
      <c r="H513" s="7" t="s">
        <v>26</v>
      </c>
      <c r="I513" s="8">
        <f t="shared" si="14"/>
        <v>57.06</v>
      </c>
      <c r="J513" s="7" t="str">
        <f t="shared" si="15"/>
        <v>OK</v>
      </c>
    </row>
    <row r="514" spans="1:10" x14ac:dyDescent="0.3">
      <c r="A514" s="7">
        <v>84</v>
      </c>
      <c r="B514" s="7" t="s">
        <v>356</v>
      </c>
      <c r="C514" s="7">
        <v>930021</v>
      </c>
      <c r="D514" s="7" t="s">
        <v>300</v>
      </c>
      <c r="E514" s="7" t="s">
        <v>243</v>
      </c>
      <c r="F514" s="8">
        <v>3</v>
      </c>
      <c r="G514" s="8">
        <v>90.83</v>
      </c>
      <c r="H514" s="7" t="s">
        <v>26</v>
      </c>
      <c r="I514" s="8">
        <f t="shared" ref="I514:I577" si="16">MAX(0,G514-F514)</f>
        <v>87.83</v>
      </c>
      <c r="J514" s="7" t="str">
        <f t="shared" ref="J514:J577" si="17">IF(H514="No","Sin fila previa",IF(G514&lt;F514,"Queda en 0","OK"))</f>
        <v>OK</v>
      </c>
    </row>
    <row r="515" spans="1:10" x14ac:dyDescent="0.3">
      <c r="A515" s="7">
        <v>84</v>
      </c>
      <c r="B515" s="7" t="s">
        <v>356</v>
      </c>
      <c r="C515" s="7">
        <v>930022</v>
      </c>
      <c r="D515" s="7" t="s">
        <v>265</v>
      </c>
      <c r="E515" s="7" t="s">
        <v>243</v>
      </c>
      <c r="F515" s="8">
        <v>14.33</v>
      </c>
      <c r="G515" s="8">
        <v>118.67</v>
      </c>
      <c r="H515" s="7" t="s">
        <v>26</v>
      </c>
      <c r="I515" s="8">
        <f t="shared" si="16"/>
        <v>104.34</v>
      </c>
      <c r="J515" s="7" t="str">
        <f t="shared" si="17"/>
        <v>OK</v>
      </c>
    </row>
    <row r="516" spans="1:10" x14ac:dyDescent="0.3">
      <c r="A516" s="7">
        <v>84</v>
      </c>
      <c r="B516" s="7" t="s">
        <v>356</v>
      </c>
      <c r="C516" s="7">
        <v>930025</v>
      </c>
      <c r="D516" s="7" t="s">
        <v>244</v>
      </c>
      <c r="E516" s="7" t="s">
        <v>243</v>
      </c>
      <c r="F516" s="8">
        <v>7.33</v>
      </c>
      <c r="G516" s="8">
        <v>213.93</v>
      </c>
      <c r="H516" s="7" t="s">
        <v>26</v>
      </c>
      <c r="I516" s="8">
        <f t="shared" si="16"/>
        <v>206.6</v>
      </c>
      <c r="J516" s="7" t="str">
        <f t="shared" si="17"/>
        <v>OK</v>
      </c>
    </row>
    <row r="517" spans="1:10" x14ac:dyDescent="0.3">
      <c r="A517" s="7">
        <v>84</v>
      </c>
      <c r="B517" s="7" t="s">
        <v>356</v>
      </c>
      <c r="C517" s="7">
        <v>930033</v>
      </c>
      <c r="D517" s="7" t="s">
        <v>353</v>
      </c>
      <c r="E517" s="7" t="s">
        <v>243</v>
      </c>
      <c r="F517" s="8">
        <v>1.67</v>
      </c>
      <c r="G517" s="8">
        <v>65.83</v>
      </c>
      <c r="H517" s="7" t="s">
        <v>26</v>
      </c>
      <c r="I517" s="8">
        <f t="shared" si="16"/>
        <v>64.16</v>
      </c>
      <c r="J517" s="7" t="str">
        <f t="shared" si="17"/>
        <v>OK</v>
      </c>
    </row>
    <row r="518" spans="1:10" x14ac:dyDescent="0.3">
      <c r="A518" s="7">
        <v>84</v>
      </c>
      <c r="B518" s="7" t="s">
        <v>356</v>
      </c>
      <c r="C518" s="7">
        <v>930112</v>
      </c>
      <c r="D518" s="7" t="s">
        <v>310</v>
      </c>
      <c r="E518" s="7" t="s">
        <v>243</v>
      </c>
      <c r="F518" s="8">
        <v>0.33</v>
      </c>
      <c r="G518" s="8">
        <v>11.25</v>
      </c>
      <c r="H518" s="7" t="s">
        <v>26</v>
      </c>
      <c r="I518" s="8">
        <f t="shared" si="16"/>
        <v>10.92</v>
      </c>
      <c r="J518" s="7" t="str">
        <f t="shared" si="17"/>
        <v>OK</v>
      </c>
    </row>
    <row r="519" spans="1:10" x14ac:dyDescent="0.3">
      <c r="A519" s="7">
        <v>84</v>
      </c>
      <c r="B519" s="7" t="s">
        <v>356</v>
      </c>
      <c r="C519" s="7">
        <v>930137</v>
      </c>
      <c r="D519" s="7" t="s">
        <v>311</v>
      </c>
      <c r="E519" s="7" t="s">
        <v>243</v>
      </c>
      <c r="F519" s="8">
        <v>16</v>
      </c>
      <c r="G519" s="8">
        <v>165.23</v>
      </c>
      <c r="H519" s="7" t="s">
        <v>26</v>
      </c>
      <c r="I519" s="8">
        <f t="shared" si="16"/>
        <v>149.22999999999999</v>
      </c>
      <c r="J519" s="7" t="str">
        <f t="shared" si="17"/>
        <v>OK</v>
      </c>
    </row>
    <row r="520" spans="1:10" x14ac:dyDescent="0.3">
      <c r="A520" s="7">
        <v>84</v>
      </c>
      <c r="B520" s="7" t="s">
        <v>356</v>
      </c>
      <c r="C520" s="7">
        <v>930138</v>
      </c>
      <c r="D520" s="7" t="s">
        <v>312</v>
      </c>
      <c r="E520" s="7" t="s">
        <v>243</v>
      </c>
      <c r="F520" s="8">
        <v>4</v>
      </c>
      <c r="G520" s="8">
        <v>200.64</v>
      </c>
      <c r="H520" s="7" t="s">
        <v>26</v>
      </c>
      <c r="I520" s="8">
        <f t="shared" si="16"/>
        <v>196.64</v>
      </c>
      <c r="J520" s="7" t="str">
        <f t="shared" si="17"/>
        <v>OK</v>
      </c>
    </row>
    <row r="521" spans="1:10" x14ac:dyDescent="0.3">
      <c r="A521" s="7">
        <v>84</v>
      </c>
      <c r="B521" s="7" t="s">
        <v>356</v>
      </c>
      <c r="C521" s="7">
        <v>930140</v>
      </c>
      <c r="D521" s="7" t="s">
        <v>314</v>
      </c>
      <c r="E521" s="7" t="s">
        <v>243</v>
      </c>
      <c r="F521" s="8">
        <v>4</v>
      </c>
      <c r="G521" s="8">
        <v>316.68</v>
      </c>
      <c r="H521" s="7" t="s">
        <v>26</v>
      </c>
      <c r="I521" s="8">
        <f t="shared" si="16"/>
        <v>312.68</v>
      </c>
      <c r="J521" s="7" t="str">
        <f t="shared" si="17"/>
        <v>OK</v>
      </c>
    </row>
    <row r="522" spans="1:10" x14ac:dyDescent="0.3">
      <c r="A522" s="7">
        <v>84</v>
      </c>
      <c r="B522" s="7" t="s">
        <v>356</v>
      </c>
      <c r="C522" s="7">
        <v>930145</v>
      </c>
      <c r="D522" s="7" t="s">
        <v>316</v>
      </c>
      <c r="E522" s="7" t="s">
        <v>243</v>
      </c>
      <c r="F522" s="8">
        <v>12</v>
      </c>
      <c r="G522" s="8">
        <v>198.46</v>
      </c>
      <c r="H522" s="7" t="s">
        <v>26</v>
      </c>
      <c r="I522" s="8">
        <f t="shared" si="16"/>
        <v>186.46</v>
      </c>
      <c r="J522" s="7" t="str">
        <f t="shared" si="17"/>
        <v>OK</v>
      </c>
    </row>
    <row r="523" spans="1:10" x14ac:dyDescent="0.3">
      <c r="A523" s="7">
        <v>84</v>
      </c>
      <c r="B523" s="7" t="s">
        <v>356</v>
      </c>
      <c r="C523" s="7">
        <v>930153</v>
      </c>
      <c r="D523" s="7" t="s">
        <v>282</v>
      </c>
      <c r="E523" s="7" t="s">
        <v>243</v>
      </c>
      <c r="F523" s="8">
        <v>0.67</v>
      </c>
      <c r="G523" s="8">
        <v>54.99</v>
      </c>
      <c r="H523" s="7" t="s">
        <v>26</v>
      </c>
      <c r="I523" s="8">
        <f t="shared" si="16"/>
        <v>54.32</v>
      </c>
      <c r="J523" s="7" t="str">
        <f t="shared" si="17"/>
        <v>OK</v>
      </c>
    </row>
    <row r="524" spans="1:10" x14ac:dyDescent="0.3">
      <c r="A524" s="7">
        <v>84</v>
      </c>
      <c r="B524" s="7" t="s">
        <v>356</v>
      </c>
      <c r="C524" s="7">
        <v>930154</v>
      </c>
      <c r="D524" s="7" t="s">
        <v>245</v>
      </c>
      <c r="E524" s="7" t="s">
        <v>243</v>
      </c>
      <c r="F524" s="8">
        <v>0.33</v>
      </c>
      <c r="G524" s="8">
        <v>79.11</v>
      </c>
      <c r="H524" s="7" t="s">
        <v>26</v>
      </c>
      <c r="I524" s="8">
        <f t="shared" si="16"/>
        <v>78.78</v>
      </c>
      <c r="J524" s="7" t="str">
        <f t="shared" si="17"/>
        <v>OK</v>
      </c>
    </row>
    <row r="525" spans="1:10" x14ac:dyDescent="0.3">
      <c r="A525" s="7">
        <v>84</v>
      </c>
      <c r="B525" s="7" t="s">
        <v>356</v>
      </c>
      <c r="C525" s="7">
        <v>930178</v>
      </c>
      <c r="D525" s="7" t="s">
        <v>267</v>
      </c>
      <c r="E525" s="7" t="s">
        <v>243</v>
      </c>
      <c r="F525" s="8">
        <v>3.67</v>
      </c>
      <c r="G525" s="8">
        <v>47.21</v>
      </c>
      <c r="H525" s="7" t="s">
        <v>26</v>
      </c>
      <c r="I525" s="8">
        <f t="shared" si="16"/>
        <v>43.54</v>
      </c>
      <c r="J525" s="7" t="str">
        <f t="shared" si="17"/>
        <v>OK</v>
      </c>
    </row>
    <row r="526" spans="1:10" x14ac:dyDescent="0.3">
      <c r="A526" s="7">
        <v>84</v>
      </c>
      <c r="B526" s="7" t="s">
        <v>356</v>
      </c>
      <c r="C526" s="7">
        <v>930193</v>
      </c>
      <c r="D526" s="7" t="s">
        <v>268</v>
      </c>
      <c r="E526" s="7" t="s">
        <v>243</v>
      </c>
      <c r="F526" s="8">
        <v>0.67</v>
      </c>
      <c r="G526" s="8">
        <v>0</v>
      </c>
      <c r="H526" s="7" t="s">
        <v>26</v>
      </c>
      <c r="I526" s="8">
        <f t="shared" si="16"/>
        <v>0</v>
      </c>
      <c r="J526" s="7" t="str">
        <f t="shared" si="17"/>
        <v>Queda en 0</v>
      </c>
    </row>
    <row r="527" spans="1:10" x14ac:dyDescent="0.3">
      <c r="A527" s="7">
        <v>84</v>
      </c>
      <c r="B527" s="7" t="s">
        <v>356</v>
      </c>
      <c r="C527" s="7">
        <v>960105</v>
      </c>
      <c r="D527" s="7" t="s">
        <v>305</v>
      </c>
      <c r="E527" s="7" t="s">
        <v>306</v>
      </c>
      <c r="F527" s="8">
        <v>4</v>
      </c>
      <c r="G527" s="8">
        <v>12.97</v>
      </c>
      <c r="H527" s="7" t="s">
        <v>26</v>
      </c>
      <c r="I527" s="8">
        <f t="shared" si="16"/>
        <v>8.9700000000000006</v>
      </c>
      <c r="J527" s="7" t="str">
        <f t="shared" si="17"/>
        <v>OK</v>
      </c>
    </row>
    <row r="528" spans="1:10" x14ac:dyDescent="0.3">
      <c r="A528" s="7">
        <v>84</v>
      </c>
      <c r="B528" s="7" t="s">
        <v>356</v>
      </c>
      <c r="C528" s="7">
        <v>982005</v>
      </c>
      <c r="D528" s="7" t="s">
        <v>285</v>
      </c>
      <c r="E528" s="7" t="s">
        <v>270</v>
      </c>
      <c r="F528" s="8">
        <v>223</v>
      </c>
      <c r="G528" s="8">
        <v>2368.38</v>
      </c>
      <c r="H528" s="7" t="s">
        <v>26</v>
      </c>
      <c r="I528" s="8">
        <f t="shared" si="16"/>
        <v>2145.38</v>
      </c>
      <c r="J528" s="7" t="str">
        <f t="shared" si="17"/>
        <v>OK</v>
      </c>
    </row>
    <row r="529" spans="1:10" x14ac:dyDescent="0.3">
      <c r="A529" s="7">
        <v>85</v>
      </c>
      <c r="B529" s="7" t="s">
        <v>361</v>
      </c>
      <c r="C529" s="7">
        <v>101005</v>
      </c>
      <c r="D529" s="7" t="s">
        <v>232</v>
      </c>
      <c r="E529" s="7" t="s">
        <v>215</v>
      </c>
      <c r="F529" s="8">
        <v>14</v>
      </c>
      <c r="G529" s="8">
        <v>50.99</v>
      </c>
      <c r="H529" s="7" t="s">
        <v>26</v>
      </c>
      <c r="I529" s="8">
        <f t="shared" si="16"/>
        <v>36.99</v>
      </c>
      <c r="J529" s="7" t="str">
        <f t="shared" si="17"/>
        <v>OK</v>
      </c>
    </row>
    <row r="530" spans="1:10" x14ac:dyDescent="0.3">
      <c r="A530" s="7">
        <v>85</v>
      </c>
      <c r="B530" s="7" t="s">
        <v>361</v>
      </c>
      <c r="C530" s="7">
        <v>101026</v>
      </c>
      <c r="D530" s="7" t="s">
        <v>233</v>
      </c>
      <c r="E530" s="7" t="s">
        <v>215</v>
      </c>
      <c r="F530" s="8">
        <v>36</v>
      </c>
      <c r="G530" s="8">
        <v>64.75</v>
      </c>
      <c r="H530" s="7" t="s">
        <v>26</v>
      </c>
      <c r="I530" s="8">
        <f t="shared" si="16"/>
        <v>28.75</v>
      </c>
      <c r="J530" s="7" t="str">
        <f t="shared" si="17"/>
        <v>OK</v>
      </c>
    </row>
    <row r="531" spans="1:10" x14ac:dyDescent="0.3">
      <c r="A531" s="7">
        <v>85</v>
      </c>
      <c r="B531" s="7" t="s">
        <v>361</v>
      </c>
      <c r="C531" s="7">
        <v>101027</v>
      </c>
      <c r="D531" s="7" t="s">
        <v>234</v>
      </c>
      <c r="E531" s="7" t="s">
        <v>215</v>
      </c>
      <c r="F531" s="8">
        <v>12</v>
      </c>
      <c r="G531" s="8">
        <v>76.47</v>
      </c>
      <c r="H531" s="7" t="s">
        <v>26</v>
      </c>
      <c r="I531" s="8">
        <f t="shared" si="16"/>
        <v>64.47</v>
      </c>
      <c r="J531" s="7" t="str">
        <f t="shared" si="17"/>
        <v>OK</v>
      </c>
    </row>
    <row r="532" spans="1:10" x14ac:dyDescent="0.3">
      <c r="A532" s="7">
        <v>85</v>
      </c>
      <c r="B532" s="7" t="s">
        <v>361</v>
      </c>
      <c r="C532" s="7">
        <v>101028</v>
      </c>
      <c r="D532" s="7" t="s">
        <v>214</v>
      </c>
      <c r="E532" s="7" t="s">
        <v>215</v>
      </c>
      <c r="F532" s="8">
        <v>40</v>
      </c>
      <c r="G532" s="8">
        <v>112.87</v>
      </c>
      <c r="H532" s="7" t="s">
        <v>26</v>
      </c>
      <c r="I532" s="8">
        <f t="shared" si="16"/>
        <v>72.87</v>
      </c>
      <c r="J532" s="7" t="str">
        <f t="shared" si="17"/>
        <v>OK</v>
      </c>
    </row>
    <row r="533" spans="1:10" x14ac:dyDescent="0.3">
      <c r="A533" s="7">
        <v>85</v>
      </c>
      <c r="B533" s="7" t="s">
        <v>361</v>
      </c>
      <c r="C533" s="7">
        <v>101038</v>
      </c>
      <c r="D533" s="7" t="s">
        <v>235</v>
      </c>
      <c r="E533" s="7" t="s">
        <v>215</v>
      </c>
      <c r="F533" s="8">
        <v>16</v>
      </c>
      <c r="G533" s="8">
        <v>474.52</v>
      </c>
      <c r="H533" s="7" t="s">
        <v>26</v>
      </c>
      <c r="I533" s="8">
        <f t="shared" si="16"/>
        <v>458.52</v>
      </c>
      <c r="J533" s="7" t="str">
        <f t="shared" si="17"/>
        <v>OK</v>
      </c>
    </row>
    <row r="534" spans="1:10" x14ac:dyDescent="0.3">
      <c r="A534" s="7">
        <v>85</v>
      </c>
      <c r="B534" s="7" t="s">
        <v>361</v>
      </c>
      <c r="C534" s="7">
        <v>101130</v>
      </c>
      <c r="D534" s="7" t="s">
        <v>247</v>
      </c>
      <c r="E534" s="7" t="s">
        <v>215</v>
      </c>
      <c r="F534" s="8">
        <v>9.33</v>
      </c>
      <c r="G534" s="8">
        <v>0</v>
      </c>
      <c r="H534" s="7" t="s">
        <v>26</v>
      </c>
      <c r="I534" s="8">
        <f t="shared" si="16"/>
        <v>0</v>
      </c>
      <c r="J534" s="7" t="str">
        <f t="shared" si="17"/>
        <v>Queda en 0</v>
      </c>
    </row>
    <row r="535" spans="1:10" x14ac:dyDescent="0.3">
      <c r="A535" s="7">
        <v>85</v>
      </c>
      <c r="B535" s="7" t="s">
        <v>361</v>
      </c>
      <c r="C535" s="7">
        <v>201001</v>
      </c>
      <c r="D535" s="7" t="s">
        <v>216</v>
      </c>
      <c r="E535" s="7" t="s">
        <v>217</v>
      </c>
      <c r="F535" s="8">
        <v>21.67</v>
      </c>
      <c r="G535" s="8">
        <v>551.95000000000005</v>
      </c>
      <c r="H535" s="7" t="s">
        <v>26</v>
      </c>
      <c r="I535" s="8">
        <f t="shared" si="16"/>
        <v>530.28000000000009</v>
      </c>
      <c r="J535" s="7" t="str">
        <f t="shared" si="17"/>
        <v>OK</v>
      </c>
    </row>
    <row r="536" spans="1:10" x14ac:dyDescent="0.3">
      <c r="A536" s="7">
        <v>85</v>
      </c>
      <c r="B536" s="7" t="s">
        <v>361</v>
      </c>
      <c r="C536" s="7">
        <v>501000</v>
      </c>
      <c r="D536" s="7" t="s">
        <v>237</v>
      </c>
      <c r="E536" s="7" t="s">
        <v>217</v>
      </c>
      <c r="F536" s="8">
        <v>2.67</v>
      </c>
      <c r="G536" s="8">
        <v>353.87</v>
      </c>
      <c r="H536" s="7" t="s">
        <v>26</v>
      </c>
      <c r="I536" s="8">
        <f t="shared" si="16"/>
        <v>351.2</v>
      </c>
      <c r="J536" s="7" t="str">
        <f t="shared" si="17"/>
        <v>OK</v>
      </c>
    </row>
    <row r="537" spans="1:10" x14ac:dyDescent="0.3">
      <c r="A537" s="7">
        <v>85</v>
      </c>
      <c r="B537" s="7" t="s">
        <v>361</v>
      </c>
      <c r="C537" s="7">
        <v>800088</v>
      </c>
      <c r="D537" s="7" t="s">
        <v>240</v>
      </c>
      <c r="E537" s="7" t="s">
        <v>215</v>
      </c>
      <c r="F537" s="8">
        <v>5.67</v>
      </c>
      <c r="G537" s="8">
        <v>207.55</v>
      </c>
      <c r="H537" s="7" t="s">
        <v>26</v>
      </c>
      <c r="I537" s="8">
        <f t="shared" si="16"/>
        <v>201.88000000000002</v>
      </c>
      <c r="J537" s="7" t="str">
        <f t="shared" si="17"/>
        <v>OK</v>
      </c>
    </row>
    <row r="538" spans="1:10" x14ac:dyDescent="0.3">
      <c r="A538" s="7">
        <v>85</v>
      </c>
      <c r="B538" s="7" t="s">
        <v>361</v>
      </c>
      <c r="C538" s="7">
        <v>800089</v>
      </c>
      <c r="D538" s="7" t="s">
        <v>241</v>
      </c>
      <c r="E538" s="7" t="s">
        <v>215</v>
      </c>
      <c r="F538" s="8">
        <v>5.67</v>
      </c>
      <c r="G538" s="8">
        <v>203.89</v>
      </c>
      <c r="H538" s="7" t="s">
        <v>26</v>
      </c>
      <c r="I538" s="8">
        <f t="shared" si="16"/>
        <v>198.22</v>
      </c>
      <c r="J538" s="7" t="str">
        <f t="shared" si="17"/>
        <v>OK</v>
      </c>
    </row>
    <row r="539" spans="1:10" x14ac:dyDescent="0.3">
      <c r="A539" s="7">
        <v>85</v>
      </c>
      <c r="B539" s="7" t="s">
        <v>361</v>
      </c>
      <c r="C539" s="7">
        <v>800791</v>
      </c>
      <c r="D539" s="7" t="s">
        <v>259</v>
      </c>
      <c r="E539" s="7" t="s">
        <v>243</v>
      </c>
      <c r="F539" s="8">
        <v>0.33</v>
      </c>
      <c r="G539" s="8">
        <v>349.82</v>
      </c>
      <c r="H539" s="7" t="s">
        <v>26</v>
      </c>
      <c r="I539" s="8">
        <f t="shared" si="16"/>
        <v>349.49</v>
      </c>
      <c r="J539" s="7" t="str">
        <f t="shared" si="17"/>
        <v>OK</v>
      </c>
    </row>
    <row r="540" spans="1:10" x14ac:dyDescent="0.3">
      <c r="A540" s="7">
        <v>85</v>
      </c>
      <c r="B540" s="7" t="s">
        <v>361</v>
      </c>
      <c r="C540" s="7">
        <v>925064</v>
      </c>
      <c r="D540" s="7" t="s">
        <v>263</v>
      </c>
      <c r="E540" s="7" t="s">
        <v>220</v>
      </c>
      <c r="F540" s="8">
        <v>16.670000000000002</v>
      </c>
      <c r="G540" s="8">
        <v>592.16999999999996</v>
      </c>
      <c r="H540" s="7" t="s">
        <v>26</v>
      </c>
      <c r="I540" s="8">
        <f t="shared" si="16"/>
        <v>575.5</v>
      </c>
      <c r="J540" s="7" t="str">
        <f t="shared" si="17"/>
        <v>OK</v>
      </c>
    </row>
    <row r="541" spans="1:10" x14ac:dyDescent="0.3">
      <c r="A541" s="7">
        <v>85</v>
      </c>
      <c r="B541" s="7" t="s">
        <v>361</v>
      </c>
      <c r="C541" s="7">
        <v>925078</v>
      </c>
      <c r="D541" s="7" t="s">
        <v>221</v>
      </c>
      <c r="E541" s="7" t="s">
        <v>220</v>
      </c>
      <c r="F541" s="8">
        <v>2</v>
      </c>
      <c r="G541" s="8">
        <v>53.19</v>
      </c>
      <c r="H541" s="7" t="s">
        <v>26</v>
      </c>
      <c r="I541" s="8">
        <f t="shared" si="16"/>
        <v>51.19</v>
      </c>
      <c r="J541" s="7" t="str">
        <f t="shared" si="17"/>
        <v>OK</v>
      </c>
    </row>
    <row r="542" spans="1:10" x14ac:dyDescent="0.3">
      <c r="A542" s="7">
        <v>85</v>
      </c>
      <c r="B542" s="7" t="s">
        <v>361</v>
      </c>
      <c r="C542" s="7">
        <v>925094</v>
      </c>
      <c r="D542" s="7" t="s">
        <v>298</v>
      </c>
      <c r="E542" s="7" t="s">
        <v>220</v>
      </c>
      <c r="F542" s="8">
        <v>2</v>
      </c>
      <c r="G542" s="8">
        <v>44.31</v>
      </c>
      <c r="H542" s="7" t="s">
        <v>26</v>
      </c>
      <c r="I542" s="8">
        <f t="shared" si="16"/>
        <v>42.31</v>
      </c>
      <c r="J542" s="7" t="str">
        <f t="shared" si="17"/>
        <v>OK</v>
      </c>
    </row>
    <row r="543" spans="1:10" x14ac:dyDescent="0.3">
      <c r="A543" s="7">
        <v>85</v>
      </c>
      <c r="B543" s="7" t="s">
        <v>361</v>
      </c>
      <c r="C543" s="7">
        <v>925095</v>
      </c>
      <c r="D543" s="7" t="s">
        <v>280</v>
      </c>
      <c r="E543" s="7" t="s">
        <v>220</v>
      </c>
      <c r="F543" s="8">
        <v>4</v>
      </c>
      <c r="G543" s="8">
        <v>127.65</v>
      </c>
      <c r="H543" s="7" t="s">
        <v>26</v>
      </c>
      <c r="I543" s="8">
        <f t="shared" si="16"/>
        <v>123.65</v>
      </c>
      <c r="J543" s="7" t="str">
        <f t="shared" si="17"/>
        <v>OK</v>
      </c>
    </row>
    <row r="544" spans="1:10" x14ac:dyDescent="0.3">
      <c r="A544" s="7">
        <v>85</v>
      </c>
      <c r="B544" s="7" t="s">
        <v>361</v>
      </c>
      <c r="C544" s="7">
        <v>930012</v>
      </c>
      <c r="D544" s="7" t="s">
        <v>264</v>
      </c>
      <c r="E544" s="7" t="s">
        <v>243</v>
      </c>
      <c r="F544" s="8">
        <v>2</v>
      </c>
      <c r="G544" s="8">
        <v>222.62</v>
      </c>
      <c r="H544" s="7" t="s">
        <v>26</v>
      </c>
      <c r="I544" s="8">
        <f t="shared" si="16"/>
        <v>220.62</v>
      </c>
      <c r="J544" s="7" t="str">
        <f t="shared" si="17"/>
        <v>OK</v>
      </c>
    </row>
    <row r="545" spans="1:10" x14ac:dyDescent="0.3">
      <c r="A545" s="7">
        <v>85</v>
      </c>
      <c r="B545" s="7" t="s">
        <v>361</v>
      </c>
      <c r="C545" s="7">
        <v>930020</v>
      </c>
      <c r="D545" s="7" t="s">
        <v>299</v>
      </c>
      <c r="E545" s="7" t="s">
        <v>243</v>
      </c>
      <c r="F545" s="8">
        <v>1.33</v>
      </c>
      <c r="G545" s="8">
        <v>23.8</v>
      </c>
      <c r="H545" s="7" t="s">
        <v>26</v>
      </c>
      <c r="I545" s="8">
        <f t="shared" si="16"/>
        <v>22.47</v>
      </c>
      <c r="J545" s="7" t="str">
        <f t="shared" si="17"/>
        <v>OK</v>
      </c>
    </row>
    <row r="546" spans="1:10" x14ac:dyDescent="0.3">
      <c r="A546" s="7">
        <v>85</v>
      </c>
      <c r="B546" s="7" t="s">
        <v>361</v>
      </c>
      <c r="C546" s="7">
        <v>930021</v>
      </c>
      <c r="D546" s="7" t="s">
        <v>300</v>
      </c>
      <c r="E546" s="7" t="s">
        <v>243</v>
      </c>
      <c r="F546" s="8">
        <v>1.33</v>
      </c>
      <c r="G546" s="8">
        <v>73.069999999999993</v>
      </c>
      <c r="H546" s="7" t="s">
        <v>26</v>
      </c>
      <c r="I546" s="8">
        <f t="shared" si="16"/>
        <v>71.739999999999995</v>
      </c>
      <c r="J546" s="7" t="str">
        <f t="shared" si="17"/>
        <v>OK</v>
      </c>
    </row>
    <row r="547" spans="1:10" x14ac:dyDescent="0.3">
      <c r="A547" s="7">
        <v>85</v>
      </c>
      <c r="B547" s="7" t="s">
        <v>361</v>
      </c>
      <c r="C547" s="7">
        <v>930022</v>
      </c>
      <c r="D547" s="7" t="s">
        <v>265</v>
      </c>
      <c r="E547" s="7" t="s">
        <v>243</v>
      </c>
      <c r="F547" s="8">
        <v>0.67</v>
      </c>
      <c r="G547" s="8">
        <v>83.27</v>
      </c>
      <c r="H547" s="7" t="s">
        <v>26</v>
      </c>
      <c r="I547" s="8">
        <f t="shared" si="16"/>
        <v>82.6</v>
      </c>
      <c r="J547" s="7" t="str">
        <f t="shared" si="17"/>
        <v>OK</v>
      </c>
    </row>
    <row r="548" spans="1:10" x14ac:dyDescent="0.3">
      <c r="A548" s="7">
        <v>85</v>
      </c>
      <c r="B548" s="7" t="s">
        <v>361</v>
      </c>
      <c r="C548" s="7">
        <v>930025</v>
      </c>
      <c r="D548" s="7" t="s">
        <v>244</v>
      </c>
      <c r="E548" s="7" t="s">
        <v>243</v>
      </c>
      <c r="F548" s="8">
        <v>1.33</v>
      </c>
      <c r="G548" s="8">
        <v>245.87</v>
      </c>
      <c r="H548" s="7" t="s">
        <v>26</v>
      </c>
      <c r="I548" s="8">
        <f t="shared" si="16"/>
        <v>244.54</v>
      </c>
      <c r="J548" s="7" t="str">
        <f t="shared" si="17"/>
        <v>OK</v>
      </c>
    </row>
    <row r="549" spans="1:10" x14ac:dyDescent="0.3">
      <c r="A549" s="7">
        <v>85</v>
      </c>
      <c r="B549" s="7" t="s">
        <v>361</v>
      </c>
      <c r="C549" s="7">
        <v>930112</v>
      </c>
      <c r="D549" s="7" t="s">
        <v>310</v>
      </c>
      <c r="E549" s="7" t="s">
        <v>243</v>
      </c>
      <c r="F549" s="8">
        <v>0.67</v>
      </c>
      <c r="G549" s="8">
        <v>19.53</v>
      </c>
      <c r="H549" s="7" t="s">
        <v>26</v>
      </c>
      <c r="I549" s="8">
        <f t="shared" si="16"/>
        <v>18.86</v>
      </c>
      <c r="J549" s="7" t="str">
        <f t="shared" si="17"/>
        <v>OK</v>
      </c>
    </row>
    <row r="550" spans="1:10" x14ac:dyDescent="0.3">
      <c r="A550" s="7">
        <v>85</v>
      </c>
      <c r="B550" s="7" t="s">
        <v>361</v>
      </c>
      <c r="C550" s="7">
        <v>930113</v>
      </c>
      <c r="D550" s="7" t="s">
        <v>303</v>
      </c>
      <c r="E550" s="7" t="s">
        <v>243</v>
      </c>
      <c r="F550" s="8">
        <v>0.33</v>
      </c>
      <c r="G550" s="8">
        <v>6.51</v>
      </c>
      <c r="H550" s="7" t="s">
        <v>26</v>
      </c>
      <c r="I550" s="8">
        <f t="shared" si="16"/>
        <v>6.18</v>
      </c>
      <c r="J550" s="7" t="str">
        <f t="shared" si="17"/>
        <v>OK</v>
      </c>
    </row>
    <row r="551" spans="1:10" x14ac:dyDescent="0.3">
      <c r="A551" s="7">
        <v>86</v>
      </c>
      <c r="B551" s="7" t="s">
        <v>362</v>
      </c>
      <c r="C551" s="7">
        <v>101005</v>
      </c>
      <c r="D551" s="7" t="s">
        <v>232</v>
      </c>
      <c r="E551" s="7" t="s">
        <v>215</v>
      </c>
      <c r="F551" s="8">
        <v>8</v>
      </c>
      <c r="G551" s="8">
        <v>0</v>
      </c>
      <c r="H551" s="7" t="s">
        <v>75</v>
      </c>
      <c r="I551" s="8">
        <f t="shared" si="16"/>
        <v>0</v>
      </c>
      <c r="J551" s="7" t="str">
        <f t="shared" si="17"/>
        <v>Sin fila previa</v>
      </c>
    </row>
    <row r="552" spans="1:10" x14ac:dyDescent="0.3">
      <c r="A552" s="7">
        <v>86</v>
      </c>
      <c r="B552" s="7" t="s">
        <v>362</v>
      </c>
      <c r="C552" s="7">
        <v>101026</v>
      </c>
      <c r="D552" s="7" t="s">
        <v>233</v>
      </c>
      <c r="E552" s="7" t="s">
        <v>215</v>
      </c>
      <c r="F552" s="8">
        <v>4</v>
      </c>
      <c r="G552" s="8">
        <v>0</v>
      </c>
      <c r="H552" s="7" t="s">
        <v>75</v>
      </c>
      <c r="I552" s="8">
        <f t="shared" si="16"/>
        <v>0</v>
      </c>
      <c r="J552" s="7" t="str">
        <f t="shared" si="17"/>
        <v>Sin fila previa</v>
      </c>
    </row>
    <row r="553" spans="1:10" x14ac:dyDescent="0.3">
      <c r="A553" s="7">
        <v>86</v>
      </c>
      <c r="B553" s="7" t="s">
        <v>362</v>
      </c>
      <c r="C553" s="7">
        <v>101027</v>
      </c>
      <c r="D553" s="7" t="s">
        <v>234</v>
      </c>
      <c r="E553" s="7" t="s">
        <v>215</v>
      </c>
      <c r="F553" s="8">
        <v>8</v>
      </c>
      <c r="G553" s="8">
        <v>0</v>
      </c>
      <c r="H553" s="7" t="s">
        <v>75</v>
      </c>
      <c r="I553" s="8">
        <f t="shared" si="16"/>
        <v>0</v>
      </c>
      <c r="J553" s="7" t="str">
        <f t="shared" si="17"/>
        <v>Sin fila previa</v>
      </c>
    </row>
    <row r="554" spans="1:10" x14ac:dyDescent="0.3">
      <c r="A554" s="7">
        <v>86</v>
      </c>
      <c r="B554" s="7" t="s">
        <v>362</v>
      </c>
      <c r="C554" s="7">
        <v>101028</v>
      </c>
      <c r="D554" s="7" t="s">
        <v>214</v>
      </c>
      <c r="E554" s="7" t="s">
        <v>215</v>
      </c>
      <c r="F554" s="8">
        <v>16</v>
      </c>
      <c r="G554" s="8">
        <v>0</v>
      </c>
      <c r="H554" s="7" t="s">
        <v>75</v>
      </c>
      <c r="I554" s="8">
        <f t="shared" si="16"/>
        <v>0</v>
      </c>
      <c r="J554" s="7" t="str">
        <f t="shared" si="17"/>
        <v>Sin fila previa</v>
      </c>
    </row>
    <row r="555" spans="1:10" x14ac:dyDescent="0.3">
      <c r="A555" s="7">
        <v>86</v>
      </c>
      <c r="B555" s="7" t="s">
        <v>362</v>
      </c>
      <c r="C555" s="7">
        <v>101038</v>
      </c>
      <c r="D555" s="7" t="s">
        <v>235</v>
      </c>
      <c r="E555" s="7" t="s">
        <v>215</v>
      </c>
      <c r="F555" s="8">
        <v>40</v>
      </c>
      <c r="G555" s="8">
        <v>0</v>
      </c>
      <c r="H555" s="7" t="s">
        <v>75</v>
      </c>
      <c r="I555" s="8">
        <f t="shared" si="16"/>
        <v>0</v>
      </c>
      <c r="J555" s="7" t="str">
        <f t="shared" si="17"/>
        <v>Sin fila previa</v>
      </c>
    </row>
    <row r="556" spans="1:10" x14ac:dyDescent="0.3">
      <c r="A556" s="7">
        <v>86</v>
      </c>
      <c r="B556" s="7" t="s">
        <v>362</v>
      </c>
      <c r="C556" s="7">
        <v>101072</v>
      </c>
      <c r="D556" s="7" t="s">
        <v>273</v>
      </c>
      <c r="E556" s="7" t="s">
        <v>215</v>
      </c>
      <c r="F556" s="8">
        <v>8</v>
      </c>
      <c r="G556" s="8">
        <v>0</v>
      </c>
      <c r="H556" s="7" t="s">
        <v>75</v>
      </c>
      <c r="I556" s="8">
        <f t="shared" si="16"/>
        <v>0</v>
      </c>
      <c r="J556" s="7" t="str">
        <f t="shared" si="17"/>
        <v>Sin fila previa</v>
      </c>
    </row>
    <row r="557" spans="1:10" x14ac:dyDescent="0.3">
      <c r="A557" s="7">
        <v>86</v>
      </c>
      <c r="B557" s="7" t="s">
        <v>362</v>
      </c>
      <c r="C557" s="7">
        <v>101130</v>
      </c>
      <c r="D557" s="7" t="s">
        <v>247</v>
      </c>
      <c r="E557" s="7" t="s">
        <v>215</v>
      </c>
      <c r="F557" s="8">
        <v>4</v>
      </c>
      <c r="G557" s="8">
        <v>0</v>
      </c>
      <c r="H557" s="7" t="s">
        <v>75</v>
      </c>
      <c r="I557" s="8">
        <f t="shared" si="16"/>
        <v>0</v>
      </c>
      <c r="J557" s="7" t="str">
        <f t="shared" si="17"/>
        <v>Sin fila previa</v>
      </c>
    </row>
    <row r="558" spans="1:10" x14ac:dyDescent="0.3">
      <c r="A558" s="7">
        <v>86</v>
      </c>
      <c r="B558" s="7" t="s">
        <v>362</v>
      </c>
      <c r="C558" s="7">
        <v>201001</v>
      </c>
      <c r="D558" s="7" t="s">
        <v>216</v>
      </c>
      <c r="E558" s="7" t="s">
        <v>217</v>
      </c>
      <c r="F558" s="8">
        <v>83.33</v>
      </c>
      <c r="G558" s="8">
        <v>0</v>
      </c>
      <c r="H558" s="7" t="s">
        <v>75</v>
      </c>
      <c r="I558" s="8">
        <f t="shared" si="16"/>
        <v>0</v>
      </c>
      <c r="J558" s="7" t="str">
        <f t="shared" si="17"/>
        <v>Sin fila previa</v>
      </c>
    </row>
    <row r="559" spans="1:10" x14ac:dyDescent="0.3">
      <c r="A559" s="7">
        <v>86</v>
      </c>
      <c r="B559" s="7" t="s">
        <v>362</v>
      </c>
      <c r="C559" s="7">
        <v>501000</v>
      </c>
      <c r="D559" s="7" t="s">
        <v>237</v>
      </c>
      <c r="E559" s="7" t="s">
        <v>217</v>
      </c>
      <c r="F559" s="8">
        <v>14.67</v>
      </c>
      <c r="G559" s="8">
        <v>0</v>
      </c>
      <c r="H559" s="7" t="s">
        <v>75</v>
      </c>
      <c r="I559" s="8">
        <f t="shared" si="16"/>
        <v>0</v>
      </c>
      <c r="J559" s="7" t="str">
        <f t="shared" si="17"/>
        <v>Sin fila previa</v>
      </c>
    </row>
    <row r="560" spans="1:10" x14ac:dyDescent="0.3">
      <c r="A560" s="7">
        <v>86</v>
      </c>
      <c r="B560" s="7" t="s">
        <v>362</v>
      </c>
      <c r="C560" s="7">
        <v>611053</v>
      </c>
      <c r="D560" s="7" t="s">
        <v>253</v>
      </c>
      <c r="E560" s="7" t="s">
        <v>217</v>
      </c>
      <c r="F560" s="8">
        <v>48</v>
      </c>
      <c r="G560" s="8">
        <v>0</v>
      </c>
      <c r="H560" s="7" t="s">
        <v>75</v>
      </c>
      <c r="I560" s="8">
        <f t="shared" si="16"/>
        <v>0</v>
      </c>
      <c r="J560" s="7" t="str">
        <f t="shared" si="17"/>
        <v>Sin fila previa</v>
      </c>
    </row>
    <row r="561" spans="1:10" x14ac:dyDescent="0.3">
      <c r="A561" s="7">
        <v>86</v>
      </c>
      <c r="B561" s="7" t="s">
        <v>362</v>
      </c>
      <c r="C561" s="7">
        <v>621045</v>
      </c>
      <c r="D561" s="7" t="s">
        <v>238</v>
      </c>
      <c r="E561" s="7" t="s">
        <v>239</v>
      </c>
      <c r="F561" s="8">
        <v>4</v>
      </c>
      <c r="G561" s="8">
        <v>0</v>
      </c>
      <c r="H561" s="7" t="s">
        <v>75</v>
      </c>
      <c r="I561" s="8">
        <f t="shared" si="16"/>
        <v>0</v>
      </c>
      <c r="J561" s="7" t="str">
        <f t="shared" si="17"/>
        <v>Sin fila previa</v>
      </c>
    </row>
    <row r="562" spans="1:10" x14ac:dyDescent="0.3">
      <c r="A562" s="7">
        <v>86</v>
      </c>
      <c r="B562" s="7" t="s">
        <v>362</v>
      </c>
      <c r="C562" s="7">
        <v>800088</v>
      </c>
      <c r="D562" s="7" t="s">
        <v>240</v>
      </c>
      <c r="E562" s="7" t="s">
        <v>215</v>
      </c>
      <c r="F562" s="8">
        <v>17.329999999999998</v>
      </c>
      <c r="G562" s="8">
        <v>0</v>
      </c>
      <c r="H562" s="7" t="s">
        <v>75</v>
      </c>
      <c r="I562" s="8">
        <f t="shared" si="16"/>
        <v>0</v>
      </c>
      <c r="J562" s="7" t="str">
        <f t="shared" si="17"/>
        <v>Sin fila previa</v>
      </c>
    </row>
    <row r="563" spans="1:10" x14ac:dyDescent="0.3">
      <c r="A563" s="7">
        <v>86</v>
      </c>
      <c r="B563" s="7" t="s">
        <v>362</v>
      </c>
      <c r="C563" s="7">
        <v>800089</v>
      </c>
      <c r="D563" s="7" t="s">
        <v>241</v>
      </c>
      <c r="E563" s="7" t="s">
        <v>215</v>
      </c>
      <c r="F563" s="8">
        <v>27.67</v>
      </c>
      <c r="G563" s="8">
        <v>0</v>
      </c>
      <c r="H563" s="7" t="s">
        <v>75</v>
      </c>
      <c r="I563" s="8">
        <f t="shared" si="16"/>
        <v>0</v>
      </c>
      <c r="J563" s="7" t="str">
        <f t="shared" si="17"/>
        <v>Sin fila previa</v>
      </c>
    </row>
    <row r="564" spans="1:10" x14ac:dyDescent="0.3">
      <c r="A564" s="7">
        <v>86</v>
      </c>
      <c r="B564" s="7" t="s">
        <v>362</v>
      </c>
      <c r="C564" s="7">
        <v>930137</v>
      </c>
      <c r="D564" s="7" t="s">
        <v>311</v>
      </c>
      <c r="E564" s="7" t="s">
        <v>243</v>
      </c>
      <c r="F564" s="8">
        <v>4</v>
      </c>
      <c r="G564" s="8">
        <v>0</v>
      </c>
      <c r="H564" s="7" t="s">
        <v>75</v>
      </c>
      <c r="I564" s="8">
        <f t="shared" si="16"/>
        <v>0</v>
      </c>
      <c r="J564" s="7" t="str">
        <f t="shared" si="17"/>
        <v>Sin fila previa</v>
      </c>
    </row>
    <row r="565" spans="1:10" x14ac:dyDescent="0.3">
      <c r="A565" s="7">
        <v>86</v>
      </c>
      <c r="B565" s="7" t="s">
        <v>362</v>
      </c>
      <c r="C565" s="7">
        <v>930138</v>
      </c>
      <c r="D565" s="7" t="s">
        <v>312</v>
      </c>
      <c r="E565" s="7" t="s">
        <v>243</v>
      </c>
      <c r="F565" s="8">
        <v>2</v>
      </c>
      <c r="G565" s="8">
        <v>0</v>
      </c>
      <c r="H565" s="7" t="s">
        <v>75</v>
      </c>
      <c r="I565" s="8">
        <f t="shared" si="16"/>
        <v>0</v>
      </c>
      <c r="J565" s="7" t="str">
        <f t="shared" si="17"/>
        <v>Sin fila previa</v>
      </c>
    </row>
    <row r="566" spans="1:10" x14ac:dyDescent="0.3">
      <c r="A566" s="7">
        <v>86</v>
      </c>
      <c r="B566" s="7" t="s">
        <v>362</v>
      </c>
      <c r="C566" s="7">
        <v>930140</v>
      </c>
      <c r="D566" s="7" t="s">
        <v>314</v>
      </c>
      <c r="E566" s="7" t="s">
        <v>243</v>
      </c>
      <c r="F566" s="8">
        <v>2</v>
      </c>
      <c r="G566" s="8">
        <v>0</v>
      </c>
      <c r="H566" s="7" t="s">
        <v>75</v>
      </c>
      <c r="I566" s="8">
        <f t="shared" si="16"/>
        <v>0</v>
      </c>
      <c r="J566" s="7" t="str">
        <f t="shared" si="17"/>
        <v>Sin fila previa</v>
      </c>
    </row>
    <row r="567" spans="1:10" x14ac:dyDescent="0.3">
      <c r="A567" s="7">
        <v>86</v>
      </c>
      <c r="B567" s="7" t="s">
        <v>362</v>
      </c>
      <c r="C567" s="7">
        <v>930144</v>
      </c>
      <c r="D567" s="7" t="s">
        <v>315</v>
      </c>
      <c r="E567" s="7" t="s">
        <v>243</v>
      </c>
      <c r="F567" s="8">
        <v>2</v>
      </c>
      <c r="G567" s="8">
        <v>0</v>
      </c>
      <c r="H567" s="7" t="s">
        <v>75</v>
      </c>
      <c r="I567" s="8">
        <f t="shared" si="16"/>
        <v>0</v>
      </c>
      <c r="J567" s="7" t="str">
        <f t="shared" si="17"/>
        <v>Sin fila previa</v>
      </c>
    </row>
    <row r="568" spans="1:10" x14ac:dyDescent="0.3">
      <c r="A568" s="7">
        <v>86</v>
      </c>
      <c r="B568" s="7" t="s">
        <v>362</v>
      </c>
      <c r="C568" s="7">
        <v>930145</v>
      </c>
      <c r="D568" s="7" t="s">
        <v>316</v>
      </c>
      <c r="E568" s="7" t="s">
        <v>243</v>
      </c>
      <c r="F568" s="8">
        <v>2</v>
      </c>
      <c r="G568" s="8">
        <v>0</v>
      </c>
      <c r="H568" s="7" t="s">
        <v>75</v>
      </c>
      <c r="I568" s="8">
        <f t="shared" si="16"/>
        <v>0</v>
      </c>
      <c r="J568" s="7" t="str">
        <f t="shared" si="17"/>
        <v>Sin fila previa</v>
      </c>
    </row>
    <row r="569" spans="1:10" x14ac:dyDescent="0.3">
      <c r="A569" s="7">
        <v>86</v>
      </c>
      <c r="B569" s="7" t="s">
        <v>362</v>
      </c>
      <c r="C569" s="7">
        <v>930178</v>
      </c>
      <c r="D569" s="7" t="s">
        <v>267</v>
      </c>
      <c r="E569" s="7" t="s">
        <v>243</v>
      </c>
      <c r="F569" s="8">
        <v>1</v>
      </c>
      <c r="G569" s="8">
        <v>0</v>
      </c>
      <c r="H569" s="7" t="s">
        <v>75</v>
      </c>
      <c r="I569" s="8">
        <f t="shared" si="16"/>
        <v>0</v>
      </c>
      <c r="J569" s="7" t="str">
        <f t="shared" si="17"/>
        <v>Sin fila previa</v>
      </c>
    </row>
    <row r="570" spans="1:10" x14ac:dyDescent="0.3">
      <c r="A570" s="7">
        <v>86</v>
      </c>
      <c r="B570" s="7" t="s">
        <v>362</v>
      </c>
      <c r="C570" s="7">
        <v>960102</v>
      </c>
      <c r="D570" s="7" t="s">
        <v>363</v>
      </c>
      <c r="E570" s="7" t="s">
        <v>306</v>
      </c>
      <c r="F570" s="8">
        <v>16.670000000000002</v>
      </c>
      <c r="G570" s="8">
        <v>0</v>
      </c>
      <c r="H570" s="7" t="s">
        <v>75</v>
      </c>
      <c r="I570" s="8">
        <f t="shared" si="16"/>
        <v>0</v>
      </c>
      <c r="J570" s="7" t="str">
        <f t="shared" si="17"/>
        <v>Sin fila previa</v>
      </c>
    </row>
    <row r="571" spans="1:10" x14ac:dyDescent="0.3">
      <c r="A571" s="7">
        <v>86</v>
      </c>
      <c r="B571" s="7" t="s">
        <v>362</v>
      </c>
      <c r="C571" s="7">
        <v>982005</v>
      </c>
      <c r="D571" s="7" t="s">
        <v>285</v>
      </c>
      <c r="E571" s="7" t="s">
        <v>270</v>
      </c>
      <c r="F571" s="8">
        <v>10.33</v>
      </c>
      <c r="G571" s="8">
        <v>0</v>
      </c>
      <c r="H571" s="7" t="s">
        <v>75</v>
      </c>
      <c r="I571" s="8">
        <f t="shared" si="16"/>
        <v>0</v>
      </c>
      <c r="J571" s="7" t="str">
        <f t="shared" si="17"/>
        <v>Sin fila previa</v>
      </c>
    </row>
    <row r="572" spans="1:10" x14ac:dyDescent="0.3">
      <c r="A572" s="7">
        <v>91</v>
      </c>
      <c r="B572" s="7" t="s">
        <v>364</v>
      </c>
      <c r="C572" s="7">
        <v>101005</v>
      </c>
      <c r="D572" s="7" t="s">
        <v>232</v>
      </c>
      <c r="E572" s="7" t="s">
        <v>215</v>
      </c>
      <c r="F572" s="8">
        <v>70</v>
      </c>
      <c r="G572" s="8">
        <v>163.93</v>
      </c>
      <c r="H572" s="7" t="s">
        <v>26</v>
      </c>
      <c r="I572" s="8">
        <f t="shared" si="16"/>
        <v>93.93</v>
      </c>
      <c r="J572" s="7" t="str">
        <f t="shared" si="17"/>
        <v>OK</v>
      </c>
    </row>
    <row r="573" spans="1:10" x14ac:dyDescent="0.3">
      <c r="A573" s="7">
        <v>91</v>
      </c>
      <c r="B573" s="7" t="s">
        <v>364</v>
      </c>
      <c r="C573" s="7">
        <v>101026</v>
      </c>
      <c r="D573" s="7" t="s">
        <v>233</v>
      </c>
      <c r="E573" s="7" t="s">
        <v>215</v>
      </c>
      <c r="F573" s="8">
        <v>90</v>
      </c>
      <c r="G573" s="8">
        <v>138.78</v>
      </c>
      <c r="H573" s="7" t="s">
        <v>26</v>
      </c>
      <c r="I573" s="8">
        <f t="shared" si="16"/>
        <v>48.78</v>
      </c>
      <c r="J573" s="7" t="str">
        <f t="shared" si="17"/>
        <v>OK</v>
      </c>
    </row>
    <row r="574" spans="1:10" x14ac:dyDescent="0.3">
      <c r="A574" s="7">
        <v>91</v>
      </c>
      <c r="B574" s="7" t="s">
        <v>364</v>
      </c>
      <c r="C574" s="7">
        <v>101027</v>
      </c>
      <c r="D574" s="7" t="s">
        <v>234</v>
      </c>
      <c r="E574" s="7" t="s">
        <v>215</v>
      </c>
      <c r="F574" s="8">
        <v>52</v>
      </c>
      <c r="G574" s="8">
        <v>136.79</v>
      </c>
      <c r="H574" s="7" t="s">
        <v>26</v>
      </c>
      <c r="I574" s="8">
        <f t="shared" si="16"/>
        <v>84.789999999999992</v>
      </c>
      <c r="J574" s="7" t="str">
        <f t="shared" si="17"/>
        <v>OK</v>
      </c>
    </row>
    <row r="575" spans="1:10" x14ac:dyDescent="0.3">
      <c r="A575" s="7">
        <v>91</v>
      </c>
      <c r="B575" s="7" t="s">
        <v>364</v>
      </c>
      <c r="C575" s="7">
        <v>101028</v>
      </c>
      <c r="D575" s="7" t="s">
        <v>214</v>
      </c>
      <c r="E575" s="7" t="s">
        <v>215</v>
      </c>
      <c r="F575" s="8">
        <v>133</v>
      </c>
      <c r="G575" s="8">
        <v>287.16000000000003</v>
      </c>
      <c r="H575" s="7" t="s">
        <v>26</v>
      </c>
      <c r="I575" s="8">
        <f t="shared" si="16"/>
        <v>154.16000000000003</v>
      </c>
      <c r="J575" s="7" t="str">
        <f t="shared" si="17"/>
        <v>OK</v>
      </c>
    </row>
    <row r="576" spans="1:10" x14ac:dyDescent="0.3">
      <c r="A576" s="7">
        <v>91</v>
      </c>
      <c r="B576" s="7" t="s">
        <v>364</v>
      </c>
      <c r="C576" s="7">
        <v>101034</v>
      </c>
      <c r="D576" s="7" t="s">
        <v>272</v>
      </c>
      <c r="E576" s="7" t="s">
        <v>215</v>
      </c>
      <c r="F576" s="8">
        <v>3.33</v>
      </c>
      <c r="G576" s="8">
        <v>101.29</v>
      </c>
      <c r="H576" s="7" t="s">
        <v>26</v>
      </c>
      <c r="I576" s="8">
        <f t="shared" si="16"/>
        <v>97.960000000000008</v>
      </c>
      <c r="J576" s="7" t="str">
        <f t="shared" si="17"/>
        <v>OK</v>
      </c>
    </row>
    <row r="577" spans="1:10" x14ac:dyDescent="0.3">
      <c r="A577" s="7">
        <v>91</v>
      </c>
      <c r="B577" s="7" t="s">
        <v>364</v>
      </c>
      <c r="C577" s="7">
        <v>101038</v>
      </c>
      <c r="D577" s="7" t="s">
        <v>235</v>
      </c>
      <c r="E577" s="7" t="s">
        <v>215</v>
      </c>
      <c r="F577" s="8">
        <v>12</v>
      </c>
      <c r="G577" s="8">
        <v>358.18</v>
      </c>
      <c r="H577" s="7" t="s">
        <v>26</v>
      </c>
      <c r="I577" s="8">
        <f t="shared" si="16"/>
        <v>346.18</v>
      </c>
      <c r="J577" s="7" t="str">
        <f t="shared" si="17"/>
        <v>OK</v>
      </c>
    </row>
    <row r="578" spans="1:10" x14ac:dyDescent="0.3">
      <c r="A578" s="7">
        <v>91</v>
      </c>
      <c r="B578" s="7" t="s">
        <v>364</v>
      </c>
      <c r="C578" s="7">
        <v>101072</v>
      </c>
      <c r="D578" s="7" t="s">
        <v>273</v>
      </c>
      <c r="E578" s="7" t="s">
        <v>215</v>
      </c>
      <c r="F578" s="8">
        <v>8</v>
      </c>
      <c r="G578" s="8">
        <v>332.21</v>
      </c>
      <c r="H578" s="7" t="s">
        <v>26</v>
      </c>
      <c r="I578" s="8">
        <f t="shared" ref="I578:I641" si="18">MAX(0,G578-F578)</f>
        <v>324.20999999999998</v>
      </c>
      <c r="J578" s="7" t="str">
        <f t="shared" ref="J578:J641" si="19">IF(H578="No","Sin fila previa",IF(G578&lt;F578,"Queda en 0","OK"))</f>
        <v>OK</v>
      </c>
    </row>
    <row r="579" spans="1:10" x14ac:dyDescent="0.3">
      <c r="A579" s="7">
        <v>91</v>
      </c>
      <c r="B579" s="7" t="s">
        <v>364</v>
      </c>
      <c r="C579" s="7">
        <v>101130</v>
      </c>
      <c r="D579" s="7" t="s">
        <v>247</v>
      </c>
      <c r="E579" s="7" t="s">
        <v>215</v>
      </c>
      <c r="F579" s="8">
        <v>9.33</v>
      </c>
      <c r="G579" s="8">
        <v>0</v>
      </c>
      <c r="H579" s="7" t="s">
        <v>26</v>
      </c>
      <c r="I579" s="8">
        <f t="shared" si="18"/>
        <v>0</v>
      </c>
      <c r="J579" s="7" t="str">
        <f t="shared" si="19"/>
        <v>Queda en 0</v>
      </c>
    </row>
    <row r="580" spans="1:10" x14ac:dyDescent="0.3">
      <c r="A580" s="7">
        <v>91</v>
      </c>
      <c r="B580" s="7" t="s">
        <v>364</v>
      </c>
      <c r="C580" s="7">
        <v>101145</v>
      </c>
      <c r="D580" s="7" t="s">
        <v>275</v>
      </c>
      <c r="E580" s="7" t="s">
        <v>215</v>
      </c>
      <c r="F580" s="8">
        <v>8</v>
      </c>
      <c r="G580" s="8">
        <v>0</v>
      </c>
      <c r="H580" s="7" t="s">
        <v>26</v>
      </c>
      <c r="I580" s="8">
        <f t="shared" si="18"/>
        <v>0</v>
      </c>
      <c r="J580" s="7" t="str">
        <f t="shared" si="19"/>
        <v>Queda en 0</v>
      </c>
    </row>
    <row r="581" spans="1:10" x14ac:dyDescent="0.3">
      <c r="A581" s="7">
        <v>91</v>
      </c>
      <c r="B581" s="7" t="s">
        <v>364</v>
      </c>
      <c r="C581" s="7">
        <v>103001</v>
      </c>
      <c r="D581" s="7" t="s">
        <v>248</v>
      </c>
      <c r="E581" s="7" t="s">
        <v>215</v>
      </c>
      <c r="F581" s="8">
        <v>37.33</v>
      </c>
      <c r="G581" s="8">
        <v>1928.86</v>
      </c>
      <c r="H581" s="7" t="s">
        <v>26</v>
      </c>
      <c r="I581" s="8">
        <f t="shared" si="18"/>
        <v>1891.53</v>
      </c>
      <c r="J581" s="7" t="str">
        <f t="shared" si="19"/>
        <v>OK</v>
      </c>
    </row>
    <row r="582" spans="1:10" x14ac:dyDescent="0.3">
      <c r="A582" s="7">
        <v>91</v>
      </c>
      <c r="B582" s="7" t="s">
        <v>364</v>
      </c>
      <c r="C582" s="7">
        <v>201001</v>
      </c>
      <c r="D582" s="7" t="s">
        <v>216</v>
      </c>
      <c r="E582" s="7" t="s">
        <v>217</v>
      </c>
      <c r="F582" s="8">
        <v>81</v>
      </c>
      <c r="G582" s="8">
        <v>464.99</v>
      </c>
      <c r="H582" s="7" t="s">
        <v>26</v>
      </c>
      <c r="I582" s="8">
        <f t="shared" si="18"/>
        <v>383.99</v>
      </c>
      <c r="J582" s="7" t="str">
        <f t="shared" si="19"/>
        <v>OK</v>
      </c>
    </row>
    <row r="583" spans="1:10" x14ac:dyDescent="0.3">
      <c r="A583" s="7">
        <v>91</v>
      </c>
      <c r="B583" s="7" t="s">
        <v>364</v>
      </c>
      <c r="C583" s="7">
        <v>501000</v>
      </c>
      <c r="D583" s="7" t="s">
        <v>237</v>
      </c>
      <c r="E583" s="7" t="s">
        <v>217</v>
      </c>
      <c r="F583" s="8">
        <v>4</v>
      </c>
      <c r="G583" s="8">
        <v>246.32</v>
      </c>
      <c r="H583" s="7" t="s">
        <v>26</v>
      </c>
      <c r="I583" s="8">
        <f t="shared" si="18"/>
        <v>242.32</v>
      </c>
      <c r="J583" s="7" t="str">
        <f t="shared" si="19"/>
        <v>OK</v>
      </c>
    </row>
    <row r="584" spans="1:10" x14ac:dyDescent="0.3">
      <c r="A584" s="7">
        <v>91</v>
      </c>
      <c r="B584" s="7" t="s">
        <v>364</v>
      </c>
      <c r="C584" s="7">
        <v>611049</v>
      </c>
      <c r="D584" s="7" t="s">
        <v>251</v>
      </c>
      <c r="E584" s="7" t="s">
        <v>217</v>
      </c>
      <c r="F584" s="8">
        <v>24.33</v>
      </c>
      <c r="G584" s="8">
        <v>146.62</v>
      </c>
      <c r="H584" s="7" t="s">
        <v>26</v>
      </c>
      <c r="I584" s="8">
        <f t="shared" si="18"/>
        <v>122.29</v>
      </c>
      <c r="J584" s="7" t="str">
        <f t="shared" si="19"/>
        <v>OK</v>
      </c>
    </row>
    <row r="585" spans="1:10" x14ac:dyDescent="0.3">
      <c r="A585" s="7">
        <v>91</v>
      </c>
      <c r="B585" s="7" t="s">
        <v>364</v>
      </c>
      <c r="C585" s="7">
        <v>611053</v>
      </c>
      <c r="D585" s="7" t="s">
        <v>253</v>
      </c>
      <c r="E585" s="7" t="s">
        <v>217</v>
      </c>
      <c r="F585" s="8">
        <v>32</v>
      </c>
      <c r="G585" s="8">
        <v>343.77</v>
      </c>
      <c r="H585" s="7" t="s">
        <v>26</v>
      </c>
      <c r="I585" s="8">
        <f t="shared" si="18"/>
        <v>311.77</v>
      </c>
      <c r="J585" s="7" t="str">
        <f t="shared" si="19"/>
        <v>OK</v>
      </c>
    </row>
    <row r="586" spans="1:10" x14ac:dyDescent="0.3">
      <c r="A586" s="7">
        <v>91</v>
      </c>
      <c r="B586" s="7" t="s">
        <v>364</v>
      </c>
      <c r="C586" s="7">
        <v>611055</v>
      </c>
      <c r="D586" s="7" t="s">
        <v>254</v>
      </c>
      <c r="E586" s="7" t="s">
        <v>217</v>
      </c>
      <c r="F586" s="8">
        <v>10.67</v>
      </c>
      <c r="G586" s="8">
        <v>77.11</v>
      </c>
      <c r="H586" s="7" t="s">
        <v>26</v>
      </c>
      <c r="I586" s="8">
        <f t="shared" si="18"/>
        <v>66.44</v>
      </c>
      <c r="J586" s="7" t="str">
        <f t="shared" si="19"/>
        <v>OK</v>
      </c>
    </row>
    <row r="587" spans="1:10" x14ac:dyDescent="0.3">
      <c r="A587" s="7">
        <v>91</v>
      </c>
      <c r="B587" s="7" t="s">
        <v>364</v>
      </c>
      <c r="C587" s="7">
        <v>621004</v>
      </c>
      <c r="D587" s="7" t="s">
        <v>256</v>
      </c>
      <c r="E587" s="7" t="s">
        <v>239</v>
      </c>
      <c r="F587" s="8">
        <v>2</v>
      </c>
      <c r="G587" s="8">
        <v>34.18</v>
      </c>
      <c r="H587" s="7" t="s">
        <v>26</v>
      </c>
      <c r="I587" s="8">
        <f t="shared" si="18"/>
        <v>32.18</v>
      </c>
      <c r="J587" s="7" t="str">
        <f t="shared" si="19"/>
        <v>OK</v>
      </c>
    </row>
    <row r="588" spans="1:10" x14ac:dyDescent="0.3">
      <c r="A588" s="7">
        <v>91</v>
      </c>
      <c r="B588" s="7" t="s">
        <v>364</v>
      </c>
      <c r="C588" s="7">
        <v>621043</v>
      </c>
      <c r="D588" s="7" t="s">
        <v>257</v>
      </c>
      <c r="E588" s="7" t="s">
        <v>239</v>
      </c>
      <c r="F588" s="8">
        <v>1.33</v>
      </c>
      <c r="G588" s="8">
        <v>0</v>
      </c>
      <c r="H588" s="7" t="s">
        <v>26</v>
      </c>
      <c r="I588" s="8">
        <f t="shared" si="18"/>
        <v>0</v>
      </c>
      <c r="J588" s="7" t="str">
        <f t="shared" si="19"/>
        <v>Queda en 0</v>
      </c>
    </row>
    <row r="589" spans="1:10" x14ac:dyDescent="0.3">
      <c r="A589" s="7">
        <v>91</v>
      </c>
      <c r="B589" s="7" t="s">
        <v>364</v>
      </c>
      <c r="C589" s="7">
        <v>621045</v>
      </c>
      <c r="D589" s="7" t="s">
        <v>238</v>
      </c>
      <c r="E589" s="7" t="s">
        <v>239</v>
      </c>
      <c r="F589" s="8">
        <v>16</v>
      </c>
      <c r="G589" s="8">
        <v>323.61</v>
      </c>
      <c r="H589" s="7" t="s">
        <v>26</v>
      </c>
      <c r="I589" s="8">
        <f t="shared" si="18"/>
        <v>307.61</v>
      </c>
      <c r="J589" s="7" t="str">
        <f t="shared" si="19"/>
        <v>OK</v>
      </c>
    </row>
    <row r="590" spans="1:10" x14ac:dyDescent="0.3">
      <c r="A590" s="7">
        <v>91</v>
      </c>
      <c r="B590" s="7" t="s">
        <v>364</v>
      </c>
      <c r="C590" s="7">
        <v>621055</v>
      </c>
      <c r="D590" s="7" t="s">
        <v>365</v>
      </c>
      <c r="E590" s="7" t="s">
        <v>239</v>
      </c>
      <c r="F590" s="8">
        <v>0.67</v>
      </c>
      <c r="G590" s="8">
        <v>1.81</v>
      </c>
      <c r="H590" s="7" t="s">
        <v>26</v>
      </c>
      <c r="I590" s="8">
        <f t="shared" si="18"/>
        <v>1.1400000000000001</v>
      </c>
      <c r="J590" s="7" t="str">
        <f t="shared" si="19"/>
        <v>OK</v>
      </c>
    </row>
    <row r="591" spans="1:10" x14ac:dyDescent="0.3">
      <c r="A591" s="7">
        <v>91</v>
      </c>
      <c r="B591" s="7" t="s">
        <v>364</v>
      </c>
      <c r="C591" s="7">
        <v>621056</v>
      </c>
      <c r="D591" s="7" t="s">
        <v>366</v>
      </c>
      <c r="E591" s="7" t="s">
        <v>239</v>
      </c>
      <c r="F591" s="8">
        <v>0.67</v>
      </c>
      <c r="G591" s="8">
        <v>0</v>
      </c>
      <c r="H591" s="7" t="s">
        <v>26</v>
      </c>
      <c r="I591" s="8">
        <f t="shared" si="18"/>
        <v>0</v>
      </c>
      <c r="J591" s="7" t="str">
        <f t="shared" si="19"/>
        <v>Queda en 0</v>
      </c>
    </row>
    <row r="592" spans="1:10" x14ac:dyDescent="0.3">
      <c r="A592" s="7">
        <v>91</v>
      </c>
      <c r="B592" s="7" t="s">
        <v>364</v>
      </c>
      <c r="C592" s="7">
        <v>621057</v>
      </c>
      <c r="D592" s="7" t="s">
        <v>367</v>
      </c>
      <c r="E592" s="7" t="s">
        <v>239</v>
      </c>
      <c r="F592" s="8">
        <v>0.67</v>
      </c>
      <c r="G592" s="8">
        <v>0</v>
      </c>
      <c r="H592" s="7" t="s">
        <v>26</v>
      </c>
      <c r="I592" s="8">
        <f t="shared" si="18"/>
        <v>0</v>
      </c>
      <c r="J592" s="7" t="str">
        <f t="shared" si="19"/>
        <v>Queda en 0</v>
      </c>
    </row>
    <row r="593" spans="1:10" x14ac:dyDescent="0.3">
      <c r="A593" s="7">
        <v>91</v>
      </c>
      <c r="B593" s="7" t="s">
        <v>364</v>
      </c>
      <c r="C593" s="7">
        <v>800088</v>
      </c>
      <c r="D593" s="7" t="s">
        <v>240</v>
      </c>
      <c r="E593" s="7" t="s">
        <v>215</v>
      </c>
      <c r="F593" s="8">
        <v>7</v>
      </c>
      <c r="G593" s="8">
        <v>164.99</v>
      </c>
      <c r="H593" s="7" t="s">
        <v>26</v>
      </c>
      <c r="I593" s="8">
        <f t="shared" si="18"/>
        <v>157.99</v>
      </c>
      <c r="J593" s="7" t="str">
        <f t="shared" si="19"/>
        <v>OK</v>
      </c>
    </row>
    <row r="594" spans="1:10" x14ac:dyDescent="0.3">
      <c r="A594" s="7">
        <v>91</v>
      </c>
      <c r="B594" s="7" t="s">
        <v>364</v>
      </c>
      <c r="C594" s="7">
        <v>800089</v>
      </c>
      <c r="D594" s="7" t="s">
        <v>241</v>
      </c>
      <c r="E594" s="7" t="s">
        <v>215</v>
      </c>
      <c r="F594" s="8">
        <v>2.33</v>
      </c>
      <c r="G594" s="8">
        <v>135.75</v>
      </c>
      <c r="H594" s="7" t="s">
        <v>26</v>
      </c>
      <c r="I594" s="8">
        <f t="shared" si="18"/>
        <v>133.41999999999999</v>
      </c>
      <c r="J594" s="7" t="str">
        <f t="shared" si="19"/>
        <v>OK</v>
      </c>
    </row>
    <row r="595" spans="1:10" x14ac:dyDescent="0.3">
      <c r="A595" s="7">
        <v>91</v>
      </c>
      <c r="B595" s="7" t="s">
        <v>364</v>
      </c>
      <c r="C595" s="7">
        <v>800791</v>
      </c>
      <c r="D595" s="7" t="s">
        <v>259</v>
      </c>
      <c r="E595" s="7" t="s">
        <v>243</v>
      </c>
      <c r="F595" s="8">
        <v>20</v>
      </c>
      <c r="G595" s="8">
        <v>217.55</v>
      </c>
      <c r="H595" s="7" t="s">
        <v>26</v>
      </c>
      <c r="I595" s="8">
        <f t="shared" si="18"/>
        <v>197.55</v>
      </c>
      <c r="J595" s="7" t="str">
        <f t="shared" si="19"/>
        <v>OK</v>
      </c>
    </row>
    <row r="596" spans="1:10" x14ac:dyDescent="0.3">
      <c r="A596" s="7">
        <v>91</v>
      </c>
      <c r="B596" s="7" t="s">
        <v>364</v>
      </c>
      <c r="C596" s="7">
        <v>800792</v>
      </c>
      <c r="D596" s="7" t="s">
        <v>242</v>
      </c>
      <c r="E596" s="7" t="s">
        <v>243</v>
      </c>
      <c r="F596" s="8">
        <v>1</v>
      </c>
      <c r="G596" s="8">
        <v>107.63</v>
      </c>
      <c r="H596" s="7" t="s">
        <v>26</v>
      </c>
      <c r="I596" s="8">
        <f t="shared" si="18"/>
        <v>106.63</v>
      </c>
      <c r="J596" s="7" t="str">
        <f t="shared" si="19"/>
        <v>OK</v>
      </c>
    </row>
    <row r="597" spans="1:10" x14ac:dyDescent="0.3">
      <c r="A597" s="7">
        <v>91</v>
      </c>
      <c r="B597" s="7" t="s">
        <v>364</v>
      </c>
      <c r="C597" s="7">
        <v>800793</v>
      </c>
      <c r="D597" s="7" t="s">
        <v>260</v>
      </c>
      <c r="E597" s="7" t="s">
        <v>243</v>
      </c>
      <c r="F597" s="8">
        <v>1</v>
      </c>
      <c r="G597" s="8">
        <v>40.07</v>
      </c>
      <c r="H597" s="7" t="s">
        <v>26</v>
      </c>
      <c r="I597" s="8">
        <f t="shared" si="18"/>
        <v>39.07</v>
      </c>
      <c r="J597" s="7" t="str">
        <f t="shared" si="19"/>
        <v>OK</v>
      </c>
    </row>
    <row r="598" spans="1:10" x14ac:dyDescent="0.3">
      <c r="A598" s="7">
        <v>91</v>
      </c>
      <c r="B598" s="7" t="s">
        <v>364</v>
      </c>
      <c r="C598" s="7">
        <v>924104</v>
      </c>
      <c r="D598" s="7" t="s">
        <v>277</v>
      </c>
      <c r="E598" s="7" t="s">
        <v>215</v>
      </c>
      <c r="F598" s="8">
        <v>4</v>
      </c>
      <c r="G598" s="8">
        <v>0</v>
      </c>
      <c r="H598" s="7" t="s">
        <v>26</v>
      </c>
      <c r="I598" s="8">
        <f t="shared" si="18"/>
        <v>0</v>
      </c>
      <c r="J598" s="7" t="str">
        <f t="shared" si="19"/>
        <v>Queda en 0</v>
      </c>
    </row>
    <row r="599" spans="1:10" x14ac:dyDescent="0.3">
      <c r="A599" s="7">
        <v>91</v>
      </c>
      <c r="B599" s="7" t="s">
        <v>364</v>
      </c>
      <c r="C599" s="7">
        <v>930012</v>
      </c>
      <c r="D599" s="7" t="s">
        <v>264</v>
      </c>
      <c r="E599" s="7" t="s">
        <v>243</v>
      </c>
      <c r="F599" s="8">
        <v>9.67</v>
      </c>
      <c r="G599" s="8">
        <v>256.47000000000003</v>
      </c>
      <c r="H599" s="7" t="s">
        <v>26</v>
      </c>
      <c r="I599" s="8">
        <f t="shared" si="18"/>
        <v>246.80000000000004</v>
      </c>
      <c r="J599" s="7" t="str">
        <f t="shared" si="19"/>
        <v>OK</v>
      </c>
    </row>
    <row r="600" spans="1:10" x14ac:dyDescent="0.3">
      <c r="A600" s="7">
        <v>91</v>
      </c>
      <c r="B600" s="7" t="s">
        <v>364</v>
      </c>
      <c r="C600" s="7">
        <v>930021</v>
      </c>
      <c r="D600" s="7" t="s">
        <v>300</v>
      </c>
      <c r="E600" s="7" t="s">
        <v>243</v>
      </c>
      <c r="F600" s="8">
        <v>0.67</v>
      </c>
      <c r="G600" s="8">
        <v>73.27</v>
      </c>
      <c r="H600" s="7" t="s">
        <v>26</v>
      </c>
      <c r="I600" s="8">
        <f t="shared" si="18"/>
        <v>72.599999999999994</v>
      </c>
      <c r="J600" s="7" t="str">
        <f t="shared" si="19"/>
        <v>OK</v>
      </c>
    </row>
    <row r="601" spans="1:10" x14ac:dyDescent="0.3">
      <c r="A601" s="7">
        <v>91</v>
      </c>
      <c r="B601" s="7" t="s">
        <v>364</v>
      </c>
      <c r="C601" s="7">
        <v>930025</v>
      </c>
      <c r="D601" s="7" t="s">
        <v>244</v>
      </c>
      <c r="E601" s="7" t="s">
        <v>243</v>
      </c>
      <c r="F601" s="8">
        <v>39</v>
      </c>
      <c r="G601" s="8">
        <v>174.04</v>
      </c>
      <c r="H601" s="7" t="s">
        <v>26</v>
      </c>
      <c r="I601" s="8">
        <f t="shared" si="18"/>
        <v>135.04</v>
      </c>
      <c r="J601" s="7" t="str">
        <f t="shared" si="19"/>
        <v>OK</v>
      </c>
    </row>
    <row r="602" spans="1:10" x14ac:dyDescent="0.3">
      <c r="A602" s="7">
        <v>91</v>
      </c>
      <c r="B602" s="7" t="s">
        <v>364</v>
      </c>
      <c r="C602" s="7">
        <v>930028</v>
      </c>
      <c r="D602" s="7" t="s">
        <v>302</v>
      </c>
      <c r="E602" s="7" t="s">
        <v>243</v>
      </c>
      <c r="F602" s="8">
        <v>1.67</v>
      </c>
      <c r="G602" s="8">
        <v>5.73</v>
      </c>
      <c r="H602" s="7" t="s">
        <v>26</v>
      </c>
      <c r="I602" s="8">
        <f t="shared" si="18"/>
        <v>4.0600000000000005</v>
      </c>
      <c r="J602" s="7" t="str">
        <f t="shared" si="19"/>
        <v>OK</v>
      </c>
    </row>
    <row r="603" spans="1:10" x14ac:dyDescent="0.3">
      <c r="A603" s="7">
        <v>91</v>
      </c>
      <c r="B603" s="7" t="s">
        <v>364</v>
      </c>
      <c r="C603" s="7">
        <v>930137</v>
      </c>
      <c r="D603" s="7" t="s">
        <v>311</v>
      </c>
      <c r="E603" s="7" t="s">
        <v>243</v>
      </c>
      <c r="F603" s="8">
        <v>3.33</v>
      </c>
      <c r="G603" s="8">
        <v>76.709999999999994</v>
      </c>
      <c r="H603" s="7" t="s">
        <v>26</v>
      </c>
      <c r="I603" s="8">
        <f t="shared" si="18"/>
        <v>73.38</v>
      </c>
      <c r="J603" s="7" t="str">
        <f t="shared" si="19"/>
        <v>OK</v>
      </c>
    </row>
    <row r="604" spans="1:10" x14ac:dyDescent="0.3">
      <c r="A604" s="7">
        <v>91</v>
      </c>
      <c r="B604" s="7" t="s">
        <v>364</v>
      </c>
      <c r="C604" s="7">
        <v>930140</v>
      </c>
      <c r="D604" s="7" t="s">
        <v>314</v>
      </c>
      <c r="E604" s="7" t="s">
        <v>243</v>
      </c>
      <c r="F604" s="8">
        <v>4</v>
      </c>
      <c r="G604" s="8">
        <v>72.13</v>
      </c>
      <c r="H604" s="7" t="s">
        <v>26</v>
      </c>
      <c r="I604" s="8">
        <f t="shared" si="18"/>
        <v>68.13</v>
      </c>
      <c r="J604" s="7" t="str">
        <f t="shared" si="19"/>
        <v>OK</v>
      </c>
    </row>
    <row r="605" spans="1:10" x14ac:dyDescent="0.3">
      <c r="A605" s="7">
        <v>91</v>
      </c>
      <c r="B605" s="7" t="s">
        <v>364</v>
      </c>
      <c r="C605" s="7">
        <v>930144</v>
      </c>
      <c r="D605" s="7" t="s">
        <v>315</v>
      </c>
      <c r="E605" s="7" t="s">
        <v>243</v>
      </c>
      <c r="F605" s="8">
        <v>3.33</v>
      </c>
      <c r="G605" s="8">
        <v>53.81</v>
      </c>
      <c r="H605" s="7" t="s">
        <v>26</v>
      </c>
      <c r="I605" s="8">
        <f t="shared" si="18"/>
        <v>50.480000000000004</v>
      </c>
      <c r="J605" s="7" t="str">
        <f t="shared" si="19"/>
        <v>OK</v>
      </c>
    </row>
    <row r="606" spans="1:10" x14ac:dyDescent="0.3">
      <c r="A606" s="7">
        <v>91</v>
      </c>
      <c r="B606" s="7" t="s">
        <v>364</v>
      </c>
      <c r="C606" s="7">
        <v>930145</v>
      </c>
      <c r="D606" s="7" t="s">
        <v>316</v>
      </c>
      <c r="E606" s="7" t="s">
        <v>243</v>
      </c>
      <c r="F606" s="8">
        <v>2</v>
      </c>
      <c r="G606" s="8">
        <v>51.53</v>
      </c>
      <c r="H606" s="7" t="s">
        <v>26</v>
      </c>
      <c r="I606" s="8">
        <f t="shared" si="18"/>
        <v>49.53</v>
      </c>
      <c r="J606" s="7" t="str">
        <f t="shared" si="19"/>
        <v>OK</v>
      </c>
    </row>
    <row r="607" spans="1:10" x14ac:dyDescent="0.3">
      <c r="A607" s="7">
        <v>91</v>
      </c>
      <c r="B607" s="7" t="s">
        <v>364</v>
      </c>
      <c r="C607" s="7">
        <v>930154</v>
      </c>
      <c r="D607" s="7" t="s">
        <v>245</v>
      </c>
      <c r="E607" s="7" t="s">
        <v>243</v>
      </c>
      <c r="F607" s="8">
        <v>3.33</v>
      </c>
      <c r="G607" s="8">
        <v>40.07</v>
      </c>
      <c r="H607" s="7" t="s">
        <v>26</v>
      </c>
      <c r="I607" s="8">
        <f t="shared" si="18"/>
        <v>36.74</v>
      </c>
      <c r="J607" s="7" t="str">
        <f t="shared" si="19"/>
        <v>OK</v>
      </c>
    </row>
    <row r="608" spans="1:10" x14ac:dyDescent="0.3">
      <c r="A608" s="7">
        <v>91</v>
      </c>
      <c r="B608" s="7" t="s">
        <v>364</v>
      </c>
      <c r="C608" s="7">
        <v>930177</v>
      </c>
      <c r="D608" s="7" t="s">
        <v>317</v>
      </c>
      <c r="E608" s="7" t="s">
        <v>243</v>
      </c>
      <c r="F608" s="8">
        <v>11.33</v>
      </c>
      <c r="G608" s="8">
        <v>62.97</v>
      </c>
      <c r="H608" s="7" t="s">
        <v>26</v>
      </c>
      <c r="I608" s="8">
        <f t="shared" si="18"/>
        <v>51.64</v>
      </c>
      <c r="J608" s="7" t="str">
        <f t="shared" si="19"/>
        <v>OK</v>
      </c>
    </row>
    <row r="609" spans="1:10" x14ac:dyDescent="0.3">
      <c r="A609" s="7">
        <v>91</v>
      </c>
      <c r="B609" s="7" t="s">
        <v>364</v>
      </c>
      <c r="C609" s="7">
        <v>930178</v>
      </c>
      <c r="D609" s="7" t="s">
        <v>267</v>
      </c>
      <c r="E609" s="7" t="s">
        <v>243</v>
      </c>
      <c r="F609" s="8">
        <v>6.33</v>
      </c>
      <c r="G609" s="8">
        <v>30.91</v>
      </c>
      <c r="H609" s="7" t="s">
        <v>26</v>
      </c>
      <c r="I609" s="8">
        <f t="shared" si="18"/>
        <v>24.58</v>
      </c>
      <c r="J609" s="7" t="str">
        <f t="shared" si="19"/>
        <v>OK</v>
      </c>
    </row>
    <row r="610" spans="1:10" x14ac:dyDescent="0.3">
      <c r="A610" s="7">
        <v>91</v>
      </c>
      <c r="B610" s="7" t="s">
        <v>364</v>
      </c>
      <c r="C610" s="7">
        <v>982003</v>
      </c>
      <c r="D610" s="7" t="s">
        <v>269</v>
      </c>
      <c r="E610" s="7" t="s">
        <v>270</v>
      </c>
      <c r="F610" s="8">
        <v>3.33</v>
      </c>
      <c r="G610" s="8">
        <v>109.78</v>
      </c>
      <c r="H610" s="7" t="s">
        <v>26</v>
      </c>
      <c r="I610" s="8">
        <f t="shared" si="18"/>
        <v>106.45</v>
      </c>
      <c r="J610" s="7" t="str">
        <f t="shared" si="19"/>
        <v>OK</v>
      </c>
    </row>
    <row r="611" spans="1:10" x14ac:dyDescent="0.3">
      <c r="A611" s="7">
        <v>91</v>
      </c>
      <c r="B611" s="7" t="s">
        <v>364</v>
      </c>
      <c r="C611" s="7">
        <v>982005</v>
      </c>
      <c r="D611" s="7" t="s">
        <v>285</v>
      </c>
      <c r="E611" s="7" t="s">
        <v>270</v>
      </c>
      <c r="F611" s="8">
        <v>30.67</v>
      </c>
      <c r="G611" s="8">
        <v>661.3</v>
      </c>
      <c r="H611" s="7" t="s">
        <v>26</v>
      </c>
      <c r="I611" s="8">
        <f t="shared" si="18"/>
        <v>630.63</v>
      </c>
      <c r="J611" s="7" t="str">
        <f t="shared" si="19"/>
        <v>OK</v>
      </c>
    </row>
    <row r="612" spans="1:10" x14ac:dyDescent="0.3">
      <c r="A612" s="7">
        <v>93</v>
      </c>
      <c r="B612" s="7" t="s">
        <v>368</v>
      </c>
      <c r="C612" s="7">
        <v>101005</v>
      </c>
      <c r="D612" s="7" t="s">
        <v>232</v>
      </c>
      <c r="E612" s="7" t="s">
        <v>215</v>
      </c>
      <c r="F612" s="8">
        <v>20</v>
      </c>
      <c r="G612" s="8">
        <v>47.65</v>
      </c>
      <c r="H612" s="7" t="s">
        <v>26</v>
      </c>
      <c r="I612" s="8">
        <f t="shared" si="18"/>
        <v>27.65</v>
      </c>
      <c r="J612" s="7" t="str">
        <f t="shared" si="19"/>
        <v>OK</v>
      </c>
    </row>
    <row r="613" spans="1:10" x14ac:dyDescent="0.3">
      <c r="A613" s="7">
        <v>93</v>
      </c>
      <c r="B613" s="7" t="s">
        <v>368</v>
      </c>
      <c r="C613" s="7">
        <v>101027</v>
      </c>
      <c r="D613" s="7" t="s">
        <v>234</v>
      </c>
      <c r="E613" s="7" t="s">
        <v>215</v>
      </c>
      <c r="F613" s="8">
        <v>8</v>
      </c>
      <c r="G613" s="8">
        <v>39.369999999999997</v>
      </c>
      <c r="H613" s="7" t="s">
        <v>26</v>
      </c>
      <c r="I613" s="8">
        <f t="shared" si="18"/>
        <v>31.369999999999997</v>
      </c>
      <c r="J613" s="7" t="str">
        <f t="shared" si="19"/>
        <v>OK</v>
      </c>
    </row>
    <row r="614" spans="1:10" x14ac:dyDescent="0.3">
      <c r="A614" s="7">
        <v>93</v>
      </c>
      <c r="B614" s="7" t="s">
        <v>368</v>
      </c>
      <c r="C614" s="7">
        <v>101028</v>
      </c>
      <c r="D614" s="7" t="s">
        <v>214</v>
      </c>
      <c r="E614" s="7" t="s">
        <v>215</v>
      </c>
      <c r="F614" s="8">
        <v>9.33</v>
      </c>
      <c r="G614" s="8">
        <v>72.510000000000005</v>
      </c>
      <c r="H614" s="7" t="s">
        <v>26</v>
      </c>
      <c r="I614" s="8">
        <f t="shared" si="18"/>
        <v>63.180000000000007</v>
      </c>
      <c r="J614" s="7" t="str">
        <f t="shared" si="19"/>
        <v>OK</v>
      </c>
    </row>
    <row r="615" spans="1:10" x14ac:dyDescent="0.3">
      <c r="A615" s="7">
        <v>93</v>
      </c>
      <c r="B615" s="7" t="s">
        <v>368</v>
      </c>
      <c r="C615" s="7">
        <v>101038</v>
      </c>
      <c r="D615" s="7" t="s">
        <v>235</v>
      </c>
      <c r="E615" s="7" t="s">
        <v>215</v>
      </c>
      <c r="F615" s="8">
        <v>3.33</v>
      </c>
      <c r="G615" s="8">
        <v>408.11</v>
      </c>
      <c r="H615" s="7" t="s">
        <v>26</v>
      </c>
      <c r="I615" s="8">
        <f t="shared" si="18"/>
        <v>404.78000000000003</v>
      </c>
      <c r="J615" s="7" t="str">
        <f t="shared" si="19"/>
        <v>OK</v>
      </c>
    </row>
    <row r="616" spans="1:10" x14ac:dyDescent="0.3">
      <c r="A616" s="7">
        <v>93</v>
      </c>
      <c r="B616" s="7" t="s">
        <v>368</v>
      </c>
      <c r="C616" s="7">
        <v>101130</v>
      </c>
      <c r="D616" s="7" t="s">
        <v>247</v>
      </c>
      <c r="E616" s="7" t="s">
        <v>215</v>
      </c>
      <c r="F616" s="8">
        <v>5.33</v>
      </c>
      <c r="G616" s="8">
        <v>0</v>
      </c>
      <c r="H616" s="7" t="s">
        <v>26</v>
      </c>
      <c r="I616" s="8">
        <f t="shared" si="18"/>
        <v>0</v>
      </c>
      <c r="J616" s="7" t="str">
        <f t="shared" si="19"/>
        <v>Queda en 0</v>
      </c>
    </row>
    <row r="617" spans="1:10" x14ac:dyDescent="0.3">
      <c r="A617" s="7">
        <v>93</v>
      </c>
      <c r="B617" s="7" t="s">
        <v>368</v>
      </c>
      <c r="C617" s="7">
        <v>103001</v>
      </c>
      <c r="D617" s="7" t="s">
        <v>248</v>
      </c>
      <c r="E617" s="7" t="s">
        <v>215</v>
      </c>
      <c r="F617" s="8">
        <v>32</v>
      </c>
      <c r="G617" s="8">
        <v>2233.87</v>
      </c>
      <c r="H617" s="7" t="s">
        <v>26</v>
      </c>
      <c r="I617" s="8">
        <f t="shared" si="18"/>
        <v>2201.87</v>
      </c>
      <c r="J617" s="7" t="str">
        <f t="shared" si="19"/>
        <v>OK</v>
      </c>
    </row>
    <row r="618" spans="1:10" x14ac:dyDescent="0.3">
      <c r="A618" s="7">
        <v>93</v>
      </c>
      <c r="B618" s="7" t="s">
        <v>368</v>
      </c>
      <c r="C618" s="7">
        <v>103208</v>
      </c>
      <c r="D618" s="7" t="s">
        <v>236</v>
      </c>
      <c r="E618" s="7" t="s">
        <v>215</v>
      </c>
      <c r="F618" s="8">
        <v>8</v>
      </c>
      <c r="G618" s="8">
        <v>4.6399999999999997</v>
      </c>
      <c r="H618" s="7" t="s">
        <v>26</v>
      </c>
      <c r="I618" s="8">
        <f t="shared" si="18"/>
        <v>0</v>
      </c>
      <c r="J618" s="7" t="str">
        <f t="shared" si="19"/>
        <v>Queda en 0</v>
      </c>
    </row>
    <row r="619" spans="1:10" x14ac:dyDescent="0.3">
      <c r="A619" s="7">
        <v>93</v>
      </c>
      <c r="B619" s="7" t="s">
        <v>368</v>
      </c>
      <c r="C619" s="7">
        <v>201001</v>
      </c>
      <c r="D619" s="7" t="s">
        <v>216</v>
      </c>
      <c r="E619" s="7" t="s">
        <v>217</v>
      </c>
      <c r="F619" s="8">
        <v>3.33</v>
      </c>
      <c r="G619" s="8">
        <v>416.39</v>
      </c>
      <c r="H619" s="7" t="s">
        <v>26</v>
      </c>
      <c r="I619" s="8">
        <f t="shared" si="18"/>
        <v>413.06</v>
      </c>
      <c r="J619" s="7" t="str">
        <f t="shared" si="19"/>
        <v>OK</v>
      </c>
    </row>
    <row r="620" spans="1:10" x14ac:dyDescent="0.3">
      <c r="A620" s="7">
        <v>93</v>
      </c>
      <c r="B620" s="7" t="s">
        <v>368</v>
      </c>
      <c r="C620" s="7">
        <v>611092</v>
      </c>
      <c r="D620" s="7" t="s">
        <v>348</v>
      </c>
      <c r="E620" s="7" t="s">
        <v>294</v>
      </c>
      <c r="F620" s="8">
        <v>3.67</v>
      </c>
      <c r="G620" s="8">
        <v>34.65</v>
      </c>
      <c r="H620" s="7" t="s">
        <v>26</v>
      </c>
      <c r="I620" s="8">
        <f t="shared" si="18"/>
        <v>30.979999999999997</v>
      </c>
      <c r="J620" s="7" t="str">
        <f t="shared" si="19"/>
        <v>OK</v>
      </c>
    </row>
    <row r="621" spans="1:10" x14ac:dyDescent="0.3">
      <c r="A621" s="7">
        <v>93</v>
      </c>
      <c r="B621" s="7" t="s">
        <v>368</v>
      </c>
      <c r="C621" s="7">
        <v>611221</v>
      </c>
      <c r="D621" s="7" t="s">
        <v>293</v>
      </c>
      <c r="E621" s="7" t="s">
        <v>294</v>
      </c>
      <c r="F621" s="8">
        <v>2</v>
      </c>
      <c r="G621" s="8">
        <v>57.17</v>
      </c>
      <c r="H621" s="7" t="s">
        <v>26</v>
      </c>
      <c r="I621" s="8">
        <f t="shared" si="18"/>
        <v>55.17</v>
      </c>
      <c r="J621" s="7" t="str">
        <f t="shared" si="19"/>
        <v>OK</v>
      </c>
    </row>
    <row r="622" spans="1:10" x14ac:dyDescent="0.3">
      <c r="A622" s="7">
        <v>93</v>
      </c>
      <c r="B622" s="7" t="s">
        <v>368</v>
      </c>
      <c r="C622" s="7">
        <v>800088</v>
      </c>
      <c r="D622" s="7" t="s">
        <v>240</v>
      </c>
      <c r="E622" s="7" t="s">
        <v>215</v>
      </c>
      <c r="F622" s="8">
        <v>1.33</v>
      </c>
      <c r="G622" s="8">
        <v>207.18</v>
      </c>
      <c r="H622" s="7" t="s">
        <v>26</v>
      </c>
      <c r="I622" s="8">
        <f t="shared" si="18"/>
        <v>205.85</v>
      </c>
      <c r="J622" s="7" t="str">
        <f t="shared" si="19"/>
        <v>OK</v>
      </c>
    </row>
    <row r="623" spans="1:10" x14ac:dyDescent="0.3">
      <c r="A623" s="7">
        <v>93</v>
      </c>
      <c r="B623" s="7" t="s">
        <v>368</v>
      </c>
      <c r="C623" s="7">
        <v>800089</v>
      </c>
      <c r="D623" s="7" t="s">
        <v>241</v>
      </c>
      <c r="E623" s="7" t="s">
        <v>215</v>
      </c>
      <c r="F623" s="8">
        <v>2.67</v>
      </c>
      <c r="G623" s="8">
        <v>189.58</v>
      </c>
      <c r="H623" s="7" t="s">
        <v>26</v>
      </c>
      <c r="I623" s="8">
        <f t="shared" si="18"/>
        <v>186.91000000000003</v>
      </c>
      <c r="J623" s="7" t="str">
        <f t="shared" si="19"/>
        <v>OK</v>
      </c>
    </row>
    <row r="624" spans="1:10" x14ac:dyDescent="0.3">
      <c r="A624" s="7">
        <v>93</v>
      </c>
      <c r="B624" s="7" t="s">
        <v>368</v>
      </c>
      <c r="C624" s="7">
        <v>925050</v>
      </c>
      <c r="D624" s="7" t="s">
        <v>261</v>
      </c>
      <c r="E624" s="7" t="s">
        <v>220</v>
      </c>
      <c r="F624" s="8">
        <v>8</v>
      </c>
      <c r="G624" s="8">
        <v>60.97</v>
      </c>
      <c r="H624" s="7" t="s">
        <v>26</v>
      </c>
      <c r="I624" s="8">
        <f t="shared" si="18"/>
        <v>52.97</v>
      </c>
      <c r="J624" s="7" t="str">
        <f t="shared" si="19"/>
        <v>OK</v>
      </c>
    </row>
    <row r="625" spans="1:10" x14ac:dyDescent="0.3">
      <c r="A625" s="7">
        <v>93</v>
      </c>
      <c r="B625" s="7" t="s">
        <v>368</v>
      </c>
      <c r="C625" s="7">
        <v>925064</v>
      </c>
      <c r="D625" s="7" t="s">
        <v>263</v>
      </c>
      <c r="E625" s="7" t="s">
        <v>220</v>
      </c>
      <c r="F625" s="8">
        <v>16.670000000000002</v>
      </c>
      <c r="G625" s="8">
        <v>271.17</v>
      </c>
      <c r="H625" s="7" t="s">
        <v>26</v>
      </c>
      <c r="I625" s="8">
        <f t="shared" si="18"/>
        <v>254.5</v>
      </c>
      <c r="J625" s="7" t="str">
        <f t="shared" si="19"/>
        <v>OK</v>
      </c>
    </row>
    <row r="626" spans="1:10" x14ac:dyDescent="0.3">
      <c r="A626" s="7">
        <v>93</v>
      </c>
      <c r="B626" s="7" t="s">
        <v>368</v>
      </c>
      <c r="C626" s="7">
        <v>925102</v>
      </c>
      <c r="D626" s="7" t="s">
        <v>319</v>
      </c>
      <c r="E626" s="7" t="s">
        <v>220</v>
      </c>
      <c r="F626" s="8">
        <v>8</v>
      </c>
      <c r="G626" s="8">
        <v>13.64</v>
      </c>
      <c r="H626" s="7" t="s">
        <v>26</v>
      </c>
      <c r="I626" s="8">
        <f t="shared" si="18"/>
        <v>5.6400000000000006</v>
      </c>
      <c r="J626" s="7" t="str">
        <f t="shared" si="19"/>
        <v>OK</v>
      </c>
    </row>
    <row r="627" spans="1:10" x14ac:dyDescent="0.3">
      <c r="A627" s="7">
        <v>94</v>
      </c>
      <c r="B627" s="7" t="s">
        <v>369</v>
      </c>
      <c r="C627" s="7">
        <v>101005</v>
      </c>
      <c r="D627" s="7" t="s">
        <v>232</v>
      </c>
      <c r="E627" s="7" t="s">
        <v>215</v>
      </c>
      <c r="F627" s="8">
        <v>107.33</v>
      </c>
      <c r="G627" s="8">
        <v>172.62</v>
      </c>
      <c r="H627" s="7" t="s">
        <v>26</v>
      </c>
      <c r="I627" s="8">
        <f t="shared" si="18"/>
        <v>65.290000000000006</v>
      </c>
      <c r="J627" s="7" t="str">
        <f t="shared" si="19"/>
        <v>OK</v>
      </c>
    </row>
    <row r="628" spans="1:10" x14ac:dyDescent="0.3">
      <c r="A628" s="7">
        <v>94</v>
      </c>
      <c r="B628" s="7" t="s">
        <v>369</v>
      </c>
      <c r="C628" s="7">
        <v>101026</v>
      </c>
      <c r="D628" s="7" t="s">
        <v>233</v>
      </c>
      <c r="E628" s="7" t="s">
        <v>215</v>
      </c>
      <c r="F628" s="8">
        <v>119</v>
      </c>
      <c r="G628" s="8">
        <v>183.59</v>
      </c>
      <c r="H628" s="7" t="s">
        <v>26</v>
      </c>
      <c r="I628" s="8">
        <f t="shared" si="18"/>
        <v>64.59</v>
      </c>
      <c r="J628" s="7" t="str">
        <f t="shared" si="19"/>
        <v>OK</v>
      </c>
    </row>
    <row r="629" spans="1:10" x14ac:dyDescent="0.3">
      <c r="A629" s="7">
        <v>94</v>
      </c>
      <c r="B629" s="7" t="s">
        <v>369</v>
      </c>
      <c r="C629" s="7">
        <v>101027</v>
      </c>
      <c r="D629" s="7" t="s">
        <v>234</v>
      </c>
      <c r="E629" s="7" t="s">
        <v>215</v>
      </c>
      <c r="F629" s="8">
        <v>127.33</v>
      </c>
      <c r="G629" s="8">
        <v>160.13</v>
      </c>
      <c r="H629" s="7" t="s">
        <v>26</v>
      </c>
      <c r="I629" s="8">
        <f t="shared" si="18"/>
        <v>32.799999999999997</v>
      </c>
      <c r="J629" s="7" t="str">
        <f t="shared" si="19"/>
        <v>OK</v>
      </c>
    </row>
    <row r="630" spans="1:10" x14ac:dyDescent="0.3">
      <c r="A630" s="7">
        <v>94</v>
      </c>
      <c r="B630" s="7" t="s">
        <v>369</v>
      </c>
      <c r="C630" s="7">
        <v>101028</v>
      </c>
      <c r="D630" s="7" t="s">
        <v>214</v>
      </c>
      <c r="E630" s="7" t="s">
        <v>215</v>
      </c>
      <c r="F630" s="8">
        <v>153.33000000000001</v>
      </c>
      <c r="G630" s="8">
        <v>249.57</v>
      </c>
      <c r="H630" s="7" t="s">
        <v>26</v>
      </c>
      <c r="I630" s="8">
        <f t="shared" si="18"/>
        <v>96.239999999999981</v>
      </c>
      <c r="J630" s="7" t="str">
        <f t="shared" si="19"/>
        <v>OK</v>
      </c>
    </row>
    <row r="631" spans="1:10" x14ac:dyDescent="0.3">
      <c r="A631" s="7">
        <v>94</v>
      </c>
      <c r="B631" s="7" t="s">
        <v>369</v>
      </c>
      <c r="C631" s="7">
        <v>101034</v>
      </c>
      <c r="D631" s="7" t="s">
        <v>272</v>
      </c>
      <c r="E631" s="7" t="s">
        <v>215</v>
      </c>
      <c r="F631" s="8">
        <v>11</v>
      </c>
      <c r="G631" s="8">
        <v>126.57</v>
      </c>
      <c r="H631" s="7" t="s">
        <v>26</v>
      </c>
      <c r="I631" s="8">
        <f t="shared" si="18"/>
        <v>115.57</v>
      </c>
      <c r="J631" s="7" t="str">
        <f t="shared" si="19"/>
        <v>OK</v>
      </c>
    </row>
    <row r="632" spans="1:10" x14ac:dyDescent="0.3">
      <c r="A632" s="7">
        <v>94</v>
      </c>
      <c r="B632" s="7" t="s">
        <v>369</v>
      </c>
      <c r="C632" s="7">
        <v>101038</v>
      </c>
      <c r="D632" s="7" t="s">
        <v>235</v>
      </c>
      <c r="E632" s="7" t="s">
        <v>215</v>
      </c>
      <c r="F632" s="8">
        <v>37</v>
      </c>
      <c r="G632" s="8">
        <v>446.11</v>
      </c>
      <c r="H632" s="7" t="s">
        <v>26</v>
      </c>
      <c r="I632" s="8">
        <f t="shared" si="18"/>
        <v>409.11</v>
      </c>
      <c r="J632" s="7" t="str">
        <f t="shared" si="19"/>
        <v>OK</v>
      </c>
    </row>
    <row r="633" spans="1:10" x14ac:dyDescent="0.3">
      <c r="A633" s="7">
        <v>94</v>
      </c>
      <c r="B633" s="7" t="s">
        <v>369</v>
      </c>
      <c r="C633" s="7">
        <v>101111</v>
      </c>
      <c r="D633" s="7" t="s">
        <v>339</v>
      </c>
      <c r="E633" s="7" t="s">
        <v>215</v>
      </c>
      <c r="F633" s="8">
        <v>2</v>
      </c>
      <c r="G633" s="8">
        <v>0</v>
      </c>
      <c r="H633" s="7" t="s">
        <v>26</v>
      </c>
      <c r="I633" s="8">
        <f t="shared" si="18"/>
        <v>0</v>
      </c>
      <c r="J633" s="7" t="str">
        <f t="shared" si="19"/>
        <v>Queda en 0</v>
      </c>
    </row>
    <row r="634" spans="1:10" x14ac:dyDescent="0.3">
      <c r="A634" s="7">
        <v>94</v>
      </c>
      <c r="B634" s="7" t="s">
        <v>369</v>
      </c>
      <c r="C634" s="7">
        <v>101130</v>
      </c>
      <c r="D634" s="7" t="s">
        <v>247</v>
      </c>
      <c r="E634" s="7" t="s">
        <v>215</v>
      </c>
      <c r="F634" s="8">
        <v>9.33</v>
      </c>
      <c r="G634" s="8">
        <v>0</v>
      </c>
      <c r="H634" s="7" t="s">
        <v>26</v>
      </c>
      <c r="I634" s="8">
        <f t="shared" si="18"/>
        <v>0</v>
      </c>
      <c r="J634" s="7" t="str">
        <f t="shared" si="19"/>
        <v>Queda en 0</v>
      </c>
    </row>
    <row r="635" spans="1:10" x14ac:dyDescent="0.3">
      <c r="A635" s="7">
        <v>94</v>
      </c>
      <c r="B635" s="7" t="s">
        <v>369</v>
      </c>
      <c r="C635" s="7">
        <v>101132</v>
      </c>
      <c r="D635" s="7" t="s">
        <v>340</v>
      </c>
      <c r="E635" s="7" t="s">
        <v>215</v>
      </c>
      <c r="F635" s="8">
        <v>2</v>
      </c>
      <c r="G635" s="8">
        <v>0</v>
      </c>
      <c r="H635" s="7" t="s">
        <v>26</v>
      </c>
      <c r="I635" s="8">
        <f t="shared" si="18"/>
        <v>0</v>
      </c>
      <c r="J635" s="7" t="str">
        <f t="shared" si="19"/>
        <v>Queda en 0</v>
      </c>
    </row>
    <row r="636" spans="1:10" x14ac:dyDescent="0.3">
      <c r="A636" s="7">
        <v>94</v>
      </c>
      <c r="B636" s="7" t="s">
        <v>369</v>
      </c>
      <c r="C636" s="7">
        <v>101141</v>
      </c>
      <c r="D636" s="7" t="s">
        <v>370</v>
      </c>
      <c r="E636" s="7" t="s">
        <v>215</v>
      </c>
      <c r="F636" s="8">
        <v>0.67</v>
      </c>
      <c r="G636" s="8">
        <v>0</v>
      </c>
      <c r="H636" s="7" t="s">
        <v>26</v>
      </c>
      <c r="I636" s="8">
        <f t="shared" si="18"/>
        <v>0</v>
      </c>
      <c r="J636" s="7" t="str">
        <f t="shared" si="19"/>
        <v>Queda en 0</v>
      </c>
    </row>
    <row r="637" spans="1:10" x14ac:dyDescent="0.3">
      <c r="A637" s="7">
        <v>94</v>
      </c>
      <c r="B637" s="7" t="s">
        <v>369</v>
      </c>
      <c r="C637" s="7">
        <v>103001</v>
      </c>
      <c r="D637" s="7" t="s">
        <v>248</v>
      </c>
      <c r="E637" s="7" t="s">
        <v>215</v>
      </c>
      <c r="F637" s="8">
        <v>115</v>
      </c>
      <c r="G637" s="8">
        <v>0</v>
      </c>
      <c r="H637" s="7" t="s">
        <v>26</v>
      </c>
      <c r="I637" s="8">
        <f t="shared" si="18"/>
        <v>0</v>
      </c>
      <c r="J637" s="7" t="str">
        <f t="shared" si="19"/>
        <v>Queda en 0</v>
      </c>
    </row>
    <row r="638" spans="1:10" x14ac:dyDescent="0.3">
      <c r="A638" s="7">
        <v>94</v>
      </c>
      <c r="B638" s="7" t="s">
        <v>369</v>
      </c>
      <c r="C638" s="7">
        <v>103202</v>
      </c>
      <c r="D638" s="7" t="s">
        <v>287</v>
      </c>
      <c r="E638" s="7" t="s">
        <v>215</v>
      </c>
      <c r="F638" s="8">
        <v>20</v>
      </c>
      <c r="G638" s="8">
        <v>0</v>
      </c>
      <c r="H638" s="7" t="s">
        <v>26</v>
      </c>
      <c r="I638" s="8">
        <f t="shared" si="18"/>
        <v>0</v>
      </c>
      <c r="J638" s="7" t="str">
        <f t="shared" si="19"/>
        <v>Queda en 0</v>
      </c>
    </row>
    <row r="639" spans="1:10" x14ac:dyDescent="0.3">
      <c r="A639" s="7">
        <v>94</v>
      </c>
      <c r="B639" s="7" t="s">
        <v>369</v>
      </c>
      <c r="C639" s="7">
        <v>201001</v>
      </c>
      <c r="D639" s="7" t="s">
        <v>216</v>
      </c>
      <c r="E639" s="7" t="s">
        <v>217</v>
      </c>
      <c r="F639" s="8">
        <v>221</v>
      </c>
      <c r="G639" s="8">
        <v>696.22</v>
      </c>
      <c r="H639" s="7" t="s">
        <v>26</v>
      </c>
      <c r="I639" s="8">
        <f t="shared" si="18"/>
        <v>475.22</v>
      </c>
      <c r="J639" s="7" t="str">
        <f t="shared" si="19"/>
        <v>OK</v>
      </c>
    </row>
    <row r="640" spans="1:10" x14ac:dyDescent="0.3">
      <c r="A640" s="7">
        <v>94</v>
      </c>
      <c r="B640" s="7" t="s">
        <v>369</v>
      </c>
      <c r="C640" s="7">
        <v>501000</v>
      </c>
      <c r="D640" s="7" t="s">
        <v>237</v>
      </c>
      <c r="E640" s="7" t="s">
        <v>217</v>
      </c>
      <c r="F640" s="8">
        <v>4.33</v>
      </c>
      <c r="G640" s="8">
        <v>238.82</v>
      </c>
      <c r="H640" s="7" t="s">
        <v>26</v>
      </c>
      <c r="I640" s="8">
        <f t="shared" si="18"/>
        <v>234.48999999999998</v>
      </c>
      <c r="J640" s="7" t="str">
        <f t="shared" si="19"/>
        <v>OK</v>
      </c>
    </row>
    <row r="641" spans="1:10" x14ac:dyDescent="0.3">
      <c r="A641" s="7">
        <v>94</v>
      </c>
      <c r="B641" s="7" t="s">
        <v>369</v>
      </c>
      <c r="C641" s="7">
        <v>611049</v>
      </c>
      <c r="D641" s="7" t="s">
        <v>251</v>
      </c>
      <c r="E641" s="7" t="s">
        <v>217</v>
      </c>
      <c r="F641" s="8">
        <v>16.329999999999998</v>
      </c>
      <c r="G641" s="8">
        <v>99.7</v>
      </c>
      <c r="H641" s="7" t="s">
        <v>26</v>
      </c>
      <c r="I641" s="8">
        <f t="shared" si="18"/>
        <v>83.37</v>
      </c>
      <c r="J641" s="7" t="str">
        <f t="shared" si="19"/>
        <v>OK</v>
      </c>
    </row>
    <row r="642" spans="1:10" x14ac:dyDescent="0.3">
      <c r="A642" s="7">
        <v>94</v>
      </c>
      <c r="B642" s="7" t="s">
        <v>369</v>
      </c>
      <c r="C642" s="7">
        <v>611052</v>
      </c>
      <c r="D642" s="7" t="s">
        <v>252</v>
      </c>
      <c r="E642" s="7" t="s">
        <v>217</v>
      </c>
      <c r="F642" s="8">
        <v>12</v>
      </c>
      <c r="G642" s="8">
        <v>55.69</v>
      </c>
      <c r="H642" s="7" t="s">
        <v>26</v>
      </c>
      <c r="I642" s="8">
        <f t="shared" ref="I642:I705" si="20">MAX(0,G642-F642)</f>
        <v>43.69</v>
      </c>
      <c r="J642" s="7" t="str">
        <f t="shared" ref="J642:J705" si="21">IF(H642="No","Sin fila previa",IF(G642&lt;F642,"Queda en 0","OK"))</f>
        <v>OK</v>
      </c>
    </row>
    <row r="643" spans="1:10" x14ac:dyDescent="0.3">
      <c r="A643" s="7">
        <v>94</v>
      </c>
      <c r="B643" s="7" t="s">
        <v>369</v>
      </c>
      <c r="C643" s="7">
        <v>611053</v>
      </c>
      <c r="D643" s="7" t="s">
        <v>253</v>
      </c>
      <c r="E643" s="7" t="s">
        <v>217</v>
      </c>
      <c r="F643" s="8">
        <v>24</v>
      </c>
      <c r="G643" s="8">
        <v>666.12</v>
      </c>
      <c r="H643" s="7" t="s">
        <v>26</v>
      </c>
      <c r="I643" s="8">
        <f t="shared" si="20"/>
        <v>642.12</v>
      </c>
      <c r="J643" s="7" t="str">
        <f t="shared" si="21"/>
        <v>OK</v>
      </c>
    </row>
    <row r="644" spans="1:10" x14ac:dyDescent="0.3">
      <c r="A644" s="7">
        <v>94</v>
      </c>
      <c r="B644" s="7" t="s">
        <v>369</v>
      </c>
      <c r="C644" s="7">
        <v>611221</v>
      </c>
      <c r="D644" s="7" t="s">
        <v>293</v>
      </c>
      <c r="E644" s="7" t="s">
        <v>294</v>
      </c>
      <c r="F644" s="8">
        <v>0.33</v>
      </c>
      <c r="G644" s="8">
        <v>86.62</v>
      </c>
      <c r="H644" s="7" t="s">
        <v>26</v>
      </c>
      <c r="I644" s="8">
        <f t="shared" si="20"/>
        <v>86.29</v>
      </c>
      <c r="J644" s="7" t="str">
        <f t="shared" si="21"/>
        <v>OK</v>
      </c>
    </row>
    <row r="645" spans="1:10" x14ac:dyDescent="0.3">
      <c r="A645" s="7">
        <v>94</v>
      </c>
      <c r="B645" s="7" t="s">
        <v>369</v>
      </c>
      <c r="C645" s="7">
        <v>621004</v>
      </c>
      <c r="D645" s="7" t="s">
        <v>256</v>
      </c>
      <c r="E645" s="7" t="s">
        <v>239</v>
      </c>
      <c r="F645" s="8">
        <v>8</v>
      </c>
      <c r="G645" s="8">
        <v>17.09</v>
      </c>
      <c r="H645" s="7" t="s">
        <v>26</v>
      </c>
      <c r="I645" s="8">
        <f t="shared" si="20"/>
        <v>9.09</v>
      </c>
      <c r="J645" s="7" t="str">
        <f t="shared" si="21"/>
        <v>OK</v>
      </c>
    </row>
    <row r="646" spans="1:10" x14ac:dyDescent="0.3">
      <c r="A646" s="7">
        <v>94</v>
      </c>
      <c r="B646" s="7" t="s">
        <v>369</v>
      </c>
      <c r="C646" s="7">
        <v>621043</v>
      </c>
      <c r="D646" s="7" t="s">
        <v>257</v>
      </c>
      <c r="E646" s="7" t="s">
        <v>239</v>
      </c>
      <c r="F646" s="8">
        <v>2.67</v>
      </c>
      <c r="G646" s="8">
        <v>0</v>
      </c>
      <c r="H646" s="7" t="s">
        <v>26</v>
      </c>
      <c r="I646" s="8">
        <f t="shared" si="20"/>
        <v>0</v>
      </c>
      <c r="J646" s="7" t="str">
        <f t="shared" si="21"/>
        <v>Queda en 0</v>
      </c>
    </row>
    <row r="647" spans="1:10" x14ac:dyDescent="0.3">
      <c r="A647" s="7">
        <v>94</v>
      </c>
      <c r="B647" s="7" t="s">
        <v>369</v>
      </c>
      <c r="C647" s="7">
        <v>621045</v>
      </c>
      <c r="D647" s="7" t="s">
        <v>238</v>
      </c>
      <c r="E647" s="7" t="s">
        <v>239</v>
      </c>
      <c r="F647" s="8">
        <v>16.329999999999998</v>
      </c>
      <c r="G647" s="8">
        <v>363.5</v>
      </c>
      <c r="H647" s="7" t="s">
        <v>26</v>
      </c>
      <c r="I647" s="8">
        <f t="shared" si="20"/>
        <v>347.17</v>
      </c>
      <c r="J647" s="7" t="str">
        <f t="shared" si="21"/>
        <v>OK</v>
      </c>
    </row>
    <row r="648" spans="1:10" x14ac:dyDescent="0.3">
      <c r="A648" s="7">
        <v>94</v>
      </c>
      <c r="B648" s="7" t="s">
        <v>369</v>
      </c>
      <c r="C648" s="7">
        <v>621055</v>
      </c>
      <c r="D648" s="7" t="s">
        <v>365</v>
      </c>
      <c r="E648" s="7" t="s">
        <v>239</v>
      </c>
      <c r="F648" s="8">
        <v>2</v>
      </c>
      <c r="G648" s="8">
        <v>3.62</v>
      </c>
      <c r="H648" s="7" t="s">
        <v>26</v>
      </c>
      <c r="I648" s="8">
        <f t="shared" si="20"/>
        <v>1.62</v>
      </c>
      <c r="J648" s="7" t="str">
        <f t="shared" si="21"/>
        <v>OK</v>
      </c>
    </row>
    <row r="649" spans="1:10" x14ac:dyDescent="0.3">
      <c r="A649" s="7">
        <v>94</v>
      </c>
      <c r="B649" s="7" t="s">
        <v>369</v>
      </c>
      <c r="C649" s="7">
        <v>621058</v>
      </c>
      <c r="D649" s="7" t="s">
        <v>371</v>
      </c>
      <c r="E649" s="7" t="s">
        <v>239</v>
      </c>
      <c r="F649" s="8">
        <v>2</v>
      </c>
      <c r="G649" s="8">
        <v>5.43</v>
      </c>
      <c r="H649" s="7" t="s">
        <v>26</v>
      </c>
      <c r="I649" s="8">
        <f t="shared" si="20"/>
        <v>3.4299999999999997</v>
      </c>
      <c r="J649" s="7" t="str">
        <f t="shared" si="21"/>
        <v>OK</v>
      </c>
    </row>
    <row r="650" spans="1:10" x14ac:dyDescent="0.3">
      <c r="A650" s="7">
        <v>94</v>
      </c>
      <c r="B650" s="7" t="s">
        <v>369</v>
      </c>
      <c r="C650" s="7">
        <v>621059</v>
      </c>
      <c r="D650" s="7" t="s">
        <v>372</v>
      </c>
      <c r="E650" s="7" t="s">
        <v>239</v>
      </c>
      <c r="F650" s="8">
        <v>2</v>
      </c>
      <c r="G650" s="8">
        <v>5.43</v>
      </c>
      <c r="H650" s="7" t="s">
        <v>26</v>
      </c>
      <c r="I650" s="8">
        <f t="shared" si="20"/>
        <v>3.4299999999999997</v>
      </c>
      <c r="J650" s="7" t="str">
        <f t="shared" si="21"/>
        <v>OK</v>
      </c>
    </row>
    <row r="651" spans="1:10" x14ac:dyDescent="0.3">
      <c r="A651" s="7">
        <v>94</v>
      </c>
      <c r="B651" s="7" t="s">
        <v>369</v>
      </c>
      <c r="C651" s="7">
        <v>800088</v>
      </c>
      <c r="D651" s="7" t="s">
        <v>240</v>
      </c>
      <c r="E651" s="7" t="s">
        <v>215</v>
      </c>
      <c r="F651" s="8">
        <v>17</v>
      </c>
      <c r="G651" s="8">
        <v>230.85</v>
      </c>
      <c r="H651" s="7" t="s">
        <v>26</v>
      </c>
      <c r="I651" s="8">
        <f t="shared" si="20"/>
        <v>213.85</v>
      </c>
      <c r="J651" s="7" t="str">
        <f t="shared" si="21"/>
        <v>OK</v>
      </c>
    </row>
    <row r="652" spans="1:10" x14ac:dyDescent="0.3">
      <c r="A652" s="7">
        <v>94</v>
      </c>
      <c r="B652" s="7" t="s">
        <v>369</v>
      </c>
      <c r="C652" s="7">
        <v>800089</v>
      </c>
      <c r="D652" s="7" t="s">
        <v>241</v>
      </c>
      <c r="E652" s="7" t="s">
        <v>215</v>
      </c>
      <c r="F652" s="8">
        <v>14.67</v>
      </c>
      <c r="G652" s="8">
        <v>223.58</v>
      </c>
      <c r="H652" s="7" t="s">
        <v>26</v>
      </c>
      <c r="I652" s="8">
        <f t="shared" si="20"/>
        <v>208.91000000000003</v>
      </c>
      <c r="J652" s="7" t="str">
        <f t="shared" si="21"/>
        <v>OK</v>
      </c>
    </row>
    <row r="653" spans="1:10" x14ac:dyDescent="0.3">
      <c r="A653" s="7">
        <v>94</v>
      </c>
      <c r="B653" s="7" t="s">
        <v>369</v>
      </c>
      <c r="C653" s="7">
        <v>800783</v>
      </c>
      <c r="D653" s="7" t="s">
        <v>258</v>
      </c>
      <c r="E653" s="7" t="s">
        <v>243</v>
      </c>
      <c r="F653" s="8">
        <v>0.33</v>
      </c>
      <c r="G653" s="8">
        <v>0</v>
      </c>
      <c r="H653" s="7" t="s">
        <v>26</v>
      </c>
      <c r="I653" s="8">
        <f t="shared" si="20"/>
        <v>0</v>
      </c>
      <c r="J653" s="7" t="str">
        <f t="shared" si="21"/>
        <v>Queda en 0</v>
      </c>
    </row>
    <row r="654" spans="1:10" x14ac:dyDescent="0.3">
      <c r="A654" s="7">
        <v>94</v>
      </c>
      <c r="B654" s="7" t="s">
        <v>369</v>
      </c>
      <c r="C654" s="7">
        <v>800791</v>
      </c>
      <c r="D654" s="7" t="s">
        <v>259</v>
      </c>
      <c r="E654" s="7" t="s">
        <v>243</v>
      </c>
      <c r="F654" s="8">
        <v>1</v>
      </c>
      <c r="G654" s="8">
        <v>40.729999999999997</v>
      </c>
      <c r="H654" s="7" t="s">
        <v>26</v>
      </c>
      <c r="I654" s="8">
        <f t="shared" si="20"/>
        <v>39.729999999999997</v>
      </c>
      <c r="J654" s="7" t="str">
        <f t="shared" si="21"/>
        <v>OK</v>
      </c>
    </row>
    <row r="655" spans="1:10" x14ac:dyDescent="0.3">
      <c r="A655" s="7">
        <v>94</v>
      </c>
      <c r="B655" s="7" t="s">
        <v>369</v>
      </c>
      <c r="C655" s="7">
        <v>800792</v>
      </c>
      <c r="D655" s="7" t="s">
        <v>242</v>
      </c>
      <c r="E655" s="7" t="s">
        <v>243</v>
      </c>
      <c r="F655" s="8">
        <v>26.67</v>
      </c>
      <c r="G655" s="8">
        <v>253.83</v>
      </c>
      <c r="H655" s="7" t="s">
        <v>26</v>
      </c>
      <c r="I655" s="8">
        <f t="shared" si="20"/>
        <v>227.16000000000003</v>
      </c>
      <c r="J655" s="7" t="str">
        <f t="shared" si="21"/>
        <v>OK</v>
      </c>
    </row>
    <row r="656" spans="1:10" x14ac:dyDescent="0.3">
      <c r="A656" s="7">
        <v>94</v>
      </c>
      <c r="B656" s="7" t="s">
        <v>369</v>
      </c>
      <c r="C656" s="7">
        <v>800793</v>
      </c>
      <c r="D656" s="7" t="s">
        <v>260</v>
      </c>
      <c r="E656" s="7" t="s">
        <v>243</v>
      </c>
      <c r="F656" s="8">
        <v>18</v>
      </c>
      <c r="G656" s="8">
        <v>85.39</v>
      </c>
      <c r="H656" s="7" t="s">
        <v>26</v>
      </c>
      <c r="I656" s="8">
        <f t="shared" si="20"/>
        <v>67.39</v>
      </c>
      <c r="J656" s="7" t="str">
        <f t="shared" si="21"/>
        <v>OK</v>
      </c>
    </row>
    <row r="657" spans="1:10" x14ac:dyDescent="0.3">
      <c r="A657" s="7">
        <v>94</v>
      </c>
      <c r="B657" s="7" t="s">
        <v>369</v>
      </c>
      <c r="C657" s="7">
        <v>800796</v>
      </c>
      <c r="D657" s="7" t="s">
        <v>276</v>
      </c>
      <c r="E657" s="7" t="s">
        <v>243</v>
      </c>
      <c r="F657" s="8">
        <v>0.67</v>
      </c>
      <c r="G657" s="8">
        <v>31.34</v>
      </c>
      <c r="H657" s="7" t="s">
        <v>26</v>
      </c>
      <c r="I657" s="8">
        <f t="shared" si="20"/>
        <v>30.669999999999998</v>
      </c>
      <c r="J657" s="7" t="str">
        <f t="shared" si="21"/>
        <v>OK</v>
      </c>
    </row>
    <row r="658" spans="1:10" x14ac:dyDescent="0.3">
      <c r="A658" s="7">
        <v>94</v>
      </c>
      <c r="B658" s="7" t="s">
        <v>369</v>
      </c>
      <c r="C658" s="7">
        <v>910010</v>
      </c>
      <c r="D658" s="7" t="s">
        <v>373</v>
      </c>
      <c r="E658" s="7" t="s">
        <v>215</v>
      </c>
      <c r="F658" s="8">
        <v>0.67</v>
      </c>
      <c r="G658" s="8">
        <v>0</v>
      </c>
      <c r="H658" s="7" t="s">
        <v>26</v>
      </c>
      <c r="I658" s="8">
        <f t="shared" si="20"/>
        <v>0</v>
      </c>
      <c r="J658" s="7" t="str">
        <f t="shared" si="21"/>
        <v>Queda en 0</v>
      </c>
    </row>
    <row r="659" spans="1:10" x14ac:dyDescent="0.3">
      <c r="A659" s="7">
        <v>94</v>
      </c>
      <c r="B659" s="7" t="s">
        <v>369</v>
      </c>
      <c r="C659" s="7">
        <v>925050</v>
      </c>
      <c r="D659" s="7" t="s">
        <v>261</v>
      </c>
      <c r="E659" s="7" t="s">
        <v>220</v>
      </c>
      <c r="F659" s="8">
        <v>8</v>
      </c>
      <c r="G659" s="8">
        <v>68.2</v>
      </c>
      <c r="H659" s="7" t="s">
        <v>26</v>
      </c>
      <c r="I659" s="8">
        <f t="shared" si="20"/>
        <v>60.2</v>
      </c>
      <c r="J659" s="7" t="str">
        <f t="shared" si="21"/>
        <v>OK</v>
      </c>
    </row>
    <row r="660" spans="1:10" x14ac:dyDescent="0.3">
      <c r="A660" s="7">
        <v>94</v>
      </c>
      <c r="B660" s="7" t="s">
        <v>369</v>
      </c>
      <c r="C660" s="7">
        <v>925062</v>
      </c>
      <c r="D660" s="7" t="s">
        <v>345</v>
      </c>
      <c r="E660" s="7" t="s">
        <v>220</v>
      </c>
      <c r="F660" s="8">
        <v>0.33</v>
      </c>
      <c r="G660" s="8">
        <v>0</v>
      </c>
      <c r="H660" s="7" t="s">
        <v>26</v>
      </c>
      <c r="I660" s="8">
        <f t="shared" si="20"/>
        <v>0</v>
      </c>
      <c r="J660" s="7" t="str">
        <f t="shared" si="21"/>
        <v>Queda en 0</v>
      </c>
    </row>
    <row r="661" spans="1:10" x14ac:dyDescent="0.3">
      <c r="A661" s="7">
        <v>94</v>
      </c>
      <c r="B661" s="7" t="s">
        <v>369</v>
      </c>
      <c r="C661" s="7">
        <v>925064</v>
      </c>
      <c r="D661" s="7" t="s">
        <v>263</v>
      </c>
      <c r="E661" s="7" t="s">
        <v>220</v>
      </c>
      <c r="F661" s="8">
        <v>66.67</v>
      </c>
      <c r="G661" s="8">
        <v>535.91</v>
      </c>
      <c r="H661" s="7" t="s">
        <v>26</v>
      </c>
      <c r="I661" s="8">
        <f t="shared" si="20"/>
        <v>469.23999999999995</v>
      </c>
      <c r="J661" s="7" t="str">
        <f t="shared" si="21"/>
        <v>OK</v>
      </c>
    </row>
    <row r="662" spans="1:10" x14ac:dyDescent="0.3">
      <c r="A662" s="7">
        <v>94</v>
      </c>
      <c r="B662" s="7" t="s">
        <v>369</v>
      </c>
      <c r="C662" s="7">
        <v>925076</v>
      </c>
      <c r="D662" s="7" t="s">
        <v>278</v>
      </c>
      <c r="E662" s="7" t="s">
        <v>220</v>
      </c>
      <c r="F662" s="8">
        <v>4</v>
      </c>
      <c r="G662" s="8">
        <v>52.95</v>
      </c>
      <c r="H662" s="7" t="s">
        <v>26</v>
      </c>
      <c r="I662" s="8">
        <f t="shared" si="20"/>
        <v>48.95</v>
      </c>
      <c r="J662" s="7" t="str">
        <f t="shared" si="21"/>
        <v>OK</v>
      </c>
    </row>
    <row r="663" spans="1:10" x14ac:dyDescent="0.3">
      <c r="A663" s="7">
        <v>94</v>
      </c>
      <c r="B663" s="7" t="s">
        <v>369</v>
      </c>
      <c r="C663" s="7">
        <v>925078</v>
      </c>
      <c r="D663" s="7" t="s">
        <v>221</v>
      </c>
      <c r="E663" s="7" t="s">
        <v>220</v>
      </c>
      <c r="F663" s="8">
        <v>16</v>
      </c>
      <c r="G663" s="8">
        <v>48.94</v>
      </c>
      <c r="H663" s="7" t="s">
        <v>26</v>
      </c>
      <c r="I663" s="8">
        <f t="shared" si="20"/>
        <v>32.94</v>
      </c>
      <c r="J663" s="7" t="str">
        <f t="shared" si="21"/>
        <v>OK</v>
      </c>
    </row>
    <row r="664" spans="1:10" x14ac:dyDescent="0.3">
      <c r="A664" s="7">
        <v>94</v>
      </c>
      <c r="B664" s="7" t="s">
        <v>369</v>
      </c>
      <c r="C664" s="7">
        <v>925079</v>
      </c>
      <c r="D664" s="7" t="s">
        <v>279</v>
      </c>
      <c r="E664" s="7" t="s">
        <v>220</v>
      </c>
      <c r="F664" s="8">
        <v>20</v>
      </c>
      <c r="G664" s="8">
        <v>105.09</v>
      </c>
      <c r="H664" s="7" t="s">
        <v>26</v>
      </c>
      <c r="I664" s="8">
        <f t="shared" si="20"/>
        <v>85.09</v>
      </c>
      <c r="J664" s="7" t="str">
        <f t="shared" si="21"/>
        <v>OK</v>
      </c>
    </row>
    <row r="665" spans="1:10" x14ac:dyDescent="0.3">
      <c r="A665" s="7">
        <v>94</v>
      </c>
      <c r="B665" s="7" t="s">
        <v>369</v>
      </c>
      <c r="C665" s="7">
        <v>925083</v>
      </c>
      <c r="D665" s="7" t="s">
        <v>346</v>
      </c>
      <c r="E665" s="7" t="s">
        <v>220</v>
      </c>
      <c r="F665" s="8">
        <v>4</v>
      </c>
      <c r="G665" s="8">
        <v>4.01</v>
      </c>
      <c r="H665" s="7" t="s">
        <v>26</v>
      </c>
      <c r="I665" s="8">
        <f t="shared" si="20"/>
        <v>9.9999999999997868E-3</v>
      </c>
      <c r="J665" s="7" t="str">
        <f t="shared" si="21"/>
        <v>OK</v>
      </c>
    </row>
    <row r="666" spans="1:10" x14ac:dyDescent="0.3">
      <c r="A666" s="7">
        <v>94</v>
      </c>
      <c r="B666" s="7" t="s">
        <v>369</v>
      </c>
      <c r="C666" s="7">
        <v>925094</v>
      </c>
      <c r="D666" s="7" t="s">
        <v>298</v>
      </c>
      <c r="E666" s="7" t="s">
        <v>220</v>
      </c>
      <c r="F666" s="8">
        <v>8</v>
      </c>
      <c r="G666" s="8">
        <v>59.37</v>
      </c>
      <c r="H666" s="7" t="s">
        <v>26</v>
      </c>
      <c r="I666" s="8">
        <f t="shared" si="20"/>
        <v>51.37</v>
      </c>
      <c r="J666" s="7" t="str">
        <f t="shared" si="21"/>
        <v>OK</v>
      </c>
    </row>
    <row r="667" spans="1:10" x14ac:dyDescent="0.3">
      <c r="A667" s="7">
        <v>94</v>
      </c>
      <c r="B667" s="7" t="s">
        <v>369</v>
      </c>
      <c r="C667" s="7">
        <v>925095</v>
      </c>
      <c r="D667" s="7" t="s">
        <v>280</v>
      </c>
      <c r="E667" s="7" t="s">
        <v>220</v>
      </c>
      <c r="F667" s="8">
        <v>12</v>
      </c>
      <c r="G667" s="8">
        <v>111.52</v>
      </c>
      <c r="H667" s="7" t="s">
        <v>26</v>
      </c>
      <c r="I667" s="8">
        <f t="shared" si="20"/>
        <v>99.52</v>
      </c>
      <c r="J667" s="7" t="str">
        <f t="shared" si="21"/>
        <v>OK</v>
      </c>
    </row>
    <row r="668" spans="1:10" x14ac:dyDescent="0.3">
      <c r="A668" s="7">
        <v>94</v>
      </c>
      <c r="B668" s="7" t="s">
        <v>369</v>
      </c>
      <c r="C668" s="7">
        <v>930012</v>
      </c>
      <c r="D668" s="7" t="s">
        <v>264</v>
      </c>
      <c r="E668" s="7" t="s">
        <v>243</v>
      </c>
      <c r="F668" s="8">
        <v>15</v>
      </c>
      <c r="G668" s="8">
        <v>155.9</v>
      </c>
      <c r="H668" s="7" t="s">
        <v>26</v>
      </c>
      <c r="I668" s="8">
        <f t="shared" si="20"/>
        <v>140.9</v>
      </c>
      <c r="J668" s="7" t="str">
        <f t="shared" si="21"/>
        <v>OK</v>
      </c>
    </row>
    <row r="669" spans="1:10" x14ac:dyDescent="0.3">
      <c r="A669" s="7">
        <v>94</v>
      </c>
      <c r="B669" s="7" t="s">
        <v>369</v>
      </c>
      <c r="C669" s="7">
        <v>930020</v>
      </c>
      <c r="D669" s="7" t="s">
        <v>299</v>
      </c>
      <c r="E669" s="7" t="s">
        <v>243</v>
      </c>
      <c r="F669" s="8">
        <v>3.67</v>
      </c>
      <c r="G669" s="8">
        <v>29.77</v>
      </c>
      <c r="H669" s="7" t="s">
        <v>26</v>
      </c>
      <c r="I669" s="8">
        <f t="shared" si="20"/>
        <v>26.1</v>
      </c>
      <c r="J669" s="7" t="str">
        <f t="shared" si="21"/>
        <v>OK</v>
      </c>
    </row>
    <row r="670" spans="1:10" x14ac:dyDescent="0.3">
      <c r="A670" s="7">
        <v>94</v>
      </c>
      <c r="B670" s="7" t="s">
        <v>369</v>
      </c>
      <c r="C670" s="7">
        <v>930021</v>
      </c>
      <c r="D670" s="7" t="s">
        <v>300</v>
      </c>
      <c r="E670" s="7" t="s">
        <v>243</v>
      </c>
      <c r="F670" s="8">
        <v>6.33</v>
      </c>
      <c r="G670" s="8">
        <v>50.92</v>
      </c>
      <c r="H670" s="7" t="s">
        <v>26</v>
      </c>
      <c r="I670" s="8">
        <f t="shared" si="20"/>
        <v>44.59</v>
      </c>
      <c r="J670" s="7" t="str">
        <f t="shared" si="21"/>
        <v>OK</v>
      </c>
    </row>
    <row r="671" spans="1:10" x14ac:dyDescent="0.3">
      <c r="A671" s="7">
        <v>94</v>
      </c>
      <c r="B671" s="7" t="s">
        <v>369</v>
      </c>
      <c r="C671" s="7">
        <v>930022</v>
      </c>
      <c r="D671" s="7" t="s">
        <v>265</v>
      </c>
      <c r="E671" s="7" t="s">
        <v>243</v>
      </c>
      <c r="F671" s="8">
        <v>7.67</v>
      </c>
      <c r="G671" s="8">
        <v>62.67</v>
      </c>
      <c r="H671" s="7" t="s">
        <v>26</v>
      </c>
      <c r="I671" s="8">
        <f t="shared" si="20"/>
        <v>55</v>
      </c>
      <c r="J671" s="7" t="str">
        <f t="shared" si="21"/>
        <v>OK</v>
      </c>
    </row>
    <row r="672" spans="1:10" x14ac:dyDescent="0.3">
      <c r="A672" s="7">
        <v>94</v>
      </c>
      <c r="B672" s="7" t="s">
        <v>369</v>
      </c>
      <c r="C672" s="7">
        <v>930023</v>
      </c>
      <c r="D672" s="7" t="s">
        <v>335</v>
      </c>
      <c r="E672" s="7" t="s">
        <v>243</v>
      </c>
      <c r="F672" s="8">
        <v>1.67</v>
      </c>
      <c r="G672" s="8">
        <v>18.010000000000002</v>
      </c>
      <c r="H672" s="7" t="s">
        <v>26</v>
      </c>
      <c r="I672" s="8">
        <f t="shared" si="20"/>
        <v>16.340000000000003</v>
      </c>
      <c r="J672" s="7" t="str">
        <f t="shared" si="21"/>
        <v>OK</v>
      </c>
    </row>
    <row r="673" spans="1:10" x14ac:dyDescent="0.3">
      <c r="A673" s="7">
        <v>94</v>
      </c>
      <c r="B673" s="7" t="s">
        <v>369</v>
      </c>
      <c r="C673" s="7">
        <v>930025</v>
      </c>
      <c r="D673" s="7" t="s">
        <v>244</v>
      </c>
      <c r="E673" s="7" t="s">
        <v>243</v>
      </c>
      <c r="F673" s="8">
        <v>15.67</v>
      </c>
      <c r="G673" s="8">
        <v>220.92</v>
      </c>
      <c r="H673" s="7" t="s">
        <v>26</v>
      </c>
      <c r="I673" s="8">
        <f t="shared" si="20"/>
        <v>205.25</v>
      </c>
      <c r="J673" s="7" t="str">
        <f t="shared" si="21"/>
        <v>OK</v>
      </c>
    </row>
    <row r="674" spans="1:10" x14ac:dyDescent="0.3">
      <c r="A674" s="7">
        <v>94</v>
      </c>
      <c r="B674" s="7" t="s">
        <v>369</v>
      </c>
      <c r="C674" s="7">
        <v>930026</v>
      </c>
      <c r="D674" s="7" t="s">
        <v>301</v>
      </c>
      <c r="E674" s="7" t="s">
        <v>243</v>
      </c>
      <c r="F674" s="8">
        <v>7</v>
      </c>
      <c r="G674" s="8">
        <v>39.950000000000003</v>
      </c>
      <c r="H674" s="7" t="s">
        <v>26</v>
      </c>
      <c r="I674" s="8">
        <f t="shared" si="20"/>
        <v>32.950000000000003</v>
      </c>
      <c r="J674" s="7" t="str">
        <f t="shared" si="21"/>
        <v>OK</v>
      </c>
    </row>
    <row r="675" spans="1:10" x14ac:dyDescent="0.3">
      <c r="A675" s="7">
        <v>94</v>
      </c>
      <c r="B675" s="7" t="s">
        <v>369</v>
      </c>
      <c r="C675" s="7">
        <v>930028</v>
      </c>
      <c r="D675" s="7" t="s">
        <v>302</v>
      </c>
      <c r="E675" s="7" t="s">
        <v>243</v>
      </c>
      <c r="F675" s="8">
        <v>2</v>
      </c>
      <c r="G675" s="8">
        <v>13.32</v>
      </c>
      <c r="H675" s="7" t="s">
        <v>26</v>
      </c>
      <c r="I675" s="8">
        <f t="shared" si="20"/>
        <v>11.32</v>
      </c>
      <c r="J675" s="7" t="str">
        <f t="shared" si="21"/>
        <v>OK</v>
      </c>
    </row>
    <row r="676" spans="1:10" x14ac:dyDescent="0.3">
      <c r="A676" s="7">
        <v>94</v>
      </c>
      <c r="B676" s="7" t="s">
        <v>369</v>
      </c>
      <c r="C676" s="7">
        <v>930060</v>
      </c>
      <c r="D676" s="7" t="s">
        <v>336</v>
      </c>
      <c r="E676" s="7" t="s">
        <v>243</v>
      </c>
      <c r="F676" s="8">
        <v>0.67</v>
      </c>
      <c r="G676" s="8">
        <v>3.14</v>
      </c>
      <c r="H676" s="7" t="s">
        <v>26</v>
      </c>
      <c r="I676" s="8">
        <f t="shared" si="20"/>
        <v>2.4700000000000002</v>
      </c>
      <c r="J676" s="7" t="str">
        <f t="shared" si="21"/>
        <v>OK</v>
      </c>
    </row>
    <row r="677" spans="1:10" x14ac:dyDescent="0.3">
      <c r="A677" s="7">
        <v>94</v>
      </c>
      <c r="B677" s="7" t="s">
        <v>369</v>
      </c>
      <c r="C677" s="7">
        <v>930112</v>
      </c>
      <c r="D677" s="7" t="s">
        <v>310</v>
      </c>
      <c r="E677" s="7" t="s">
        <v>243</v>
      </c>
      <c r="F677" s="8">
        <v>1</v>
      </c>
      <c r="G677" s="8">
        <v>16.45</v>
      </c>
      <c r="H677" s="7" t="s">
        <v>26</v>
      </c>
      <c r="I677" s="8">
        <f t="shared" si="20"/>
        <v>15.45</v>
      </c>
      <c r="J677" s="7" t="str">
        <f t="shared" si="21"/>
        <v>OK</v>
      </c>
    </row>
    <row r="678" spans="1:10" x14ac:dyDescent="0.3">
      <c r="A678" s="7">
        <v>94</v>
      </c>
      <c r="B678" s="7" t="s">
        <v>369</v>
      </c>
      <c r="C678" s="7">
        <v>930113</v>
      </c>
      <c r="D678" s="7" t="s">
        <v>303</v>
      </c>
      <c r="E678" s="7" t="s">
        <v>243</v>
      </c>
      <c r="F678" s="8">
        <v>4</v>
      </c>
      <c r="G678" s="8">
        <v>29.77</v>
      </c>
      <c r="H678" s="7" t="s">
        <v>26</v>
      </c>
      <c r="I678" s="8">
        <f t="shared" si="20"/>
        <v>25.77</v>
      </c>
      <c r="J678" s="7" t="str">
        <f t="shared" si="21"/>
        <v>OK</v>
      </c>
    </row>
    <row r="679" spans="1:10" x14ac:dyDescent="0.3">
      <c r="A679" s="7">
        <v>94</v>
      </c>
      <c r="B679" s="7" t="s">
        <v>369</v>
      </c>
      <c r="C679" s="7">
        <v>930121</v>
      </c>
      <c r="D679" s="7" t="s">
        <v>304</v>
      </c>
      <c r="E679" s="7" t="s">
        <v>243</v>
      </c>
      <c r="F679" s="8">
        <v>3.33</v>
      </c>
      <c r="G679" s="8">
        <v>22.72</v>
      </c>
      <c r="H679" s="7" t="s">
        <v>26</v>
      </c>
      <c r="I679" s="8">
        <f t="shared" si="20"/>
        <v>19.39</v>
      </c>
      <c r="J679" s="7" t="str">
        <f t="shared" si="21"/>
        <v>OK</v>
      </c>
    </row>
    <row r="680" spans="1:10" x14ac:dyDescent="0.3">
      <c r="A680" s="7">
        <v>94</v>
      </c>
      <c r="B680" s="7" t="s">
        <v>369</v>
      </c>
      <c r="C680" s="7">
        <v>930137</v>
      </c>
      <c r="D680" s="7" t="s">
        <v>311</v>
      </c>
      <c r="E680" s="7" t="s">
        <v>243</v>
      </c>
      <c r="F680" s="8">
        <v>10</v>
      </c>
      <c r="G680" s="8">
        <v>85.39</v>
      </c>
      <c r="H680" s="7" t="s">
        <v>26</v>
      </c>
      <c r="I680" s="8">
        <f t="shared" si="20"/>
        <v>75.39</v>
      </c>
      <c r="J680" s="7" t="str">
        <f t="shared" si="21"/>
        <v>OK</v>
      </c>
    </row>
    <row r="681" spans="1:10" x14ac:dyDescent="0.3">
      <c r="A681" s="7">
        <v>94</v>
      </c>
      <c r="B681" s="7" t="s">
        <v>369</v>
      </c>
      <c r="C681" s="7">
        <v>930138</v>
      </c>
      <c r="D681" s="7" t="s">
        <v>312</v>
      </c>
      <c r="E681" s="7" t="s">
        <v>243</v>
      </c>
      <c r="F681" s="8">
        <v>10</v>
      </c>
      <c r="G681" s="8">
        <v>107.33</v>
      </c>
      <c r="H681" s="7" t="s">
        <v>26</v>
      </c>
      <c r="I681" s="8">
        <f t="shared" si="20"/>
        <v>97.33</v>
      </c>
      <c r="J681" s="7" t="str">
        <f t="shared" si="21"/>
        <v>OK</v>
      </c>
    </row>
    <row r="682" spans="1:10" x14ac:dyDescent="0.3">
      <c r="A682" s="7">
        <v>94</v>
      </c>
      <c r="B682" s="7" t="s">
        <v>369</v>
      </c>
      <c r="C682" s="7">
        <v>930139</v>
      </c>
      <c r="D682" s="7" t="s">
        <v>313</v>
      </c>
      <c r="E682" s="7" t="s">
        <v>243</v>
      </c>
      <c r="F682" s="8">
        <v>8</v>
      </c>
      <c r="G682" s="8">
        <v>92.44</v>
      </c>
      <c r="H682" s="7" t="s">
        <v>26</v>
      </c>
      <c r="I682" s="8">
        <f t="shared" si="20"/>
        <v>84.44</v>
      </c>
      <c r="J682" s="7" t="str">
        <f t="shared" si="21"/>
        <v>OK</v>
      </c>
    </row>
    <row r="683" spans="1:10" x14ac:dyDescent="0.3">
      <c r="A683" s="7">
        <v>94</v>
      </c>
      <c r="B683" s="7" t="s">
        <v>369</v>
      </c>
      <c r="C683" s="7">
        <v>930140</v>
      </c>
      <c r="D683" s="7" t="s">
        <v>314</v>
      </c>
      <c r="E683" s="7" t="s">
        <v>243</v>
      </c>
      <c r="F683" s="8">
        <v>10</v>
      </c>
      <c r="G683" s="8">
        <v>121.43</v>
      </c>
      <c r="H683" s="7" t="s">
        <v>26</v>
      </c>
      <c r="I683" s="8">
        <f t="shared" si="20"/>
        <v>111.43</v>
      </c>
      <c r="J683" s="7" t="str">
        <f t="shared" si="21"/>
        <v>OK</v>
      </c>
    </row>
    <row r="684" spans="1:10" x14ac:dyDescent="0.3">
      <c r="A684" s="7">
        <v>94</v>
      </c>
      <c r="B684" s="7" t="s">
        <v>369</v>
      </c>
      <c r="C684" s="7">
        <v>930144</v>
      </c>
      <c r="D684" s="7" t="s">
        <v>315</v>
      </c>
      <c r="E684" s="7" t="s">
        <v>243</v>
      </c>
      <c r="F684" s="8">
        <v>8</v>
      </c>
      <c r="G684" s="8">
        <v>63.45</v>
      </c>
      <c r="H684" s="7" t="s">
        <v>26</v>
      </c>
      <c r="I684" s="8">
        <f t="shared" si="20"/>
        <v>55.45</v>
      </c>
      <c r="J684" s="7" t="str">
        <f t="shared" si="21"/>
        <v>OK</v>
      </c>
    </row>
    <row r="685" spans="1:10" x14ac:dyDescent="0.3">
      <c r="A685" s="7">
        <v>94</v>
      </c>
      <c r="B685" s="7" t="s">
        <v>369</v>
      </c>
      <c r="C685" s="7">
        <v>930145</v>
      </c>
      <c r="D685" s="7" t="s">
        <v>316</v>
      </c>
      <c r="E685" s="7" t="s">
        <v>243</v>
      </c>
      <c r="F685" s="8">
        <v>10</v>
      </c>
      <c r="G685" s="8">
        <v>106.54</v>
      </c>
      <c r="H685" s="7" t="s">
        <v>26</v>
      </c>
      <c r="I685" s="8">
        <f t="shared" si="20"/>
        <v>96.54</v>
      </c>
      <c r="J685" s="7" t="str">
        <f t="shared" si="21"/>
        <v>OK</v>
      </c>
    </row>
    <row r="686" spans="1:10" x14ac:dyDescent="0.3">
      <c r="A686" s="7">
        <v>94</v>
      </c>
      <c r="B686" s="7" t="s">
        <v>369</v>
      </c>
      <c r="C686" s="7">
        <v>930153</v>
      </c>
      <c r="D686" s="7" t="s">
        <v>282</v>
      </c>
      <c r="E686" s="7" t="s">
        <v>243</v>
      </c>
      <c r="F686" s="8">
        <v>1.67</v>
      </c>
      <c r="G686" s="8">
        <v>61.1</v>
      </c>
      <c r="H686" s="7" t="s">
        <v>26</v>
      </c>
      <c r="I686" s="8">
        <f t="shared" si="20"/>
        <v>59.43</v>
      </c>
      <c r="J686" s="7" t="str">
        <f t="shared" si="21"/>
        <v>OK</v>
      </c>
    </row>
    <row r="687" spans="1:10" x14ac:dyDescent="0.3">
      <c r="A687" s="7">
        <v>94</v>
      </c>
      <c r="B687" s="7" t="s">
        <v>369</v>
      </c>
      <c r="C687" s="7">
        <v>930154</v>
      </c>
      <c r="D687" s="7" t="s">
        <v>245</v>
      </c>
      <c r="E687" s="7" t="s">
        <v>243</v>
      </c>
      <c r="F687" s="8">
        <v>6.67</v>
      </c>
      <c r="G687" s="8">
        <v>23.51</v>
      </c>
      <c r="H687" s="7" t="s">
        <v>26</v>
      </c>
      <c r="I687" s="8">
        <f t="shared" si="20"/>
        <v>16.840000000000003</v>
      </c>
      <c r="J687" s="7" t="str">
        <f t="shared" si="21"/>
        <v>OK</v>
      </c>
    </row>
    <row r="688" spans="1:10" x14ac:dyDescent="0.3">
      <c r="A688" s="7">
        <v>94</v>
      </c>
      <c r="B688" s="7" t="s">
        <v>369</v>
      </c>
      <c r="C688" s="7">
        <v>930174</v>
      </c>
      <c r="D688" s="7" t="s">
        <v>329</v>
      </c>
      <c r="E688" s="7" t="s">
        <v>243</v>
      </c>
      <c r="F688" s="8">
        <v>0.67</v>
      </c>
      <c r="G688" s="8">
        <v>4.7</v>
      </c>
      <c r="H688" s="7" t="s">
        <v>26</v>
      </c>
      <c r="I688" s="8">
        <f t="shared" si="20"/>
        <v>4.03</v>
      </c>
      <c r="J688" s="7" t="str">
        <f t="shared" si="21"/>
        <v>OK</v>
      </c>
    </row>
    <row r="689" spans="1:10" x14ac:dyDescent="0.3">
      <c r="A689" s="7">
        <v>94</v>
      </c>
      <c r="B689" s="7" t="s">
        <v>369</v>
      </c>
      <c r="C689" s="7">
        <v>930177</v>
      </c>
      <c r="D689" s="7" t="s">
        <v>317</v>
      </c>
      <c r="E689" s="7" t="s">
        <v>243</v>
      </c>
      <c r="F689" s="8">
        <v>12</v>
      </c>
      <c r="G689" s="8">
        <v>165.3</v>
      </c>
      <c r="H689" s="7" t="s">
        <v>26</v>
      </c>
      <c r="I689" s="8">
        <f t="shared" si="20"/>
        <v>153.30000000000001</v>
      </c>
      <c r="J689" s="7" t="str">
        <f t="shared" si="21"/>
        <v>OK</v>
      </c>
    </row>
    <row r="690" spans="1:10" x14ac:dyDescent="0.3">
      <c r="A690" s="7">
        <v>94</v>
      </c>
      <c r="B690" s="7" t="s">
        <v>369</v>
      </c>
      <c r="C690" s="7">
        <v>930178</v>
      </c>
      <c r="D690" s="7" t="s">
        <v>267</v>
      </c>
      <c r="E690" s="7" t="s">
        <v>243</v>
      </c>
      <c r="F690" s="8">
        <v>16.329999999999998</v>
      </c>
      <c r="G690" s="8">
        <v>61.1</v>
      </c>
      <c r="H690" s="7" t="s">
        <v>26</v>
      </c>
      <c r="I690" s="8">
        <f t="shared" si="20"/>
        <v>44.77</v>
      </c>
      <c r="J690" s="7" t="str">
        <f t="shared" si="21"/>
        <v>OK</v>
      </c>
    </row>
    <row r="691" spans="1:10" x14ac:dyDescent="0.3">
      <c r="A691" s="7">
        <v>94</v>
      </c>
      <c r="B691" s="7" t="s">
        <v>369</v>
      </c>
      <c r="C691" s="7">
        <v>930193</v>
      </c>
      <c r="D691" s="7" t="s">
        <v>268</v>
      </c>
      <c r="E691" s="7" t="s">
        <v>243</v>
      </c>
      <c r="F691" s="8">
        <v>0.33</v>
      </c>
      <c r="G691" s="8">
        <v>0</v>
      </c>
      <c r="H691" s="7" t="s">
        <v>26</v>
      </c>
      <c r="I691" s="8">
        <f t="shared" si="20"/>
        <v>0</v>
      </c>
      <c r="J691" s="7" t="str">
        <f t="shared" si="21"/>
        <v>Queda en 0</v>
      </c>
    </row>
    <row r="692" spans="1:10" x14ac:dyDescent="0.3">
      <c r="A692" s="7">
        <v>94</v>
      </c>
      <c r="B692" s="7" t="s">
        <v>369</v>
      </c>
      <c r="C692" s="7">
        <v>960104</v>
      </c>
      <c r="D692" s="7" t="s">
        <v>374</v>
      </c>
      <c r="E692" s="7" t="s">
        <v>306</v>
      </c>
      <c r="F692" s="8">
        <v>2</v>
      </c>
      <c r="G692" s="8">
        <v>4.08</v>
      </c>
      <c r="H692" s="7" t="s">
        <v>26</v>
      </c>
      <c r="I692" s="8">
        <f t="shared" si="20"/>
        <v>2.08</v>
      </c>
      <c r="J692" s="7" t="str">
        <f t="shared" si="21"/>
        <v>OK</v>
      </c>
    </row>
    <row r="693" spans="1:10" x14ac:dyDescent="0.3">
      <c r="A693" s="7">
        <v>94</v>
      </c>
      <c r="B693" s="7" t="s">
        <v>369</v>
      </c>
      <c r="C693" s="7">
        <v>960105</v>
      </c>
      <c r="D693" s="7" t="s">
        <v>305</v>
      </c>
      <c r="E693" s="7" t="s">
        <v>306</v>
      </c>
      <c r="F693" s="8">
        <v>2</v>
      </c>
      <c r="G693" s="8">
        <v>4.08</v>
      </c>
      <c r="H693" s="7" t="s">
        <v>26</v>
      </c>
      <c r="I693" s="8">
        <f t="shared" si="20"/>
        <v>2.08</v>
      </c>
      <c r="J693" s="7" t="str">
        <f t="shared" si="21"/>
        <v>OK</v>
      </c>
    </row>
    <row r="694" spans="1:10" x14ac:dyDescent="0.3">
      <c r="A694" s="7">
        <v>94</v>
      </c>
      <c r="B694" s="7" t="s">
        <v>369</v>
      </c>
      <c r="C694" s="7">
        <v>982003</v>
      </c>
      <c r="D694" s="7" t="s">
        <v>269</v>
      </c>
      <c r="E694" s="7" t="s">
        <v>270</v>
      </c>
      <c r="F694" s="8">
        <v>0.67</v>
      </c>
      <c r="G694" s="8">
        <v>34.630000000000003</v>
      </c>
      <c r="H694" s="7" t="s">
        <v>26</v>
      </c>
      <c r="I694" s="8">
        <f t="shared" si="20"/>
        <v>33.96</v>
      </c>
      <c r="J694" s="7" t="str">
        <f t="shared" si="21"/>
        <v>OK</v>
      </c>
    </row>
    <row r="695" spans="1:10" x14ac:dyDescent="0.3">
      <c r="A695" s="7">
        <v>95</v>
      </c>
      <c r="B695" s="7" t="s">
        <v>375</v>
      </c>
      <c r="C695" s="7">
        <v>101005</v>
      </c>
      <c r="D695" s="7" t="s">
        <v>232</v>
      </c>
      <c r="E695" s="7" t="s">
        <v>215</v>
      </c>
      <c r="F695" s="8">
        <v>10</v>
      </c>
      <c r="G695" s="8">
        <v>0</v>
      </c>
      <c r="H695" s="7" t="s">
        <v>75</v>
      </c>
      <c r="I695" s="8">
        <f t="shared" si="20"/>
        <v>0</v>
      </c>
      <c r="J695" s="7" t="str">
        <f t="shared" si="21"/>
        <v>Sin fila previa</v>
      </c>
    </row>
    <row r="696" spans="1:10" x14ac:dyDescent="0.3">
      <c r="A696" s="7">
        <v>95</v>
      </c>
      <c r="B696" s="7" t="s">
        <v>375</v>
      </c>
      <c r="C696" s="7">
        <v>101026</v>
      </c>
      <c r="D696" s="7" t="s">
        <v>233</v>
      </c>
      <c r="E696" s="7" t="s">
        <v>215</v>
      </c>
      <c r="F696" s="8">
        <v>12</v>
      </c>
      <c r="G696" s="8">
        <v>0</v>
      </c>
      <c r="H696" s="7" t="s">
        <v>75</v>
      </c>
      <c r="I696" s="8">
        <f t="shared" si="20"/>
        <v>0</v>
      </c>
      <c r="J696" s="7" t="str">
        <f t="shared" si="21"/>
        <v>Sin fila previa</v>
      </c>
    </row>
    <row r="697" spans="1:10" x14ac:dyDescent="0.3">
      <c r="A697" s="7">
        <v>95</v>
      </c>
      <c r="B697" s="7" t="s">
        <v>375</v>
      </c>
      <c r="C697" s="7">
        <v>101027</v>
      </c>
      <c r="D697" s="7" t="s">
        <v>234</v>
      </c>
      <c r="E697" s="7" t="s">
        <v>215</v>
      </c>
      <c r="F697" s="8">
        <v>8</v>
      </c>
      <c r="G697" s="8">
        <v>0</v>
      </c>
      <c r="H697" s="7" t="s">
        <v>75</v>
      </c>
      <c r="I697" s="8">
        <f t="shared" si="20"/>
        <v>0</v>
      </c>
      <c r="J697" s="7" t="str">
        <f t="shared" si="21"/>
        <v>Sin fila previa</v>
      </c>
    </row>
    <row r="698" spans="1:10" x14ac:dyDescent="0.3">
      <c r="A698" s="7">
        <v>95</v>
      </c>
      <c r="B698" s="7" t="s">
        <v>375</v>
      </c>
      <c r="C698" s="7">
        <v>101028</v>
      </c>
      <c r="D698" s="7" t="s">
        <v>214</v>
      </c>
      <c r="E698" s="7" t="s">
        <v>215</v>
      </c>
      <c r="F698" s="8">
        <v>6</v>
      </c>
      <c r="G698" s="8">
        <v>0</v>
      </c>
      <c r="H698" s="7" t="s">
        <v>75</v>
      </c>
      <c r="I698" s="8">
        <f t="shared" si="20"/>
        <v>0</v>
      </c>
      <c r="J698" s="7" t="str">
        <f t="shared" si="21"/>
        <v>Sin fila previa</v>
      </c>
    </row>
    <row r="699" spans="1:10" x14ac:dyDescent="0.3">
      <c r="A699" s="7">
        <v>95</v>
      </c>
      <c r="B699" s="7" t="s">
        <v>375</v>
      </c>
      <c r="C699" s="7">
        <v>101038</v>
      </c>
      <c r="D699" s="7" t="s">
        <v>235</v>
      </c>
      <c r="E699" s="7" t="s">
        <v>215</v>
      </c>
      <c r="F699" s="8">
        <v>3.33</v>
      </c>
      <c r="G699" s="8">
        <v>0</v>
      </c>
      <c r="H699" s="7" t="s">
        <v>75</v>
      </c>
      <c r="I699" s="8">
        <f t="shared" si="20"/>
        <v>0</v>
      </c>
      <c r="J699" s="7" t="str">
        <f t="shared" si="21"/>
        <v>Sin fila previa</v>
      </c>
    </row>
    <row r="700" spans="1:10" x14ac:dyDescent="0.3">
      <c r="A700" s="7">
        <v>95</v>
      </c>
      <c r="B700" s="7" t="s">
        <v>375</v>
      </c>
      <c r="C700" s="7">
        <v>101124</v>
      </c>
      <c r="D700" s="7" t="s">
        <v>322</v>
      </c>
      <c r="E700" s="7" t="s">
        <v>215</v>
      </c>
      <c r="F700" s="8">
        <v>4</v>
      </c>
      <c r="G700" s="8">
        <v>0</v>
      </c>
      <c r="H700" s="7" t="s">
        <v>75</v>
      </c>
      <c r="I700" s="8">
        <f t="shared" si="20"/>
        <v>0</v>
      </c>
      <c r="J700" s="7" t="str">
        <f t="shared" si="21"/>
        <v>Sin fila previa</v>
      </c>
    </row>
    <row r="701" spans="1:10" x14ac:dyDescent="0.3">
      <c r="A701" s="7">
        <v>95</v>
      </c>
      <c r="B701" s="7" t="s">
        <v>375</v>
      </c>
      <c r="C701" s="7">
        <v>800089</v>
      </c>
      <c r="D701" s="7" t="s">
        <v>241</v>
      </c>
      <c r="E701" s="7" t="s">
        <v>215</v>
      </c>
      <c r="F701" s="8">
        <v>2.67</v>
      </c>
      <c r="G701" s="8">
        <v>0</v>
      </c>
      <c r="H701" s="7" t="s">
        <v>75</v>
      </c>
      <c r="I701" s="8">
        <f t="shared" si="20"/>
        <v>0</v>
      </c>
      <c r="J701" s="7" t="str">
        <f t="shared" si="21"/>
        <v>Sin fila previa</v>
      </c>
    </row>
    <row r="702" spans="1:10" x14ac:dyDescent="0.3">
      <c r="A702" s="7">
        <v>97</v>
      </c>
      <c r="B702" s="7" t="s">
        <v>376</v>
      </c>
      <c r="C702" s="7">
        <v>101005</v>
      </c>
      <c r="D702" s="7" t="s">
        <v>232</v>
      </c>
      <c r="E702" s="7" t="s">
        <v>215</v>
      </c>
      <c r="F702" s="8">
        <v>30</v>
      </c>
      <c r="G702" s="8">
        <v>119.59</v>
      </c>
      <c r="H702" s="7" t="s">
        <v>26</v>
      </c>
      <c r="I702" s="8">
        <f t="shared" si="20"/>
        <v>89.59</v>
      </c>
      <c r="J702" s="7" t="str">
        <f t="shared" si="21"/>
        <v>OK</v>
      </c>
    </row>
    <row r="703" spans="1:10" x14ac:dyDescent="0.3">
      <c r="A703" s="7">
        <v>97</v>
      </c>
      <c r="B703" s="7" t="s">
        <v>376</v>
      </c>
      <c r="C703" s="7">
        <v>101026</v>
      </c>
      <c r="D703" s="7" t="s">
        <v>233</v>
      </c>
      <c r="E703" s="7" t="s">
        <v>215</v>
      </c>
      <c r="F703" s="8">
        <v>36</v>
      </c>
      <c r="G703" s="8">
        <v>127.94</v>
      </c>
      <c r="H703" s="7" t="s">
        <v>26</v>
      </c>
      <c r="I703" s="8">
        <f t="shared" si="20"/>
        <v>91.94</v>
      </c>
      <c r="J703" s="7" t="str">
        <f t="shared" si="21"/>
        <v>OK</v>
      </c>
    </row>
    <row r="704" spans="1:10" x14ac:dyDescent="0.3">
      <c r="A704" s="7">
        <v>97</v>
      </c>
      <c r="B704" s="7" t="s">
        <v>376</v>
      </c>
      <c r="C704" s="7">
        <v>101027</v>
      </c>
      <c r="D704" s="7" t="s">
        <v>234</v>
      </c>
      <c r="E704" s="7" t="s">
        <v>215</v>
      </c>
      <c r="F704" s="8">
        <v>40</v>
      </c>
      <c r="G704" s="8">
        <v>125.62</v>
      </c>
      <c r="H704" s="7" t="s">
        <v>26</v>
      </c>
      <c r="I704" s="8">
        <f t="shared" si="20"/>
        <v>85.62</v>
      </c>
      <c r="J704" s="7" t="str">
        <f t="shared" si="21"/>
        <v>OK</v>
      </c>
    </row>
    <row r="705" spans="1:10" x14ac:dyDescent="0.3">
      <c r="A705" s="7">
        <v>97</v>
      </c>
      <c r="B705" s="7" t="s">
        <v>376</v>
      </c>
      <c r="C705" s="7">
        <v>101028</v>
      </c>
      <c r="D705" s="7" t="s">
        <v>214</v>
      </c>
      <c r="E705" s="7" t="s">
        <v>215</v>
      </c>
      <c r="F705" s="8">
        <v>66</v>
      </c>
      <c r="G705" s="8">
        <v>213.8</v>
      </c>
      <c r="H705" s="7" t="s">
        <v>26</v>
      </c>
      <c r="I705" s="8">
        <f t="shared" si="20"/>
        <v>147.80000000000001</v>
      </c>
      <c r="J705" s="7" t="str">
        <f t="shared" si="21"/>
        <v>OK</v>
      </c>
    </row>
    <row r="706" spans="1:10" x14ac:dyDescent="0.3">
      <c r="A706" s="7">
        <v>97</v>
      </c>
      <c r="B706" s="7" t="s">
        <v>376</v>
      </c>
      <c r="C706" s="7">
        <v>101034</v>
      </c>
      <c r="D706" s="7" t="s">
        <v>272</v>
      </c>
      <c r="E706" s="7" t="s">
        <v>215</v>
      </c>
      <c r="F706" s="8">
        <v>3.33</v>
      </c>
      <c r="G706" s="8">
        <v>91.93</v>
      </c>
      <c r="H706" s="7" t="s">
        <v>26</v>
      </c>
      <c r="I706" s="8">
        <f t="shared" ref="I706:I769" si="22">MAX(0,G706-F706)</f>
        <v>88.600000000000009</v>
      </c>
      <c r="J706" s="7" t="str">
        <f t="shared" ref="J706:J769" si="23">IF(H706="No","Sin fila previa",IF(G706&lt;F706,"Queda en 0","OK"))</f>
        <v>OK</v>
      </c>
    </row>
    <row r="707" spans="1:10" x14ac:dyDescent="0.3">
      <c r="A707" s="7">
        <v>97</v>
      </c>
      <c r="B707" s="7" t="s">
        <v>376</v>
      </c>
      <c r="C707" s="7">
        <v>101038</v>
      </c>
      <c r="D707" s="7" t="s">
        <v>235</v>
      </c>
      <c r="E707" s="7" t="s">
        <v>215</v>
      </c>
      <c r="F707" s="8">
        <v>7.33</v>
      </c>
      <c r="G707" s="8">
        <v>486.81</v>
      </c>
      <c r="H707" s="7" t="s">
        <v>26</v>
      </c>
      <c r="I707" s="8">
        <f t="shared" si="22"/>
        <v>479.48</v>
      </c>
      <c r="J707" s="7" t="str">
        <f t="shared" si="23"/>
        <v>OK</v>
      </c>
    </row>
    <row r="708" spans="1:10" x14ac:dyDescent="0.3">
      <c r="A708" s="7">
        <v>97</v>
      </c>
      <c r="B708" s="7" t="s">
        <v>376</v>
      </c>
      <c r="C708" s="7">
        <v>101124</v>
      </c>
      <c r="D708" s="7" t="s">
        <v>322</v>
      </c>
      <c r="E708" s="7" t="s">
        <v>215</v>
      </c>
      <c r="F708" s="8">
        <v>8</v>
      </c>
      <c r="G708" s="8">
        <v>63.57</v>
      </c>
      <c r="H708" s="7" t="s">
        <v>26</v>
      </c>
      <c r="I708" s="8">
        <f t="shared" si="22"/>
        <v>55.57</v>
      </c>
      <c r="J708" s="7" t="str">
        <f t="shared" si="23"/>
        <v>OK</v>
      </c>
    </row>
    <row r="709" spans="1:10" x14ac:dyDescent="0.3">
      <c r="A709" s="7">
        <v>97</v>
      </c>
      <c r="B709" s="7" t="s">
        <v>376</v>
      </c>
      <c r="C709" s="7">
        <v>101130</v>
      </c>
      <c r="D709" s="7" t="s">
        <v>247</v>
      </c>
      <c r="E709" s="7" t="s">
        <v>215</v>
      </c>
      <c r="F709" s="8">
        <v>26.67</v>
      </c>
      <c r="G709" s="8">
        <v>0</v>
      </c>
      <c r="H709" s="7" t="s">
        <v>26</v>
      </c>
      <c r="I709" s="8">
        <f t="shared" si="22"/>
        <v>0</v>
      </c>
      <c r="J709" s="7" t="str">
        <f t="shared" si="23"/>
        <v>Queda en 0</v>
      </c>
    </row>
    <row r="710" spans="1:10" x14ac:dyDescent="0.3">
      <c r="A710" s="7">
        <v>97</v>
      </c>
      <c r="B710" s="7" t="s">
        <v>376</v>
      </c>
      <c r="C710" s="7">
        <v>101145</v>
      </c>
      <c r="D710" s="7" t="s">
        <v>275</v>
      </c>
      <c r="E710" s="7" t="s">
        <v>215</v>
      </c>
      <c r="F710" s="8">
        <v>8</v>
      </c>
      <c r="G710" s="8">
        <v>0</v>
      </c>
      <c r="H710" s="7" t="s">
        <v>26</v>
      </c>
      <c r="I710" s="8">
        <f t="shared" si="22"/>
        <v>0</v>
      </c>
      <c r="J710" s="7" t="str">
        <f t="shared" si="23"/>
        <v>Queda en 0</v>
      </c>
    </row>
    <row r="711" spans="1:10" x14ac:dyDescent="0.3">
      <c r="A711" s="7">
        <v>97</v>
      </c>
      <c r="B711" s="7" t="s">
        <v>376</v>
      </c>
      <c r="C711" s="7">
        <v>103001</v>
      </c>
      <c r="D711" s="7" t="s">
        <v>248</v>
      </c>
      <c r="E711" s="7" t="s">
        <v>215</v>
      </c>
      <c r="F711" s="8">
        <v>18.670000000000002</v>
      </c>
      <c r="G711" s="8">
        <v>3394.36</v>
      </c>
      <c r="H711" s="7" t="s">
        <v>26</v>
      </c>
      <c r="I711" s="8">
        <f t="shared" si="22"/>
        <v>3375.69</v>
      </c>
      <c r="J711" s="7" t="str">
        <f t="shared" si="23"/>
        <v>OK</v>
      </c>
    </row>
    <row r="712" spans="1:10" x14ac:dyDescent="0.3">
      <c r="A712" s="7">
        <v>97</v>
      </c>
      <c r="B712" s="7" t="s">
        <v>376</v>
      </c>
      <c r="C712" s="7">
        <v>201001</v>
      </c>
      <c r="D712" s="7" t="s">
        <v>216</v>
      </c>
      <c r="E712" s="7" t="s">
        <v>217</v>
      </c>
      <c r="F712" s="8">
        <v>18.670000000000002</v>
      </c>
      <c r="G712" s="8">
        <v>761.36</v>
      </c>
      <c r="H712" s="7" t="s">
        <v>26</v>
      </c>
      <c r="I712" s="8">
        <f t="shared" si="22"/>
        <v>742.69</v>
      </c>
      <c r="J712" s="7" t="str">
        <f t="shared" si="23"/>
        <v>OK</v>
      </c>
    </row>
    <row r="713" spans="1:10" x14ac:dyDescent="0.3">
      <c r="A713" s="7">
        <v>97</v>
      </c>
      <c r="B713" s="7" t="s">
        <v>376</v>
      </c>
      <c r="C713" s="7">
        <v>220002</v>
      </c>
      <c r="D713" s="7" t="s">
        <v>358</v>
      </c>
      <c r="E713" s="7" t="s">
        <v>220</v>
      </c>
      <c r="F713" s="8">
        <v>2</v>
      </c>
      <c r="G713" s="8">
        <v>8.76</v>
      </c>
      <c r="H713" s="7" t="s">
        <v>26</v>
      </c>
      <c r="I713" s="8">
        <f t="shared" si="22"/>
        <v>6.76</v>
      </c>
      <c r="J713" s="7" t="str">
        <f t="shared" si="23"/>
        <v>OK</v>
      </c>
    </row>
    <row r="714" spans="1:10" x14ac:dyDescent="0.3">
      <c r="A714" s="7">
        <v>97</v>
      </c>
      <c r="B714" s="7" t="s">
        <v>376</v>
      </c>
      <c r="C714" s="7">
        <v>220003</v>
      </c>
      <c r="D714" s="7" t="s">
        <v>359</v>
      </c>
      <c r="E714" s="7" t="s">
        <v>220</v>
      </c>
      <c r="F714" s="8">
        <v>2</v>
      </c>
      <c r="G714" s="8">
        <v>11.53</v>
      </c>
      <c r="H714" s="7" t="s">
        <v>26</v>
      </c>
      <c r="I714" s="8">
        <f t="shared" si="22"/>
        <v>9.5299999999999994</v>
      </c>
      <c r="J714" s="7" t="str">
        <f t="shared" si="23"/>
        <v>OK</v>
      </c>
    </row>
    <row r="715" spans="1:10" x14ac:dyDescent="0.3">
      <c r="A715" s="7">
        <v>97</v>
      </c>
      <c r="B715" s="7" t="s">
        <v>376</v>
      </c>
      <c r="C715" s="7">
        <v>611052</v>
      </c>
      <c r="D715" s="7" t="s">
        <v>252</v>
      </c>
      <c r="E715" s="7" t="s">
        <v>217</v>
      </c>
      <c r="F715" s="8">
        <v>32</v>
      </c>
      <c r="G715" s="8">
        <v>114.66</v>
      </c>
      <c r="H715" s="7" t="s">
        <v>26</v>
      </c>
      <c r="I715" s="8">
        <f t="shared" si="22"/>
        <v>82.66</v>
      </c>
      <c r="J715" s="7" t="str">
        <f t="shared" si="23"/>
        <v>OK</v>
      </c>
    </row>
    <row r="716" spans="1:10" x14ac:dyDescent="0.3">
      <c r="A716" s="7">
        <v>97</v>
      </c>
      <c r="B716" s="7" t="s">
        <v>376</v>
      </c>
      <c r="C716" s="7">
        <v>611053</v>
      </c>
      <c r="D716" s="7" t="s">
        <v>253</v>
      </c>
      <c r="E716" s="7" t="s">
        <v>217</v>
      </c>
      <c r="F716" s="8">
        <v>32</v>
      </c>
      <c r="G716" s="8">
        <v>664.09</v>
      </c>
      <c r="H716" s="7" t="s">
        <v>26</v>
      </c>
      <c r="I716" s="8">
        <f t="shared" si="22"/>
        <v>632.09</v>
      </c>
      <c r="J716" s="7" t="str">
        <f t="shared" si="23"/>
        <v>OK</v>
      </c>
    </row>
    <row r="717" spans="1:10" x14ac:dyDescent="0.3">
      <c r="A717" s="7">
        <v>97</v>
      </c>
      <c r="B717" s="7" t="s">
        <v>376</v>
      </c>
      <c r="C717" s="7">
        <v>611055</v>
      </c>
      <c r="D717" s="7" t="s">
        <v>254</v>
      </c>
      <c r="E717" s="7" t="s">
        <v>217</v>
      </c>
      <c r="F717" s="8">
        <v>12</v>
      </c>
      <c r="G717" s="8">
        <v>89.68</v>
      </c>
      <c r="H717" s="7" t="s">
        <v>26</v>
      </c>
      <c r="I717" s="8">
        <f t="shared" si="22"/>
        <v>77.680000000000007</v>
      </c>
      <c r="J717" s="7" t="str">
        <f t="shared" si="23"/>
        <v>OK</v>
      </c>
    </row>
    <row r="718" spans="1:10" x14ac:dyDescent="0.3">
      <c r="A718" s="7">
        <v>97</v>
      </c>
      <c r="B718" s="7" t="s">
        <v>376</v>
      </c>
      <c r="C718" s="7">
        <v>621006</v>
      </c>
      <c r="D718" s="7" t="s">
        <v>288</v>
      </c>
      <c r="E718" s="7" t="s">
        <v>239</v>
      </c>
      <c r="F718" s="8">
        <v>4</v>
      </c>
      <c r="G718" s="8">
        <v>6.7</v>
      </c>
      <c r="H718" s="7" t="s">
        <v>26</v>
      </c>
      <c r="I718" s="8">
        <f t="shared" si="22"/>
        <v>2.7</v>
      </c>
      <c r="J718" s="7" t="str">
        <f t="shared" si="23"/>
        <v>OK</v>
      </c>
    </row>
    <row r="719" spans="1:10" x14ac:dyDescent="0.3">
      <c r="A719" s="7">
        <v>97</v>
      </c>
      <c r="B719" s="7" t="s">
        <v>376</v>
      </c>
      <c r="C719" s="7">
        <v>621008</v>
      </c>
      <c r="D719" s="7" t="s">
        <v>289</v>
      </c>
      <c r="E719" s="7" t="s">
        <v>239</v>
      </c>
      <c r="F719" s="8">
        <v>1</v>
      </c>
      <c r="G719" s="8">
        <v>12.28</v>
      </c>
      <c r="H719" s="7" t="s">
        <v>26</v>
      </c>
      <c r="I719" s="8">
        <f t="shared" si="22"/>
        <v>11.28</v>
      </c>
      <c r="J719" s="7" t="str">
        <f t="shared" si="23"/>
        <v>OK</v>
      </c>
    </row>
    <row r="720" spans="1:10" x14ac:dyDescent="0.3">
      <c r="A720" s="7">
        <v>97</v>
      </c>
      <c r="B720" s="7" t="s">
        <v>376</v>
      </c>
      <c r="C720" s="7">
        <v>621045</v>
      </c>
      <c r="D720" s="7" t="s">
        <v>238</v>
      </c>
      <c r="E720" s="7" t="s">
        <v>239</v>
      </c>
      <c r="F720" s="8">
        <v>8</v>
      </c>
      <c r="G720" s="8">
        <v>450.03</v>
      </c>
      <c r="H720" s="7" t="s">
        <v>26</v>
      </c>
      <c r="I720" s="8">
        <f t="shared" si="22"/>
        <v>442.03</v>
      </c>
      <c r="J720" s="7" t="str">
        <f t="shared" si="23"/>
        <v>OK</v>
      </c>
    </row>
    <row r="721" spans="1:10" x14ac:dyDescent="0.3">
      <c r="A721" s="7">
        <v>97</v>
      </c>
      <c r="B721" s="7" t="s">
        <v>376</v>
      </c>
      <c r="C721" s="7">
        <v>621056</v>
      </c>
      <c r="D721" s="7" t="s">
        <v>366</v>
      </c>
      <c r="E721" s="7" t="s">
        <v>239</v>
      </c>
      <c r="F721" s="8">
        <v>1.33</v>
      </c>
      <c r="G721" s="8">
        <v>0</v>
      </c>
      <c r="H721" s="7" t="s">
        <v>26</v>
      </c>
      <c r="I721" s="8">
        <f t="shared" si="22"/>
        <v>0</v>
      </c>
      <c r="J721" s="7" t="str">
        <f t="shared" si="23"/>
        <v>Queda en 0</v>
      </c>
    </row>
    <row r="722" spans="1:10" x14ac:dyDescent="0.3">
      <c r="A722" s="7">
        <v>97</v>
      </c>
      <c r="B722" s="7" t="s">
        <v>376</v>
      </c>
      <c r="C722" s="7">
        <v>621057</v>
      </c>
      <c r="D722" s="7" t="s">
        <v>367</v>
      </c>
      <c r="E722" s="7" t="s">
        <v>239</v>
      </c>
      <c r="F722" s="8">
        <v>0.67</v>
      </c>
      <c r="G722" s="8">
        <v>0</v>
      </c>
      <c r="H722" s="7" t="s">
        <v>26</v>
      </c>
      <c r="I722" s="8">
        <f t="shared" si="22"/>
        <v>0</v>
      </c>
      <c r="J722" s="7" t="str">
        <f t="shared" si="23"/>
        <v>Queda en 0</v>
      </c>
    </row>
    <row r="723" spans="1:10" x14ac:dyDescent="0.3">
      <c r="A723" s="7">
        <v>97</v>
      </c>
      <c r="B723" s="7" t="s">
        <v>376</v>
      </c>
      <c r="C723" s="7">
        <v>800088</v>
      </c>
      <c r="D723" s="7" t="s">
        <v>240</v>
      </c>
      <c r="E723" s="7" t="s">
        <v>215</v>
      </c>
      <c r="F723" s="8">
        <v>0.67</v>
      </c>
      <c r="G723" s="8">
        <v>219.84</v>
      </c>
      <c r="H723" s="7" t="s">
        <v>26</v>
      </c>
      <c r="I723" s="8">
        <f t="shared" si="22"/>
        <v>219.17000000000002</v>
      </c>
      <c r="J723" s="7" t="str">
        <f t="shared" si="23"/>
        <v>OK</v>
      </c>
    </row>
    <row r="724" spans="1:10" x14ac:dyDescent="0.3">
      <c r="A724" s="7">
        <v>97</v>
      </c>
      <c r="B724" s="7" t="s">
        <v>376</v>
      </c>
      <c r="C724" s="7">
        <v>800089</v>
      </c>
      <c r="D724" s="7" t="s">
        <v>241</v>
      </c>
      <c r="E724" s="7" t="s">
        <v>215</v>
      </c>
      <c r="F724" s="8">
        <v>9.67</v>
      </c>
      <c r="G724" s="8">
        <v>219.84</v>
      </c>
      <c r="H724" s="7" t="s">
        <v>26</v>
      </c>
      <c r="I724" s="8">
        <f t="shared" si="22"/>
        <v>210.17000000000002</v>
      </c>
      <c r="J724" s="7" t="str">
        <f t="shared" si="23"/>
        <v>OK</v>
      </c>
    </row>
    <row r="725" spans="1:10" x14ac:dyDescent="0.3">
      <c r="A725" s="7">
        <v>97</v>
      </c>
      <c r="B725" s="7" t="s">
        <v>376</v>
      </c>
      <c r="C725" s="7">
        <v>800791</v>
      </c>
      <c r="D725" s="7" t="s">
        <v>259</v>
      </c>
      <c r="E725" s="7" t="s">
        <v>243</v>
      </c>
      <c r="F725" s="8">
        <v>1</v>
      </c>
      <c r="G725" s="8">
        <v>24.04</v>
      </c>
      <c r="H725" s="7" t="s">
        <v>26</v>
      </c>
      <c r="I725" s="8">
        <f t="shared" si="22"/>
        <v>23.04</v>
      </c>
      <c r="J725" s="7" t="str">
        <f t="shared" si="23"/>
        <v>OK</v>
      </c>
    </row>
    <row r="726" spans="1:10" x14ac:dyDescent="0.3">
      <c r="A726" s="7">
        <v>97</v>
      </c>
      <c r="B726" s="7" t="s">
        <v>376</v>
      </c>
      <c r="C726" s="7">
        <v>800792</v>
      </c>
      <c r="D726" s="7" t="s">
        <v>242</v>
      </c>
      <c r="E726" s="7" t="s">
        <v>243</v>
      </c>
      <c r="F726" s="8">
        <v>2</v>
      </c>
      <c r="G726" s="8">
        <v>392.31</v>
      </c>
      <c r="H726" s="7" t="s">
        <v>26</v>
      </c>
      <c r="I726" s="8">
        <f t="shared" si="22"/>
        <v>390.31</v>
      </c>
      <c r="J726" s="7" t="str">
        <f t="shared" si="23"/>
        <v>OK</v>
      </c>
    </row>
    <row r="727" spans="1:10" x14ac:dyDescent="0.3">
      <c r="A727" s="7">
        <v>97</v>
      </c>
      <c r="B727" s="7" t="s">
        <v>376</v>
      </c>
      <c r="C727" s="7">
        <v>800793</v>
      </c>
      <c r="D727" s="7" t="s">
        <v>260</v>
      </c>
      <c r="E727" s="7" t="s">
        <v>243</v>
      </c>
      <c r="F727" s="8">
        <v>2</v>
      </c>
      <c r="G727" s="8">
        <v>75.930000000000007</v>
      </c>
      <c r="H727" s="7" t="s">
        <v>26</v>
      </c>
      <c r="I727" s="8">
        <f t="shared" si="22"/>
        <v>73.930000000000007</v>
      </c>
      <c r="J727" s="7" t="str">
        <f t="shared" si="23"/>
        <v>OK</v>
      </c>
    </row>
    <row r="728" spans="1:10" x14ac:dyDescent="0.3">
      <c r="A728" s="7">
        <v>97</v>
      </c>
      <c r="B728" s="7" t="s">
        <v>376</v>
      </c>
      <c r="C728" s="7">
        <v>910101</v>
      </c>
      <c r="D728" s="7" t="s">
        <v>377</v>
      </c>
      <c r="E728" s="7" t="s">
        <v>296</v>
      </c>
      <c r="F728" s="8">
        <v>16</v>
      </c>
      <c r="G728" s="8">
        <v>93.17</v>
      </c>
      <c r="H728" s="7" t="s">
        <v>26</v>
      </c>
      <c r="I728" s="8">
        <f t="shared" si="22"/>
        <v>77.17</v>
      </c>
      <c r="J728" s="7" t="str">
        <f t="shared" si="23"/>
        <v>OK</v>
      </c>
    </row>
    <row r="729" spans="1:10" x14ac:dyDescent="0.3">
      <c r="A729" s="7">
        <v>97</v>
      </c>
      <c r="B729" s="7" t="s">
        <v>376</v>
      </c>
      <c r="C729" s="7">
        <v>910103</v>
      </c>
      <c r="D729" s="7" t="s">
        <v>295</v>
      </c>
      <c r="E729" s="7" t="s">
        <v>296</v>
      </c>
      <c r="F729" s="8">
        <v>16</v>
      </c>
      <c r="G729" s="8">
        <v>125.21</v>
      </c>
      <c r="H729" s="7" t="s">
        <v>26</v>
      </c>
      <c r="I729" s="8">
        <f t="shared" si="22"/>
        <v>109.21</v>
      </c>
      <c r="J729" s="7" t="str">
        <f t="shared" si="23"/>
        <v>OK</v>
      </c>
    </row>
    <row r="730" spans="1:10" x14ac:dyDescent="0.3">
      <c r="A730" s="7">
        <v>97</v>
      </c>
      <c r="B730" s="7" t="s">
        <v>376</v>
      </c>
      <c r="C730" s="7">
        <v>910104</v>
      </c>
      <c r="D730" s="7" t="s">
        <v>309</v>
      </c>
      <c r="E730" s="7" t="s">
        <v>296</v>
      </c>
      <c r="F730" s="8">
        <v>16</v>
      </c>
      <c r="G730" s="8">
        <v>27.62</v>
      </c>
      <c r="H730" s="7" t="s">
        <v>26</v>
      </c>
      <c r="I730" s="8">
        <f t="shared" si="22"/>
        <v>11.620000000000001</v>
      </c>
      <c r="J730" s="7" t="str">
        <f t="shared" si="23"/>
        <v>OK</v>
      </c>
    </row>
    <row r="731" spans="1:10" x14ac:dyDescent="0.3">
      <c r="A731" s="7">
        <v>97</v>
      </c>
      <c r="B731" s="7" t="s">
        <v>376</v>
      </c>
      <c r="C731" s="7">
        <v>910106</v>
      </c>
      <c r="D731" s="7" t="s">
        <v>378</v>
      </c>
      <c r="E731" s="7" t="s">
        <v>296</v>
      </c>
      <c r="F731" s="8">
        <v>16</v>
      </c>
      <c r="G731" s="8">
        <v>0</v>
      </c>
      <c r="H731" s="7" t="s">
        <v>26</v>
      </c>
      <c r="I731" s="8">
        <f t="shared" si="22"/>
        <v>0</v>
      </c>
      <c r="J731" s="7" t="str">
        <f t="shared" si="23"/>
        <v>Queda en 0</v>
      </c>
    </row>
    <row r="732" spans="1:10" x14ac:dyDescent="0.3">
      <c r="A732" s="7">
        <v>97</v>
      </c>
      <c r="B732" s="7" t="s">
        <v>376</v>
      </c>
      <c r="C732" s="7">
        <v>910112</v>
      </c>
      <c r="D732" s="7" t="s">
        <v>379</v>
      </c>
      <c r="E732" s="7" t="s">
        <v>296</v>
      </c>
      <c r="F732" s="8">
        <v>16</v>
      </c>
      <c r="G732" s="8">
        <v>11.05</v>
      </c>
      <c r="H732" s="7" t="s">
        <v>26</v>
      </c>
      <c r="I732" s="8">
        <f t="shared" si="22"/>
        <v>0</v>
      </c>
      <c r="J732" s="7" t="str">
        <f t="shared" si="23"/>
        <v>Queda en 0</v>
      </c>
    </row>
    <row r="733" spans="1:10" x14ac:dyDescent="0.3">
      <c r="A733" s="7">
        <v>97</v>
      </c>
      <c r="B733" s="7" t="s">
        <v>376</v>
      </c>
      <c r="C733" s="7">
        <v>912005</v>
      </c>
      <c r="D733" s="7" t="s">
        <v>324</v>
      </c>
      <c r="E733" s="7" t="s">
        <v>325</v>
      </c>
      <c r="F733" s="8">
        <v>0.33</v>
      </c>
      <c r="G733" s="8">
        <v>66</v>
      </c>
      <c r="H733" s="7" t="s">
        <v>26</v>
      </c>
      <c r="I733" s="8">
        <f t="shared" si="22"/>
        <v>65.67</v>
      </c>
      <c r="J733" s="7" t="str">
        <f t="shared" si="23"/>
        <v>OK</v>
      </c>
    </row>
    <row r="734" spans="1:10" x14ac:dyDescent="0.3">
      <c r="A734" s="7">
        <v>97</v>
      </c>
      <c r="B734" s="7" t="s">
        <v>376</v>
      </c>
      <c r="C734" s="7">
        <v>924104</v>
      </c>
      <c r="D734" s="7" t="s">
        <v>277</v>
      </c>
      <c r="E734" s="7" t="s">
        <v>215</v>
      </c>
      <c r="F734" s="8">
        <v>8</v>
      </c>
      <c r="G734" s="8">
        <v>0</v>
      </c>
      <c r="H734" s="7" t="s">
        <v>26</v>
      </c>
      <c r="I734" s="8">
        <f t="shared" si="22"/>
        <v>0</v>
      </c>
      <c r="J734" s="7" t="str">
        <f t="shared" si="23"/>
        <v>Queda en 0</v>
      </c>
    </row>
    <row r="735" spans="1:10" x14ac:dyDescent="0.3">
      <c r="A735" s="7">
        <v>97</v>
      </c>
      <c r="B735" s="7" t="s">
        <v>376</v>
      </c>
      <c r="C735" s="7">
        <v>924109</v>
      </c>
      <c r="D735" s="7" t="s">
        <v>352</v>
      </c>
      <c r="E735" s="7" t="s">
        <v>215</v>
      </c>
      <c r="F735" s="8">
        <v>0.33</v>
      </c>
      <c r="G735" s="8">
        <v>2.4300000000000002</v>
      </c>
      <c r="H735" s="7" t="s">
        <v>26</v>
      </c>
      <c r="I735" s="8">
        <f t="shared" si="22"/>
        <v>2.1</v>
      </c>
      <c r="J735" s="7" t="str">
        <f t="shared" si="23"/>
        <v>OK</v>
      </c>
    </row>
    <row r="736" spans="1:10" x14ac:dyDescent="0.3">
      <c r="A736" s="7">
        <v>97</v>
      </c>
      <c r="B736" s="7" t="s">
        <v>376</v>
      </c>
      <c r="C736" s="7">
        <v>925050</v>
      </c>
      <c r="D736" s="7" t="s">
        <v>261</v>
      </c>
      <c r="E736" s="7" t="s">
        <v>220</v>
      </c>
      <c r="F736" s="8">
        <v>4</v>
      </c>
      <c r="G736" s="8">
        <v>125.79</v>
      </c>
      <c r="H736" s="7" t="s">
        <v>26</v>
      </c>
      <c r="I736" s="8">
        <f t="shared" si="22"/>
        <v>121.79</v>
      </c>
      <c r="J736" s="7" t="str">
        <f t="shared" si="23"/>
        <v>OK</v>
      </c>
    </row>
    <row r="737" spans="1:10" x14ac:dyDescent="0.3">
      <c r="A737" s="7">
        <v>97</v>
      </c>
      <c r="B737" s="7" t="s">
        <v>376</v>
      </c>
      <c r="C737" s="7">
        <v>925059</v>
      </c>
      <c r="D737" s="7" t="s">
        <v>262</v>
      </c>
      <c r="E737" s="7" t="s">
        <v>220</v>
      </c>
      <c r="F737" s="8">
        <v>0.33</v>
      </c>
      <c r="G737" s="8">
        <v>0</v>
      </c>
      <c r="H737" s="7" t="s">
        <v>26</v>
      </c>
      <c r="I737" s="8">
        <f t="shared" si="22"/>
        <v>0</v>
      </c>
      <c r="J737" s="7" t="str">
        <f t="shared" si="23"/>
        <v>Queda en 0</v>
      </c>
    </row>
    <row r="738" spans="1:10" x14ac:dyDescent="0.3">
      <c r="A738" s="7">
        <v>97</v>
      </c>
      <c r="B738" s="7" t="s">
        <v>376</v>
      </c>
      <c r="C738" s="7">
        <v>925064</v>
      </c>
      <c r="D738" s="7" t="s">
        <v>263</v>
      </c>
      <c r="E738" s="7" t="s">
        <v>220</v>
      </c>
      <c r="F738" s="8">
        <v>28.67</v>
      </c>
      <c r="G738" s="8">
        <v>477.23</v>
      </c>
      <c r="H738" s="7" t="s">
        <v>26</v>
      </c>
      <c r="I738" s="8">
        <f t="shared" si="22"/>
        <v>448.56</v>
      </c>
      <c r="J738" s="7" t="str">
        <f t="shared" si="23"/>
        <v>OK</v>
      </c>
    </row>
    <row r="739" spans="1:10" x14ac:dyDescent="0.3">
      <c r="A739" s="7">
        <v>97</v>
      </c>
      <c r="B739" s="7" t="s">
        <v>376</v>
      </c>
      <c r="C739" s="7">
        <v>925078</v>
      </c>
      <c r="D739" s="7" t="s">
        <v>221</v>
      </c>
      <c r="E739" s="7" t="s">
        <v>220</v>
      </c>
      <c r="F739" s="8">
        <v>4</v>
      </c>
      <c r="G739" s="8">
        <v>34.590000000000003</v>
      </c>
      <c r="H739" s="7" t="s">
        <v>26</v>
      </c>
      <c r="I739" s="8">
        <f t="shared" si="22"/>
        <v>30.590000000000003</v>
      </c>
      <c r="J739" s="7" t="str">
        <f t="shared" si="23"/>
        <v>OK</v>
      </c>
    </row>
    <row r="740" spans="1:10" x14ac:dyDescent="0.3">
      <c r="A740" s="7">
        <v>97</v>
      </c>
      <c r="B740" s="7" t="s">
        <v>376</v>
      </c>
      <c r="C740" s="7">
        <v>925079</v>
      </c>
      <c r="D740" s="7" t="s">
        <v>279</v>
      </c>
      <c r="E740" s="7" t="s">
        <v>220</v>
      </c>
      <c r="F740" s="8">
        <v>20</v>
      </c>
      <c r="G740" s="8">
        <v>85.69</v>
      </c>
      <c r="H740" s="7" t="s">
        <v>26</v>
      </c>
      <c r="I740" s="8">
        <f t="shared" si="22"/>
        <v>65.69</v>
      </c>
      <c r="J740" s="7" t="str">
        <f t="shared" si="23"/>
        <v>OK</v>
      </c>
    </row>
    <row r="741" spans="1:10" x14ac:dyDescent="0.3">
      <c r="A741" s="7">
        <v>97</v>
      </c>
      <c r="B741" s="7" t="s">
        <v>376</v>
      </c>
      <c r="C741" s="7">
        <v>925094</v>
      </c>
      <c r="D741" s="7" t="s">
        <v>298</v>
      </c>
      <c r="E741" s="7" t="s">
        <v>220</v>
      </c>
      <c r="F741" s="8">
        <v>16</v>
      </c>
      <c r="G741" s="8">
        <v>38.520000000000003</v>
      </c>
      <c r="H741" s="7" t="s">
        <v>26</v>
      </c>
      <c r="I741" s="8">
        <f t="shared" si="22"/>
        <v>22.520000000000003</v>
      </c>
      <c r="J741" s="7" t="str">
        <f t="shared" si="23"/>
        <v>OK</v>
      </c>
    </row>
    <row r="742" spans="1:10" x14ac:dyDescent="0.3">
      <c r="A742" s="7">
        <v>97</v>
      </c>
      <c r="B742" s="7" t="s">
        <v>376</v>
      </c>
      <c r="C742" s="7">
        <v>925095</v>
      </c>
      <c r="D742" s="7" t="s">
        <v>280</v>
      </c>
      <c r="E742" s="7" t="s">
        <v>220</v>
      </c>
      <c r="F742" s="8">
        <v>16</v>
      </c>
      <c r="G742" s="8">
        <v>102.2</v>
      </c>
      <c r="H742" s="7" t="s">
        <v>26</v>
      </c>
      <c r="I742" s="8">
        <f t="shared" si="22"/>
        <v>86.2</v>
      </c>
      <c r="J742" s="7" t="str">
        <f t="shared" si="23"/>
        <v>OK</v>
      </c>
    </row>
    <row r="743" spans="1:10" x14ac:dyDescent="0.3">
      <c r="A743" s="7">
        <v>97</v>
      </c>
      <c r="B743" s="7" t="s">
        <v>376</v>
      </c>
      <c r="C743" s="7">
        <v>930020</v>
      </c>
      <c r="D743" s="7" t="s">
        <v>299</v>
      </c>
      <c r="E743" s="7" t="s">
        <v>243</v>
      </c>
      <c r="F743" s="8">
        <v>0.33</v>
      </c>
      <c r="G743" s="8">
        <v>48.16</v>
      </c>
      <c r="H743" s="7" t="s">
        <v>26</v>
      </c>
      <c r="I743" s="8">
        <f t="shared" si="22"/>
        <v>47.83</v>
      </c>
      <c r="J743" s="7" t="str">
        <f t="shared" si="23"/>
        <v>OK</v>
      </c>
    </row>
    <row r="744" spans="1:10" x14ac:dyDescent="0.3">
      <c r="A744" s="7">
        <v>97</v>
      </c>
      <c r="B744" s="7" t="s">
        <v>376</v>
      </c>
      <c r="C744" s="7">
        <v>930025</v>
      </c>
      <c r="D744" s="7" t="s">
        <v>244</v>
      </c>
      <c r="E744" s="7" t="s">
        <v>243</v>
      </c>
      <c r="F744" s="8">
        <v>2.33</v>
      </c>
      <c r="G744" s="8">
        <v>369.89</v>
      </c>
      <c r="H744" s="7" t="s">
        <v>26</v>
      </c>
      <c r="I744" s="8">
        <f t="shared" si="22"/>
        <v>367.56</v>
      </c>
      <c r="J744" s="7" t="str">
        <f t="shared" si="23"/>
        <v>OK</v>
      </c>
    </row>
    <row r="745" spans="1:10" x14ac:dyDescent="0.3">
      <c r="A745" s="7">
        <v>97</v>
      </c>
      <c r="B745" s="7" t="s">
        <v>376</v>
      </c>
      <c r="C745" s="7">
        <v>930060</v>
      </c>
      <c r="D745" s="7" t="s">
        <v>336</v>
      </c>
      <c r="E745" s="7" t="s">
        <v>243</v>
      </c>
      <c r="F745" s="8">
        <v>1</v>
      </c>
      <c r="G745" s="8">
        <v>20.239999999999998</v>
      </c>
      <c r="H745" s="7" t="s">
        <v>26</v>
      </c>
      <c r="I745" s="8">
        <f t="shared" si="22"/>
        <v>19.239999999999998</v>
      </c>
      <c r="J745" s="7" t="str">
        <f t="shared" si="23"/>
        <v>OK</v>
      </c>
    </row>
    <row r="746" spans="1:10" x14ac:dyDescent="0.3">
      <c r="A746" s="7">
        <v>97</v>
      </c>
      <c r="B746" s="7" t="s">
        <v>376</v>
      </c>
      <c r="C746" s="7">
        <v>930112</v>
      </c>
      <c r="D746" s="7" t="s">
        <v>310</v>
      </c>
      <c r="E746" s="7" t="s">
        <v>243</v>
      </c>
      <c r="F746" s="8">
        <v>1</v>
      </c>
      <c r="G746" s="8">
        <v>13.92</v>
      </c>
      <c r="H746" s="7" t="s">
        <v>26</v>
      </c>
      <c r="I746" s="8">
        <f t="shared" si="22"/>
        <v>12.92</v>
      </c>
      <c r="J746" s="7" t="str">
        <f t="shared" si="23"/>
        <v>OK</v>
      </c>
    </row>
    <row r="747" spans="1:10" x14ac:dyDescent="0.3">
      <c r="A747" s="7">
        <v>97</v>
      </c>
      <c r="B747" s="7" t="s">
        <v>376</v>
      </c>
      <c r="C747" s="7">
        <v>930135</v>
      </c>
      <c r="D747" s="7" t="s">
        <v>380</v>
      </c>
      <c r="E747" s="7" t="s">
        <v>243</v>
      </c>
      <c r="F747" s="8">
        <v>0.33</v>
      </c>
      <c r="G747" s="8">
        <v>0</v>
      </c>
      <c r="H747" s="7" t="s">
        <v>26</v>
      </c>
      <c r="I747" s="8">
        <f t="shared" si="22"/>
        <v>0</v>
      </c>
      <c r="J747" s="7" t="str">
        <f t="shared" si="23"/>
        <v>Queda en 0</v>
      </c>
    </row>
    <row r="748" spans="1:10" x14ac:dyDescent="0.3">
      <c r="A748" s="7">
        <v>97</v>
      </c>
      <c r="B748" s="7" t="s">
        <v>376</v>
      </c>
      <c r="C748" s="7">
        <v>930138</v>
      </c>
      <c r="D748" s="7" t="s">
        <v>312</v>
      </c>
      <c r="E748" s="7" t="s">
        <v>243</v>
      </c>
      <c r="F748" s="8">
        <v>4</v>
      </c>
      <c r="G748" s="8">
        <v>233.7</v>
      </c>
      <c r="H748" s="7" t="s">
        <v>26</v>
      </c>
      <c r="I748" s="8">
        <f t="shared" si="22"/>
        <v>229.7</v>
      </c>
      <c r="J748" s="7" t="str">
        <f t="shared" si="23"/>
        <v>OK</v>
      </c>
    </row>
    <row r="749" spans="1:10" x14ac:dyDescent="0.3">
      <c r="A749" s="7">
        <v>97</v>
      </c>
      <c r="B749" s="7" t="s">
        <v>376</v>
      </c>
      <c r="C749" s="7">
        <v>930145</v>
      </c>
      <c r="D749" s="7" t="s">
        <v>316</v>
      </c>
      <c r="E749" s="7" t="s">
        <v>243</v>
      </c>
      <c r="F749" s="8">
        <v>4</v>
      </c>
      <c r="G749" s="8">
        <v>169.69</v>
      </c>
      <c r="H749" s="7" t="s">
        <v>26</v>
      </c>
      <c r="I749" s="8">
        <f t="shared" si="22"/>
        <v>165.69</v>
      </c>
      <c r="J749" s="7" t="str">
        <f t="shared" si="23"/>
        <v>OK</v>
      </c>
    </row>
    <row r="750" spans="1:10" x14ac:dyDescent="0.3">
      <c r="A750" s="7">
        <v>97</v>
      </c>
      <c r="B750" s="7" t="s">
        <v>376</v>
      </c>
      <c r="C750" s="7">
        <v>930153</v>
      </c>
      <c r="D750" s="7" t="s">
        <v>282</v>
      </c>
      <c r="E750" s="7" t="s">
        <v>243</v>
      </c>
      <c r="F750" s="8">
        <v>1</v>
      </c>
      <c r="G750" s="8">
        <v>25.31</v>
      </c>
      <c r="H750" s="7" t="s">
        <v>26</v>
      </c>
      <c r="I750" s="8">
        <f t="shared" si="22"/>
        <v>24.31</v>
      </c>
      <c r="J750" s="7" t="str">
        <f t="shared" si="23"/>
        <v>OK</v>
      </c>
    </row>
    <row r="751" spans="1:10" x14ac:dyDescent="0.3">
      <c r="A751" s="7">
        <v>97</v>
      </c>
      <c r="B751" s="7" t="s">
        <v>376</v>
      </c>
      <c r="C751" s="7">
        <v>930177</v>
      </c>
      <c r="D751" s="7" t="s">
        <v>317</v>
      </c>
      <c r="E751" s="7" t="s">
        <v>243</v>
      </c>
      <c r="F751" s="8">
        <v>4</v>
      </c>
      <c r="G751" s="8">
        <v>93.48</v>
      </c>
      <c r="H751" s="7" t="s">
        <v>26</v>
      </c>
      <c r="I751" s="8">
        <f t="shared" si="22"/>
        <v>89.48</v>
      </c>
      <c r="J751" s="7" t="str">
        <f t="shared" si="23"/>
        <v>OK</v>
      </c>
    </row>
    <row r="752" spans="1:10" x14ac:dyDescent="0.3">
      <c r="A752" s="7">
        <v>97</v>
      </c>
      <c r="B752" s="7" t="s">
        <v>376</v>
      </c>
      <c r="C752" s="7">
        <v>930183</v>
      </c>
      <c r="D752" s="7" t="s">
        <v>381</v>
      </c>
      <c r="E752" s="7" t="s">
        <v>243</v>
      </c>
      <c r="F752" s="8">
        <v>0.33</v>
      </c>
      <c r="G752" s="8">
        <v>0</v>
      </c>
      <c r="H752" s="7" t="s">
        <v>26</v>
      </c>
      <c r="I752" s="8">
        <f t="shared" si="22"/>
        <v>0</v>
      </c>
      <c r="J752" s="7" t="str">
        <f t="shared" si="23"/>
        <v>Queda en 0</v>
      </c>
    </row>
    <row r="753" spans="1:10" x14ac:dyDescent="0.3">
      <c r="A753" s="7">
        <v>100</v>
      </c>
      <c r="B753" s="7" t="s">
        <v>382</v>
      </c>
      <c r="C753" s="7">
        <v>101005</v>
      </c>
      <c r="D753" s="7" t="s">
        <v>232</v>
      </c>
      <c r="E753" s="7" t="s">
        <v>215</v>
      </c>
      <c r="F753" s="8">
        <v>20</v>
      </c>
      <c r="G753" s="8">
        <v>0</v>
      </c>
      <c r="H753" s="7" t="s">
        <v>75</v>
      </c>
      <c r="I753" s="8">
        <f t="shared" si="22"/>
        <v>0</v>
      </c>
      <c r="J753" s="7" t="str">
        <f t="shared" si="23"/>
        <v>Sin fila previa</v>
      </c>
    </row>
    <row r="754" spans="1:10" x14ac:dyDescent="0.3">
      <c r="A754" s="7">
        <v>100</v>
      </c>
      <c r="B754" s="7" t="s">
        <v>382</v>
      </c>
      <c r="C754" s="7">
        <v>101026</v>
      </c>
      <c r="D754" s="7" t="s">
        <v>233</v>
      </c>
      <c r="E754" s="7" t="s">
        <v>215</v>
      </c>
      <c r="F754" s="8">
        <v>12</v>
      </c>
      <c r="G754" s="8">
        <v>0</v>
      </c>
      <c r="H754" s="7" t="s">
        <v>75</v>
      </c>
      <c r="I754" s="8">
        <f t="shared" si="22"/>
        <v>0</v>
      </c>
      <c r="J754" s="7" t="str">
        <f t="shared" si="23"/>
        <v>Sin fila previa</v>
      </c>
    </row>
    <row r="755" spans="1:10" x14ac:dyDescent="0.3">
      <c r="A755" s="7">
        <v>100</v>
      </c>
      <c r="B755" s="7" t="s">
        <v>382</v>
      </c>
      <c r="C755" s="7">
        <v>101028</v>
      </c>
      <c r="D755" s="7" t="s">
        <v>214</v>
      </c>
      <c r="E755" s="7" t="s">
        <v>215</v>
      </c>
      <c r="F755" s="8">
        <v>6</v>
      </c>
      <c r="G755" s="8">
        <v>0</v>
      </c>
      <c r="H755" s="7" t="s">
        <v>75</v>
      </c>
      <c r="I755" s="8">
        <f t="shared" si="22"/>
        <v>0</v>
      </c>
      <c r="J755" s="7" t="str">
        <f t="shared" si="23"/>
        <v>Sin fila previa</v>
      </c>
    </row>
    <row r="756" spans="1:10" x14ac:dyDescent="0.3">
      <c r="A756" s="7">
        <v>100</v>
      </c>
      <c r="B756" s="7" t="s">
        <v>382</v>
      </c>
      <c r="C756" s="7">
        <v>101038</v>
      </c>
      <c r="D756" s="7" t="s">
        <v>235</v>
      </c>
      <c r="E756" s="7" t="s">
        <v>215</v>
      </c>
      <c r="F756" s="8">
        <v>5</v>
      </c>
      <c r="G756" s="8">
        <v>0</v>
      </c>
      <c r="H756" s="7" t="s">
        <v>75</v>
      </c>
      <c r="I756" s="8">
        <f t="shared" si="22"/>
        <v>0</v>
      </c>
      <c r="J756" s="7" t="str">
        <f t="shared" si="23"/>
        <v>Sin fila previa</v>
      </c>
    </row>
    <row r="757" spans="1:10" x14ac:dyDescent="0.3">
      <c r="A757" s="7">
        <v>100</v>
      </c>
      <c r="B757" s="7" t="s">
        <v>382</v>
      </c>
      <c r="C757" s="7">
        <v>501000</v>
      </c>
      <c r="D757" s="7" t="s">
        <v>237</v>
      </c>
      <c r="E757" s="7" t="s">
        <v>217</v>
      </c>
      <c r="F757" s="8">
        <v>1.33</v>
      </c>
      <c r="G757" s="8">
        <v>0</v>
      </c>
      <c r="H757" s="7" t="s">
        <v>75</v>
      </c>
      <c r="I757" s="8">
        <f t="shared" si="22"/>
        <v>0</v>
      </c>
      <c r="J757" s="7" t="str">
        <f t="shared" si="23"/>
        <v>Sin fila previa</v>
      </c>
    </row>
    <row r="758" spans="1:10" x14ac:dyDescent="0.3">
      <c r="A758" s="7">
        <v>100</v>
      </c>
      <c r="B758" s="7" t="s">
        <v>382</v>
      </c>
      <c r="C758" s="7">
        <v>611053</v>
      </c>
      <c r="D758" s="7" t="s">
        <v>253</v>
      </c>
      <c r="E758" s="7" t="s">
        <v>217</v>
      </c>
      <c r="F758" s="8">
        <v>8</v>
      </c>
      <c r="G758" s="8">
        <v>0</v>
      </c>
      <c r="H758" s="7" t="s">
        <v>75</v>
      </c>
      <c r="I758" s="8">
        <f t="shared" si="22"/>
        <v>0</v>
      </c>
      <c r="J758" s="7" t="str">
        <f t="shared" si="23"/>
        <v>Sin fila previa</v>
      </c>
    </row>
    <row r="759" spans="1:10" x14ac:dyDescent="0.3">
      <c r="A759" s="7">
        <v>100</v>
      </c>
      <c r="B759" s="7" t="s">
        <v>382</v>
      </c>
      <c r="C759" s="7">
        <v>611055</v>
      </c>
      <c r="D759" s="7" t="s">
        <v>254</v>
      </c>
      <c r="E759" s="7" t="s">
        <v>217</v>
      </c>
      <c r="F759" s="8">
        <v>14.67</v>
      </c>
      <c r="G759" s="8">
        <v>0</v>
      </c>
      <c r="H759" s="7" t="s">
        <v>75</v>
      </c>
      <c r="I759" s="8">
        <f t="shared" si="22"/>
        <v>0</v>
      </c>
      <c r="J759" s="7" t="str">
        <f t="shared" si="23"/>
        <v>Sin fila previa</v>
      </c>
    </row>
    <row r="760" spans="1:10" x14ac:dyDescent="0.3">
      <c r="A760" s="7">
        <v>100</v>
      </c>
      <c r="B760" s="7" t="s">
        <v>382</v>
      </c>
      <c r="C760" s="7">
        <v>910100</v>
      </c>
      <c r="D760" s="7" t="s">
        <v>383</v>
      </c>
      <c r="E760" s="7" t="s">
        <v>296</v>
      </c>
      <c r="F760" s="8">
        <v>24</v>
      </c>
      <c r="G760" s="8">
        <v>0</v>
      </c>
      <c r="H760" s="7" t="s">
        <v>75</v>
      </c>
      <c r="I760" s="8">
        <f t="shared" si="22"/>
        <v>0</v>
      </c>
      <c r="J760" s="7" t="str">
        <f t="shared" si="23"/>
        <v>Sin fila previa</v>
      </c>
    </row>
    <row r="761" spans="1:10" x14ac:dyDescent="0.3">
      <c r="A761" s="7">
        <v>100</v>
      </c>
      <c r="B761" s="7" t="s">
        <v>382</v>
      </c>
      <c r="C761" s="7">
        <v>910101</v>
      </c>
      <c r="D761" s="7" t="s">
        <v>377</v>
      </c>
      <c r="E761" s="7" t="s">
        <v>296</v>
      </c>
      <c r="F761" s="8">
        <v>8</v>
      </c>
      <c r="G761" s="8">
        <v>0</v>
      </c>
      <c r="H761" s="7" t="s">
        <v>75</v>
      </c>
      <c r="I761" s="8">
        <f t="shared" si="22"/>
        <v>0</v>
      </c>
      <c r="J761" s="7" t="str">
        <f t="shared" si="23"/>
        <v>Sin fila previa</v>
      </c>
    </row>
    <row r="762" spans="1:10" x14ac:dyDescent="0.3">
      <c r="A762" s="7">
        <v>100</v>
      </c>
      <c r="B762" s="7" t="s">
        <v>382</v>
      </c>
      <c r="C762" s="7">
        <v>910103</v>
      </c>
      <c r="D762" s="7" t="s">
        <v>295</v>
      </c>
      <c r="E762" s="7" t="s">
        <v>296</v>
      </c>
      <c r="F762" s="8">
        <v>32</v>
      </c>
      <c r="G762" s="8">
        <v>0</v>
      </c>
      <c r="H762" s="7" t="s">
        <v>75</v>
      </c>
      <c r="I762" s="8">
        <f t="shared" si="22"/>
        <v>0</v>
      </c>
      <c r="J762" s="7" t="str">
        <f t="shared" si="23"/>
        <v>Sin fila previa</v>
      </c>
    </row>
    <row r="763" spans="1:10" x14ac:dyDescent="0.3">
      <c r="A763" s="7">
        <v>100</v>
      </c>
      <c r="B763" s="7" t="s">
        <v>382</v>
      </c>
      <c r="C763" s="7">
        <v>910104</v>
      </c>
      <c r="D763" s="7" t="s">
        <v>309</v>
      </c>
      <c r="E763" s="7" t="s">
        <v>296</v>
      </c>
      <c r="F763" s="8">
        <v>16</v>
      </c>
      <c r="G763" s="8">
        <v>0</v>
      </c>
      <c r="H763" s="7" t="s">
        <v>75</v>
      </c>
      <c r="I763" s="8">
        <f t="shared" si="22"/>
        <v>0</v>
      </c>
      <c r="J763" s="7" t="str">
        <f t="shared" si="23"/>
        <v>Sin fila previa</v>
      </c>
    </row>
    <row r="764" spans="1:10" x14ac:dyDescent="0.3">
      <c r="A764" s="7">
        <v>100</v>
      </c>
      <c r="B764" s="7" t="s">
        <v>382</v>
      </c>
      <c r="C764" s="7">
        <v>910105</v>
      </c>
      <c r="D764" s="7" t="s">
        <v>297</v>
      </c>
      <c r="E764" s="7" t="s">
        <v>296</v>
      </c>
      <c r="F764" s="8">
        <v>8</v>
      </c>
      <c r="G764" s="8">
        <v>0</v>
      </c>
      <c r="H764" s="7" t="s">
        <v>75</v>
      </c>
      <c r="I764" s="8">
        <f t="shared" si="22"/>
        <v>0</v>
      </c>
      <c r="J764" s="7" t="str">
        <f t="shared" si="23"/>
        <v>Sin fila previa</v>
      </c>
    </row>
    <row r="765" spans="1:10" x14ac:dyDescent="0.3">
      <c r="A765" s="7">
        <v>100</v>
      </c>
      <c r="B765" s="7" t="s">
        <v>382</v>
      </c>
      <c r="C765" s="7">
        <v>910122</v>
      </c>
      <c r="D765" s="7" t="s">
        <v>323</v>
      </c>
      <c r="E765" s="7" t="s">
        <v>296</v>
      </c>
      <c r="F765" s="8">
        <v>16</v>
      </c>
      <c r="G765" s="8">
        <v>0</v>
      </c>
      <c r="H765" s="7" t="s">
        <v>75</v>
      </c>
      <c r="I765" s="8">
        <f t="shared" si="22"/>
        <v>0</v>
      </c>
      <c r="J765" s="7" t="str">
        <f t="shared" si="23"/>
        <v>Sin fila previa</v>
      </c>
    </row>
    <row r="766" spans="1:10" x14ac:dyDescent="0.3">
      <c r="A766" s="7">
        <v>100</v>
      </c>
      <c r="B766" s="7" t="s">
        <v>382</v>
      </c>
      <c r="C766" s="7">
        <v>910123</v>
      </c>
      <c r="D766" s="7" t="s">
        <v>360</v>
      </c>
      <c r="E766" s="7" t="s">
        <v>296</v>
      </c>
      <c r="F766" s="8">
        <v>16</v>
      </c>
      <c r="G766" s="8">
        <v>0</v>
      </c>
      <c r="H766" s="7" t="s">
        <v>75</v>
      </c>
      <c r="I766" s="8">
        <f t="shared" si="22"/>
        <v>0</v>
      </c>
      <c r="J766" s="7" t="str">
        <f t="shared" si="23"/>
        <v>Sin fila previa</v>
      </c>
    </row>
    <row r="767" spans="1:10" x14ac:dyDescent="0.3">
      <c r="A767" s="7">
        <v>100</v>
      </c>
      <c r="B767" s="7" t="s">
        <v>382</v>
      </c>
      <c r="C767" s="7">
        <v>925050</v>
      </c>
      <c r="D767" s="7" t="s">
        <v>261</v>
      </c>
      <c r="E767" s="7" t="s">
        <v>220</v>
      </c>
      <c r="F767" s="8">
        <v>16</v>
      </c>
      <c r="G767" s="8">
        <v>0</v>
      </c>
      <c r="H767" s="7" t="s">
        <v>75</v>
      </c>
      <c r="I767" s="8">
        <f t="shared" si="22"/>
        <v>0</v>
      </c>
      <c r="J767" s="7" t="str">
        <f t="shared" si="23"/>
        <v>Sin fila previa</v>
      </c>
    </row>
    <row r="768" spans="1:10" x14ac:dyDescent="0.3">
      <c r="A768" s="7">
        <v>100</v>
      </c>
      <c r="B768" s="7" t="s">
        <v>382</v>
      </c>
      <c r="C768" s="7">
        <v>925059</v>
      </c>
      <c r="D768" s="7" t="s">
        <v>262</v>
      </c>
      <c r="E768" s="7" t="s">
        <v>220</v>
      </c>
      <c r="F768" s="8">
        <v>1.33</v>
      </c>
      <c r="G768" s="8">
        <v>0</v>
      </c>
      <c r="H768" s="7" t="s">
        <v>75</v>
      </c>
      <c r="I768" s="8">
        <f t="shared" si="22"/>
        <v>0</v>
      </c>
      <c r="J768" s="7" t="str">
        <f t="shared" si="23"/>
        <v>Sin fila previa</v>
      </c>
    </row>
    <row r="769" spans="1:10" x14ac:dyDescent="0.3">
      <c r="A769" s="7">
        <v>100</v>
      </c>
      <c r="B769" s="7" t="s">
        <v>382</v>
      </c>
      <c r="C769" s="7">
        <v>925064</v>
      </c>
      <c r="D769" s="7" t="s">
        <v>263</v>
      </c>
      <c r="E769" s="7" t="s">
        <v>220</v>
      </c>
      <c r="F769" s="8">
        <v>16.670000000000002</v>
      </c>
      <c r="G769" s="8">
        <v>0</v>
      </c>
      <c r="H769" s="7" t="s">
        <v>75</v>
      </c>
      <c r="I769" s="8">
        <f t="shared" si="22"/>
        <v>0</v>
      </c>
      <c r="J769" s="7" t="str">
        <f t="shared" si="23"/>
        <v>Sin fila previa</v>
      </c>
    </row>
    <row r="770" spans="1:10" x14ac:dyDescent="0.3">
      <c r="A770" s="7">
        <v>100</v>
      </c>
      <c r="B770" s="7" t="s">
        <v>382</v>
      </c>
      <c r="C770" s="7">
        <v>925078</v>
      </c>
      <c r="D770" s="7" t="s">
        <v>221</v>
      </c>
      <c r="E770" s="7" t="s">
        <v>220</v>
      </c>
      <c r="F770" s="8">
        <v>4</v>
      </c>
      <c r="G770" s="8">
        <v>0</v>
      </c>
      <c r="H770" s="7" t="s">
        <v>75</v>
      </c>
      <c r="I770" s="8">
        <f t="shared" ref="I770:I833" si="24">MAX(0,G770-F770)</f>
        <v>0</v>
      </c>
      <c r="J770" s="7" t="str">
        <f t="shared" ref="J770:J833" si="25">IF(H770="No","Sin fila previa",IF(G770&lt;F770,"Queda en 0","OK"))</f>
        <v>Sin fila previa</v>
      </c>
    </row>
    <row r="771" spans="1:10" x14ac:dyDescent="0.3">
      <c r="A771" s="7">
        <v>100</v>
      </c>
      <c r="B771" s="7" t="s">
        <v>382</v>
      </c>
      <c r="C771" s="7">
        <v>925079</v>
      </c>
      <c r="D771" s="7" t="s">
        <v>279</v>
      </c>
      <c r="E771" s="7" t="s">
        <v>220</v>
      </c>
      <c r="F771" s="8">
        <v>4</v>
      </c>
      <c r="G771" s="8">
        <v>0</v>
      </c>
      <c r="H771" s="7" t="s">
        <v>75</v>
      </c>
      <c r="I771" s="8">
        <f t="shared" si="24"/>
        <v>0</v>
      </c>
      <c r="J771" s="7" t="str">
        <f t="shared" si="25"/>
        <v>Sin fila previa</v>
      </c>
    </row>
    <row r="772" spans="1:10" x14ac:dyDescent="0.3">
      <c r="A772" s="7">
        <v>100</v>
      </c>
      <c r="B772" s="7" t="s">
        <v>382</v>
      </c>
      <c r="C772" s="7">
        <v>925094</v>
      </c>
      <c r="D772" s="7" t="s">
        <v>298</v>
      </c>
      <c r="E772" s="7" t="s">
        <v>220</v>
      </c>
      <c r="F772" s="8">
        <v>4</v>
      </c>
      <c r="G772" s="8">
        <v>0</v>
      </c>
      <c r="H772" s="7" t="s">
        <v>75</v>
      </c>
      <c r="I772" s="8">
        <f t="shared" si="24"/>
        <v>0</v>
      </c>
      <c r="J772" s="7" t="str">
        <f t="shared" si="25"/>
        <v>Sin fila previa</v>
      </c>
    </row>
    <row r="773" spans="1:10" x14ac:dyDescent="0.3">
      <c r="A773" s="7">
        <v>100</v>
      </c>
      <c r="B773" s="7" t="s">
        <v>382</v>
      </c>
      <c r="C773" s="7">
        <v>930020</v>
      </c>
      <c r="D773" s="7" t="s">
        <v>299</v>
      </c>
      <c r="E773" s="7" t="s">
        <v>243</v>
      </c>
      <c r="F773" s="8">
        <v>5.33</v>
      </c>
      <c r="G773" s="8">
        <v>0</v>
      </c>
      <c r="H773" s="7" t="s">
        <v>75</v>
      </c>
      <c r="I773" s="8">
        <f t="shared" si="24"/>
        <v>0</v>
      </c>
      <c r="J773" s="7" t="str">
        <f t="shared" si="25"/>
        <v>Sin fila previa</v>
      </c>
    </row>
    <row r="774" spans="1:10" x14ac:dyDescent="0.3">
      <c r="A774" s="7">
        <v>100</v>
      </c>
      <c r="B774" s="7" t="s">
        <v>382</v>
      </c>
      <c r="C774" s="7">
        <v>930022</v>
      </c>
      <c r="D774" s="7" t="s">
        <v>265</v>
      </c>
      <c r="E774" s="7" t="s">
        <v>243</v>
      </c>
      <c r="F774" s="8">
        <v>5.33</v>
      </c>
      <c r="G774" s="8">
        <v>0</v>
      </c>
      <c r="H774" s="7" t="s">
        <v>75</v>
      </c>
      <c r="I774" s="8">
        <f t="shared" si="24"/>
        <v>0</v>
      </c>
      <c r="J774" s="7" t="str">
        <f t="shared" si="25"/>
        <v>Sin fila previa</v>
      </c>
    </row>
    <row r="775" spans="1:10" x14ac:dyDescent="0.3">
      <c r="A775" s="7">
        <v>100</v>
      </c>
      <c r="B775" s="7" t="s">
        <v>382</v>
      </c>
      <c r="C775" s="7">
        <v>930023</v>
      </c>
      <c r="D775" s="7" t="s">
        <v>335</v>
      </c>
      <c r="E775" s="7" t="s">
        <v>243</v>
      </c>
      <c r="F775" s="8">
        <v>6.67</v>
      </c>
      <c r="G775" s="8">
        <v>0</v>
      </c>
      <c r="H775" s="7" t="s">
        <v>75</v>
      </c>
      <c r="I775" s="8">
        <f t="shared" si="24"/>
        <v>0</v>
      </c>
      <c r="J775" s="7" t="str">
        <f t="shared" si="25"/>
        <v>Sin fila previa</v>
      </c>
    </row>
    <row r="776" spans="1:10" x14ac:dyDescent="0.3">
      <c r="A776" s="7">
        <v>100</v>
      </c>
      <c r="B776" s="7" t="s">
        <v>382</v>
      </c>
      <c r="C776" s="7">
        <v>930025</v>
      </c>
      <c r="D776" s="7" t="s">
        <v>244</v>
      </c>
      <c r="E776" s="7" t="s">
        <v>243</v>
      </c>
      <c r="F776" s="8">
        <v>6.67</v>
      </c>
      <c r="G776" s="8">
        <v>0</v>
      </c>
      <c r="H776" s="7" t="s">
        <v>75</v>
      </c>
      <c r="I776" s="8">
        <f t="shared" si="24"/>
        <v>0</v>
      </c>
      <c r="J776" s="7" t="str">
        <f t="shared" si="25"/>
        <v>Sin fila previa</v>
      </c>
    </row>
    <row r="777" spans="1:10" x14ac:dyDescent="0.3">
      <c r="A777" s="7">
        <v>100</v>
      </c>
      <c r="B777" s="7" t="s">
        <v>382</v>
      </c>
      <c r="C777" s="7">
        <v>930039</v>
      </c>
      <c r="D777" s="7" t="s">
        <v>281</v>
      </c>
      <c r="E777" s="7" t="s">
        <v>243</v>
      </c>
      <c r="F777" s="8">
        <v>4</v>
      </c>
      <c r="G777" s="8">
        <v>0</v>
      </c>
      <c r="H777" s="7" t="s">
        <v>75</v>
      </c>
      <c r="I777" s="8">
        <f t="shared" si="24"/>
        <v>0</v>
      </c>
      <c r="J777" s="7" t="str">
        <f t="shared" si="25"/>
        <v>Sin fila previa</v>
      </c>
    </row>
    <row r="778" spans="1:10" x14ac:dyDescent="0.3">
      <c r="A778" s="7">
        <v>100</v>
      </c>
      <c r="B778" s="7" t="s">
        <v>382</v>
      </c>
      <c r="C778" s="7">
        <v>930121</v>
      </c>
      <c r="D778" s="7" t="s">
        <v>304</v>
      </c>
      <c r="E778" s="7" t="s">
        <v>243</v>
      </c>
      <c r="F778" s="8">
        <v>4.67</v>
      </c>
      <c r="G778" s="8">
        <v>0</v>
      </c>
      <c r="H778" s="7" t="s">
        <v>75</v>
      </c>
      <c r="I778" s="8">
        <f t="shared" si="24"/>
        <v>0</v>
      </c>
      <c r="J778" s="7" t="str">
        <f t="shared" si="25"/>
        <v>Sin fila previa</v>
      </c>
    </row>
    <row r="779" spans="1:10" x14ac:dyDescent="0.3">
      <c r="A779" s="7">
        <v>100</v>
      </c>
      <c r="B779" s="7" t="s">
        <v>382</v>
      </c>
      <c r="C779" s="7">
        <v>930137</v>
      </c>
      <c r="D779" s="7" t="s">
        <v>311</v>
      </c>
      <c r="E779" s="7" t="s">
        <v>243</v>
      </c>
      <c r="F779" s="8">
        <v>4.67</v>
      </c>
      <c r="G779" s="8">
        <v>0</v>
      </c>
      <c r="H779" s="7" t="s">
        <v>75</v>
      </c>
      <c r="I779" s="8">
        <f t="shared" si="24"/>
        <v>0</v>
      </c>
      <c r="J779" s="7" t="str">
        <f t="shared" si="25"/>
        <v>Sin fila previa</v>
      </c>
    </row>
    <row r="780" spans="1:10" x14ac:dyDescent="0.3">
      <c r="A780" s="7">
        <v>100</v>
      </c>
      <c r="B780" s="7" t="s">
        <v>382</v>
      </c>
      <c r="C780" s="7">
        <v>930138</v>
      </c>
      <c r="D780" s="7" t="s">
        <v>312</v>
      </c>
      <c r="E780" s="7" t="s">
        <v>243</v>
      </c>
      <c r="F780" s="8">
        <v>4.67</v>
      </c>
      <c r="G780" s="8">
        <v>0</v>
      </c>
      <c r="H780" s="7" t="s">
        <v>75</v>
      </c>
      <c r="I780" s="8">
        <f t="shared" si="24"/>
        <v>0</v>
      </c>
      <c r="J780" s="7" t="str">
        <f t="shared" si="25"/>
        <v>Sin fila previa</v>
      </c>
    </row>
    <row r="781" spans="1:10" x14ac:dyDescent="0.3">
      <c r="A781" s="7">
        <v>100</v>
      </c>
      <c r="B781" s="7" t="s">
        <v>382</v>
      </c>
      <c r="C781" s="7">
        <v>930140</v>
      </c>
      <c r="D781" s="7" t="s">
        <v>314</v>
      </c>
      <c r="E781" s="7" t="s">
        <v>243</v>
      </c>
      <c r="F781" s="8">
        <v>4.67</v>
      </c>
      <c r="G781" s="8">
        <v>0</v>
      </c>
      <c r="H781" s="7" t="s">
        <v>75</v>
      </c>
      <c r="I781" s="8">
        <f t="shared" si="24"/>
        <v>0</v>
      </c>
      <c r="J781" s="7" t="str">
        <f t="shared" si="25"/>
        <v>Sin fila previa</v>
      </c>
    </row>
    <row r="782" spans="1:10" x14ac:dyDescent="0.3">
      <c r="A782" s="7">
        <v>100</v>
      </c>
      <c r="B782" s="7" t="s">
        <v>382</v>
      </c>
      <c r="C782" s="7">
        <v>930144</v>
      </c>
      <c r="D782" s="7" t="s">
        <v>315</v>
      </c>
      <c r="E782" s="7" t="s">
        <v>243</v>
      </c>
      <c r="F782" s="8">
        <v>1.33</v>
      </c>
      <c r="G782" s="8">
        <v>0</v>
      </c>
      <c r="H782" s="7" t="s">
        <v>75</v>
      </c>
      <c r="I782" s="8">
        <f t="shared" si="24"/>
        <v>0</v>
      </c>
      <c r="J782" s="7" t="str">
        <f t="shared" si="25"/>
        <v>Sin fila previa</v>
      </c>
    </row>
    <row r="783" spans="1:10" x14ac:dyDescent="0.3">
      <c r="A783" s="7">
        <v>100</v>
      </c>
      <c r="B783" s="7" t="s">
        <v>382</v>
      </c>
      <c r="C783" s="7">
        <v>930145</v>
      </c>
      <c r="D783" s="7" t="s">
        <v>316</v>
      </c>
      <c r="E783" s="7" t="s">
        <v>243</v>
      </c>
      <c r="F783" s="8">
        <v>4.67</v>
      </c>
      <c r="G783" s="8">
        <v>0</v>
      </c>
      <c r="H783" s="7" t="s">
        <v>75</v>
      </c>
      <c r="I783" s="8">
        <f t="shared" si="24"/>
        <v>0</v>
      </c>
      <c r="J783" s="7" t="str">
        <f t="shared" si="25"/>
        <v>Sin fila previa</v>
      </c>
    </row>
    <row r="784" spans="1:10" x14ac:dyDescent="0.3">
      <c r="A784" s="7">
        <v>100</v>
      </c>
      <c r="B784" s="7" t="s">
        <v>382</v>
      </c>
      <c r="C784" s="7">
        <v>930154</v>
      </c>
      <c r="D784" s="7" t="s">
        <v>245</v>
      </c>
      <c r="E784" s="7" t="s">
        <v>243</v>
      </c>
      <c r="F784" s="8">
        <v>1.33</v>
      </c>
      <c r="G784" s="8">
        <v>0</v>
      </c>
      <c r="H784" s="7" t="s">
        <v>75</v>
      </c>
      <c r="I784" s="8">
        <f t="shared" si="24"/>
        <v>0</v>
      </c>
      <c r="J784" s="7" t="str">
        <f t="shared" si="25"/>
        <v>Sin fila previa</v>
      </c>
    </row>
    <row r="785" spans="1:10" x14ac:dyDescent="0.3">
      <c r="A785" s="7">
        <v>100</v>
      </c>
      <c r="B785" s="7" t="s">
        <v>382</v>
      </c>
      <c r="C785" s="7">
        <v>930168</v>
      </c>
      <c r="D785" s="7" t="s">
        <v>337</v>
      </c>
      <c r="E785" s="7" t="s">
        <v>243</v>
      </c>
      <c r="F785" s="8">
        <v>4</v>
      </c>
      <c r="G785" s="8">
        <v>0</v>
      </c>
      <c r="H785" s="7" t="s">
        <v>75</v>
      </c>
      <c r="I785" s="8">
        <f t="shared" si="24"/>
        <v>0</v>
      </c>
      <c r="J785" s="7" t="str">
        <f t="shared" si="25"/>
        <v>Sin fila previa</v>
      </c>
    </row>
    <row r="786" spans="1:10" x14ac:dyDescent="0.3">
      <c r="A786" s="7">
        <v>100</v>
      </c>
      <c r="B786" s="7" t="s">
        <v>382</v>
      </c>
      <c r="C786" s="7">
        <v>930177</v>
      </c>
      <c r="D786" s="7" t="s">
        <v>317</v>
      </c>
      <c r="E786" s="7" t="s">
        <v>243</v>
      </c>
      <c r="F786" s="8">
        <v>4.67</v>
      </c>
      <c r="G786" s="8">
        <v>0</v>
      </c>
      <c r="H786" s="7" t="s">
        <v>75</v>
      </c>
      <c r="I786" s="8">
        <f t="shared" si="24"/>
        <v>0</v>
      </c>
      <c r="J786" s="7" t="str">
        <f t="shared" si="25"/>
        <v>Sin fila previa</v>
      </c>
    </row>
    <row r="787" spans="1:10" x14ac:dyDescent="0.3">
      <c r="A787" s="7">
        <v>100</v>
      </c>
      <c r="B787" s="7" t="s">
        <v>382</v>
      </c>
      <c r="C787" s="7">
        <v>930178</v>
      </c>
      <c r="D787" s="7" t="s">
        <v>267</v>
      </c>
      <c r="E787" s="7" t="s">
        <v>243</v>
      </c>
      <c r="F787" s="8">
        <v>6</v>
      </c>
      <c r="G787" s="8">
        <v>0</v>
      </c>
      <c r="H787" s="7" t="s">
        <v>75</v>
      </c>
      <c r="I787" s="8">
        <f t="shared" si="24"/>
        <v>0</v>
      </c>
      <c r="J787" s="7" t="str">
        <f t="shared" si="25"/>
        <v>Sin fila previa</v>
      </c>
    </row>
    <row r="788" spans="1:10" x14ac:dyDescent="0.3">
      <c r="A788" s="7">
        <v>102</v>
      </c>
      <c r="B788" s="7" t="s">
        <v>384</v>
      </c>
      <c r="C788" s="7">
        <v>101005</v>
      </c>
      <c r="D788" s="7" t="s">
        <v>232</v>
      </c>
      <c r="E788" s="7" t="s">
        <v>215</v>
      </c>
      <c r="F788" s="8">
        <v>40</v>
      </c>
      <c r="G788" s="8">
        <v>148.05000000000001</v>
      </c>
      <c r="H788" s="7" t="s">
        <v>26</v>
      </c>
      <c r="I788" s="8">
        <f t="shared" si="24"/>
        <v>108.05000000000001</v>
      </c>
      <c r="J788" s="7" t="str">
        <f t="shared" si="25"/>
        <v>OK</v>
      </c>
    </row>
    <row r="789" spans="1:10" x14ac:dyDescent="0.3">
      <c r="A789" s="7">
        <v>102</v>
      </c>
      <c r="B789" s="7" t="s">
        <v>384</v>
      </c>
      <c r="C789" s="7">
        <v>101018</v>
      </c>
      <c r="D789" s="7" t="s">
        <v>321</v>
      </c>
      <c r="E789" s="7" t="s">
        <v>215</v>
      </c>
      <c r="F789" s="8">
        <v>52</v>
      </c>
      <c r="G789" s="8">
        <v>918.47</v>
      </c>
      <c r="H789" s="7" t="s">
        <v>26</v>
      </c>
      <c r="I789" s="8">
        <f t="shared" si="24"/>
        <v>866.47</v>
      </c>
      <c r="J789" s="7" t="str">
        <f t="shared" si="25"/>
        <v>OK</v>
      </c>
    </row>
    <row r="790" spans="1:10" x14ac:dyDescent="0.3">
      <c r="A790" s="7">
        <v>102</v>
      </c>
      <c r="B790" s="7" t="s">
        <v>384</v>
      </c>
      <c r="C790" s="7">
        <v>101026</v>
      </c>
      <c r="D790" s="7" t="s">
        <v>233</v>
      </c>
      <c r="E790" s="7" t="s">
        <v>215</v>
      </c>
      <c r="F790" s="8">
        <v>42</v>
      </c>
      <c r="G790" s="8">
        <v>131.66</v>
      </c>
      <c r="H790" s="7" t="s">
        <v>26</v>
      </c>
      <c r="I790" s="8">
        <f t="shared" si="24"/>
        <v>89.66</v>
      </c>
      <c r="J790" s="7" t="str">
        <f t="shared" si="25"/>
        <v>OK</v>
      </c>
    </row>
    <row r="791" spans="1:10" x14ac:dyDescent="0.3">
      <c r="A791" s="7">
        <v>102</v>
      </c>
      <c r="B791" s="7" t="s">
        <v>384</v>
      </c>
      <c r="C791" s="7">
        <v>101027</v>
      </c>
      <c r="D791" s="7" t="s">
        <v>234</v>
      </c>
      <c r="E791" s="7" t="s">
        <v>215</v>
      </c>
      <c r="F791" s="8">
        <v>36</v>
      </c>
      <c r="G791" s="8">
        <v>134.97999999999999</v>
      </c>
      <c r="H791" s="7" t="s">
        <v>26</v>
      </c>
      <c r="I791" s="8">
        <f t="shared" si="24"/>
        <v>98.97999999999999</v>
      </c>
      <c r="J791" s="7" t="str">
        <f t="shared" si="25"/>
        <v>OK</v>
      </c>
    </row>
    <row r="792" spans="1:10" x14ac:dyDescent="0.3">
      <c r="A792" s="7">
        <v>102</v>
      </c>
      <c r="B792" s="7" t="s">
        <v>384</v>
      </c>
      <c r="C792" s="7">
        <v>101028</v>
      </c>
      <c r="D792" s="7" t="s">
        <v>214</v>
      </c>
      <c r="E792" s="7" t="s">
        <v>215</v>
      </c>
      <c r="F792" s="8">
        <v>48</v>
      </c>
      <c r="G792" s="8">
        <v>181.41</v>
      </c>
      <c r="H792" s="7" t="s">
        <v>26</v>
      </c>
      <c r="I792" s="8">
        <f t="shared" si="24"/>
        <v>133.41</v>
      </c>
      <c r="J792" s="7" t="str">
        <f t="shared" si="25"/>
        <v>OK</v>
      </c>
    </row>
    <row r="793" spans="1:10" x14ac:dyDescent="0.3">
      <c r="A793" s="7">
        <v>102</v>
      </c>
      <c r="B793" s="7" t="s">
        <v>384</v>
      </c>
      <c r="C793" s="7">
        <v>101034</v>
      </c>
      <c r="D793" s="7" t="s">
        <v>272</v>
      </c>
      <c r="E793" s="7" t="s">
        <v>215</v>
      </c>
      <c r="F793" s="8">
        <v>0.67</v>
      </c>
      <c r="G793" s="8">
        <v>120.14</v>
      </c>
      <c r="H793" s="7" t="s">
        <v>26</v>
      </c>
      <c r="I793" s="8">
        <f t="shared" si="24"/>
        <v>119.47</v>
      </c>
      <c r="J793" s="7" t="str">
        <f t="shared" si="25"/>
        <v>OK</v>
      </c>
    </row>
    <row r="794" spans="1:10" x14ac:dyDescent="0.3">
      <c r="A794" s="7">
        <v>102</v>
      </c>
      <c r="B794" s="7" t="s">
        <v>384</v>
      </c>
      <c r="C794" s="7">
        <v>101038</v>
      </c>
      <c r="D794" s="7" t="s">
        <v>235</v>
      </c>
      <c r="E794" s="7" t="s">
        <v>215</v>
      </c>
      <c r="F794" s="8">
        <v>9.67</v>
      </c>
      <c r="G794" s="8">
        <v>422.4</v>
      </c>
      <c r="H794" s="7" t="s">
        <v>26</v>
      </c>
      <c r="I794" s="8">
        <f t="shared" si="24"/>
        <v>412.72999999999996</v>
      </c>
      <c r="J794" s="7" t="str">
        <f t="shared" si="25"/>
        <v>OK</v>
      </c>
    </row>
    <row r="795" spans="1:10" x14ac:dyDescent="0.3">
      <c r="A795" s="7">
        <v>102</v>
      </c>
      <c r="B795" s="7" t="s">
        <v>384</v>
      </c>
      <c r="C795" s="7">
        <v>101072</v>
      </c>
      <c r="D795" s="7" t="s">
        <v>273</v>
      </c>
      <c r="E795" s="7" t="s">
        <v>215</v>
      </c>
      <c r="F795" s="8">
        <v>8</v>
      </c>
      <c r="G795" s="8">
        <v>553.89</v>
      </c>
      <c r="H795" s="7" t="s">
        <v>26</v>
      </c>
      <c r="I795" s="8">
        <f t="shared" si="24"/>
        <v>545.89</v>
      </c>
      <c r="J795" s="7" t="str">
        <f t="shared" si="25"/>
        <v>OK</v>
      </c>
    </row>
    <row r="796" spans="1:10" x14ac:dyDescent="0.3">
      <c r="A796" s="7">
        <v>102</v>
      </c>
      <c r="B796" s="7" t="s">
        <v>384</v>
      </c>
      <c r="C796" s="7">
        <v>101124</v>
      </c>
      <c r="D796" s="7" t="s">
        <v>322</v>
      </c>
      <c r="E796" s="7" t="s">
        <v>215</v>
      </c>
      <c r="F796" s="8">
        <v>8</v>
      </c>
      <c r="G796" s="8">
        <v>27.39</v>
      </c>
      <c r="H796" s="7" t="s">
        <v>26</v>
      </c>
      <c r="I796" s="8">
        <f t="shared" si="24"/>
        <v>19.39</v>
      </c>
      <c r="J796" s="7" t="str">
        <f t="shared" si="25"/>
        <v>OK</v>
      </c>
    </row>
    <row r="797" spans="1:10" x14ac:dyDescent="0.3">
      <c r="A797" s="7">
        <v>102</v>
      </c>
      <c r="B797" s="7" t="s">
        <v>384</v>
      </c>
      <c r="C797" s="7">
        <v>101130</v>
      </c>
      <c r="D797" s="7" t="s">
        <v>247</v>
      </c>
      <c r="E797" s="7" t="s">
        <v>215</v>
      </c>
      <c r="F797" s="8">
        <v>12</v>
      </c>
      <c r="G797" s="8">
        <v>0</v>
      </c>
      <c r="H797" s="7" t="s">
        <v>26</v>
      </c>
      <c r="I797" s="8">
        <f t="shared" si="24"/>
        <v>0</v>
      </c>
      <c r="J797" s="7" t="str">
        <f t="shared" si="25"/>
        <v>Queda en 0</v>
      </c>
    </row>
    <row r="798" spans="1:10" x14ac:dyDescent="0.3">
      <c r="A798" s="7">
        <v>102</v>
      </c>
      <c r="B798" s="7" t="s">
        <v>384</v>
      </c>
      <c r="C798" s="7">
        <v>103001</v>
      </c>
      <c r="D798" s="7" t="s">
        <v>248</v>
      </c>
      <c r="E798" s="7" t="s">
        <v>215</v>
      </c>
      <c r="F798" s="8">
        <v>56</v>
      </c>
      <c r="G798" s="8">
        <v>3054.75</v>
      </c>
      <c r="H798" s="7" t="s">
        <v>26</v>
      </c>
      <c r="I798" s="8">
        <f t="shared" si="24"/>
        <v>2998.75</v>
      </c>
      <c r="J798" s="7" t="str">
        <f t="shared" si="25"/>
        <v>OK</v>
      </c>
    </row>
    <row r="799" spans="1:10" x14ac:dyDescent="0.3">
      <c r="A799" s="7">
        <v>102</v>
      </c>
      <c r="B799" s="7" t="s">
        <v>384</v>
      </c>
      <c r="C799" s="7">
        <v>201001</v>
      </c>
      <c r="D799" s="7" t="s">
        <v>216</v>
      </c>
      <c r="E799" s="7" t="s">
        <v>217</v>
      </c>
      <c r="F799" s="8">
        <v>11</v>
      </c>
      <c r="G799" s="8">
        <v>594.57000000000005</v>
      </c>
      <c r="H799" s="7" t="s">
        <v>26</v>
      </c>
      <c r="I799" s="8">
        <f t="shared" si="24"/>
        <v>583.57000000000005</v>
      </c>
      <c r="J799" s="7" t="str">
        <f t="shared" si="25"/>
        <v>OK</v>
      </c>
    </row>
    <row r="800" spans="1:10" x14ac:dyDescent="0.3">
      <c r="A800" s="7">
        <v>102</v>
      </c>
      <c r="B800" s="7" t="s">
        <v>384</v>
      </c>
      <c r="C800" s="7">
        <v>220006</v>
      </c>
      <c r="D800" s="7" t="s">
        <v>342</v>
      </c>
      <c r="E800" s="7" t="s">
        <v>220</v>
      </c>
      <c r="F800" s="8">
        <v>0.33</v>
      </c>
      <c r="G800" s="8">
        <v>8.81</v>
      </c>
      <c r="H800" s="7" t="s">
        <v>26</v>
      </c>
      <c r="I800" s="8">
        <f t="shared" si="24"/>
        <v>8.48</v>
      </c>
      <c r="J800" s="7" t="str">
        <f t="shared" si="25"/>
        <v>OK</v>
      </c>
    </row>
    <row r="801" spans="1:10" x14ac:dyDescent="0.3">
      <c r="A801" s="7">
        <v>102</v>
      </c>
      <c r="B801" s="7" t="s">
        <v>384</v>
      </c>
      <c r="C801" s="7">
        <v>220007</v>
      </c>
      <c r="D801" s="7" t="s">
        <v>343</v>
      </c>
      <c r="E801" s="7" t="s">
        <v>220</v>
      </c>
      <c r="F801" s="8">
        <v>0.33</v>
      </c>
      <c r="G801" s="8">
        <v>7.93</v>
      </c>
      <c r="H801" s="7" t="s">
        <v>26</v>
      </c>
      <c r="I801" s="8">
        <f t="shared" si="24"/>
        <v>7.6</v>
      </c>
      <c r="J801" s="7" t="str">
        <f t="shared" si="25"/>
        <v>OK</v>
      </c>
    </row>
    <row r="802" spans="1:10" x14ac:dyDescent="0.3">
      <c r="A802" s="7">
        <v>102</v>
      </c>
      <c r="B802" s="7" t="s">
        <v>384</v>
      </c>
      <c r="C802" s="7">
        <v>220008</v>
      </c>
      <c r="D802" s="7" t="s">
        <v>344</v>
      </c>
      <c r="E802" s="7" t="s">
        <v>220</v>
      </c>
      <c r="F802" s="8">
        <v>0.33</v>
      </c>
      <c r="G802" s="8">
        <v>4.41</v>
      </c>
      <c r="H802" s="7" t="s">
        <v>26</v>
      </c>
      <c r="I802" s="8">
        <f t="shared" si="24"/>
        <v>4.08</v>
      </c>
      <c r="J802" s="7" t="str">
        <f t="shared" si="25"/>
        <v>OK</v>
      </c>
    </row>
    <row r="803" spans="1:10" x14ac:dyDescent="0.3">
      <c r="A803" s="7">
        <v>102</v>
      </c>
      <c r="B803" s="7" t="s">
        <v>384</v>
      </c>
      <c r="C803" s="7">
        <v>611049</v>
      </c>
      <c r="D803" s="7" t="s">
        <v>251</v>
      </c>
      <c r="E803" s="7" t="s">
        <v>217</v>
      </c>
      <c r="F803" s="8">
        <v>24</v>
      </c>
      <c r="G803" s="8">
        <v>56.24</v>
      </c>
      <c r="H803" s="7" t="s">
        <v>26</v>
      </c>
      <c r="I803" s="8">
        <f t="shared" si="24"/>
        <v>32.24</v>
      </c>
      <c r="J803" s="7" t="str">
        <f t="shared" si="25"/>
        <v>OK</v>
      </c>
    </row>
    <row r="804" spans="1:10" x14ac:dyDescent="0.3">
      <c r="A804" s="7">
        <v>102</v>
      </c>
      <c r="B804" s="7" t="s">
        <v>384</v>
      </c>
      <c r="C804" s="7">
        <v>611053</v>
      </c>
      <c r="D804" s="7" t="s">
        <v>253</v>
      </c>
      <c r="E804" s="7" t="s">
        <v>217</v>
      </c>
      <c r="F804" s="8">
        <v>16</v>
      </c>
      <c r="G804" s="8">
        <v>1065.18</v>
      </c>
      <c r="H804" s="7" t="s">
        <v>26</v>
      </c>
      <c r="I804" s="8">
        <f t="shared" si="24"/>
        <v>1049.18</v>
      </c>
      <c r="J804" s="7" t="str">
        <f t="shared" si="25"/>
        <v>OK</v>
      </c>
    </row>
    <row r="805" spans="1:10" x14ac:dyDescent="0.3">
      <c r="A805" s="7">
        <v>102</v>
      </c>
      <c r="B805" s="7" t="s">
        <v>384</v>
      </c>
      <c r="C805" s="7">
        <v>611055</v>
      </c>
      <c r="D805" s="7" t="s">
        <v>254</v>
      </c>
      <c r="E805" s="7" t="s">
        <v>217</v>
      </c>
      <c r="F805" s="8">
        <v>2.67</v>
      </c>
      <c r="G805" s="8">
        <v>142.32</v>
      </c>
      <c r="H805" s="7" t="s">
        <v>26</v>
      </c>
      <c r="I805" s="8">
        <f t="shared" si="24"/>
        <v>139.65</v>
      </c>
      <c r="J805" s="7" t="str">
        <f t="shared" si="25"/>
        <v>OK</v>
      </c>
    </row>
    <row r="806" spans="1:10" x14ac:dyDescent="0.3">
      <c r="A806" s="7">
        <v>102</v>
      </c>
      <c r="B806" s="7" t="s">
        <v>384</v>
      </c>
      <c r="C806" s="7">
        <v>611221</v>
      </c>
      <c r="D806" s="7" t="s">
        <v>293</v>
      </c>
      <c r="E806" s="7" t="s">
        <v>294</v>
      </c>
      <c r="F806" s="8">
        <v>0.33</v>
      </c>
      <c r="G806" s="8">
        <v>78.41</v>
      </c>
      <c r="H806" s="7" t="s">
        <v>26</v>
      </c>
      <c r="I806" s="8">
        <f t="shared" si="24"/>
        <v>78.08</v>
      </c>
      <c r="J806" s="7" t="str">
        <f t="shared" si="25"/>
        <v>OK</v>
      </c>
    </row>
    <row r="807" spans="1:10" x14ac:dyDescent="0.3">
      <c r="A807" s="7">
        <v>102</v>
      </c>
      <c r="B807" s="7" t="s">
        <v>384</v>
      </c>
      <c r="C807" s="7">
        <v>621043</v>
      </c>
      <c r="D807" s="7" t="s">
        <v>257</v>
      </c>
      <c r="E807" s="7" t="s">
        <v>239</v>
      </c>
      <c r="F807" s="8">
        <v>1.33</v>
      </c>
      <c r="G807" s="8">
        <v>0</v>
      </c>
      <c r="H807" s="7" t="s">
        <v>26</v>
      </c>
      <c r="I807" s="8">
        <f t="shared" si="24"/>
        <v>0</v>
      </c>
      <c r="J807" s="7" t="str">
        <f t="shared" si="25"/>
        <v>Queda en 0</v>
      </c>
    </row>
    <row r="808" spans="1:10" x14ac:dyDescent="0.3">
      <c r="A808" s="7">
        <v>102</v>
      </c>
      <c r="B808" s="7" t="s">
        <v>384</v>
      </c>
      <c r="C808" s="7">
        <v>621045</v>
      </c>
      <c r="D808" s="7" t="s">
        <v>238</v>
      </c>
      <c r="E808" s="7" t="s">
        <v>239</v>
      </c>
      <c r="F808" s="8">
        <v>8</v>
      </c>
      <c r="G808" s="8">
        <v>645.14</v>
      </c>
      <c r="H808" s="7" t="s">
        <v>26</v>
      </c>
      <c r="I808" s="8">
        <f t="shared" si="24"/>
        <v>637.14</v>
      </c>
      <c r="J808" s="7" t="str">
        <f t="shared" si="25"/>
        <v>OK</v>
      </c>
    </row>
    <row r="809" spans="1:10" x14ac:dyDescent="0.3">
      <c r="A809" s="7">
        <v>102</v>
      </c>
      <c r="B809" s="7" t="s">
        <v>384</v>
      </c>
      <c r="C809" s="7">
        <v>800088</v>
      </c>
      <c r="D809" s="7" t="s">
        <v>240</v>
      </c>
      <c r="E809" s="7" t="s">
        <v>215</v>
      </c>
      <c r="F809" s="8">
        <v>3</v>
      </c>
      <c r="G809" s="8">
        <v>225</v>
      </c>
      <c r="H809" s="7" t="s">
        <v>26</v>
      </c>
      <c r="I809" s="8">
        <f t="shared" si="24"/>
        <v>222</v>
      </c>
      <c r="J809" s="7" t="str">
        <f t="shared" si="25"/>
        <v>OK</v>
      </c>
    </row>
    <row r="810" spans="1:10" x14ac:dyDescent="0.3">
      <c r="A810" s="7">
        <v>102</v>
      </c>
      <c r="B810" s="7" t="s">
        <v>384</v>
      </c>
      <c r="C810" s="7">
        <v>800089</v>
      </c>
      <c r="D810" s="7" t="s">
        <v>241</v>
      </c>
      <c r="E810" s="7" t="s">
        <v>215</v>
      </c>
      <c r="F810" s="8">
        <v>0.67</v>
      </c>
      <c r="G810" s="8">
        <v>255.46</v>
      </c>
      <c r="H810" s="7" t="s">
        <v>26</v>
      </c>
      <c r="I810" s="8">
        <f t="shared" si="24"/>
        <v>254.79000000000002</v>
      </c>
      <c r="J810" s="7" t="str">
        <f t="shared" si="25"/>
        <v>OK</v>
      </c>
    </row>
    <row r="811" spans="1:10" x14ac:dyDescent="0.3">
      <c r="A811" s="7">
        <v>102</v>
      </c>
      <c r="B811" s="7" t="s">
        <v>384</v>
      </c>
      <c r="C811" s="7">
        <v>800791</v>
      </c>
      <c r="D811" s="7" t="s">
        <v>259</v>
      </c>
      <c r="E811" s="7" t="s">
        <v>243</v>
      </c>
      <c r="F811" s="8">
        <v>2</v>
      </c>
      <c r="G811" s="8">
        <v>10.41</v>
      </c>
      <c r="H811" s="7" t="s">
        <v>26</v>
      </c>
      <c r="I811" s="8">
        <f t="shared" si="24"/>
        <v>8.41</v>
      </c>
      <c r="J811" s="7" t="str">
        <f t="shared" si="25"/>
        <v>OK</v>
      </c>
    </row>
    <row r="812" spans="1:10" x14ac:dyDescent="0.3">
      <c r="A812" s="7">
        <v>102</v>
      </c>
      <c r="B812" s="7" t="s">
        <v>384</v>
      </c>
      <c r="C812" s="7">
        <v>800792</v>
      </c>
      <c r="D812" s="7" t="s">
        <v>242</v>
      </c>
      <c r="E812" s="7" t="s">
        <v>243</v>
      </c>
      <c r="F812" s="8">
        <v>2.33</v>
      </c>
      <c r="G812" s="8">
        <v>454.07</v>
      </c>
      <c r="H812" s="7" t="s">
        <v>26</v>
      </c>
      <c r="I812" s="8">
        <f t="shared" si="24"/>
        <v>451.74</v>
      </c>
      <c r="J812" s="7" t="str">
        <f t="shared" si="25"/>
        <v>OK</v>
      </c>
    </row>
    <row r="813" spans="1:10" x14ac:dyDescent="0.3">
      <c r="A813" s="7">
        <v>102</v>
      </c>
      <c r="B813" s="7" t="s">
        <v>384</v>
      </c>
      <c r="C813" s="7">
        <v>800793</v>
      </c>
      <c r="D813" s="7" t="s">
        <v>260</v>
      </c>
      <c r="E813" s="7" t="s">
        <v>243</v>
      </c>
      <c r="F813" s="8">
        <v>1.67</v>
      </c>
      <c r="G813" s="8">
        <v>107.98</v>
      </c>
      <c r="H813" s="7" t="s">
        <v>26</v>
      </c>
      <c r="I813" s="8">
        <f t="shared" si="24"/>
        <v>106.31</v>
      </c>
      <c r="J813" s="7" t="str">
        <f t="shared" si="25"/>
        <v>OK</v>
      </c>
    </row>
    <row r="814" spans="1:10" x14ac:dyDescent="0.3">
      <c r="A814" s="7">
        <v>102</v>
      </c>
      <c r="B814" s="7" t="s">
        <v>384</v>
      </c>
      <c r="C814" s="7">
        <v>800796</v>
      </c>
      <c r="D814" s="7" t="s">
        <v>276</v>
      </c>
      <c r="E814" s="7" t="s">
        <v>243</v>
      </c>
      <c r="F814" s="8">
        <v>1</v>
      </c>
      <c r="G814" s="8">
        <v>42.94</v>
      </c>
      <c r="H814" s="7" t="s">
        <v>26</v>
      </c>
      <c r="I814" s="8">
        <f t="shared" si="24"/>
        <v>41.94</v>
      </c>
      <c r="J814" s="7" t="str">
        <f t="shared" si="25"/>
        <v>OK</v>
      </c>
    </row>
    <row r="815" spans="1:10" x14ac:dyDescent="0.3">
      <c r="A815" s="7">
        <v>102</v>
      </c>
      <c r="B815" s="7" t="s">
        <v>384</v>
      </c>
      <c r="C815" s="7">
        <v>925050</v>
      </c>
      <c r="D815" s="7" t="s">
        <v>261</v>
      </c>
      <c r="E815" s="7" t="s">
        <v>220</v>
      </c>
      <c r="F815" s="8">
        <v>1.67</v>
      </c>
      <c r="G815" s="8">
        <v>56.77</v>
      </c>
      <c r="H815" s="7" t="s">
        <v>26</v>
      </c>
      <c r="I815" s="8">
        <f t="shared" si="24"/>
        <v>55.1</v>
      </c>
      <c r="J815" s="7" t="str">
        <f t="shared" si="25"/>
        <v>OK</v>
      </c>
    </row>
    <row r="816" spans="1:10" x14ac:dyDescent="0.3">
      <c r="A816" s="7">
        <v>102</v>
      </c>
      <c r="B816" s="7" t="s">
        <v>384</v>
      </c>
      <c r="C816" s="7">
        <v>925059</v>
      </c>
      <c r="D816" s="7" t="s">
        <v>262</v>
      </c>
      <c r="E816" s="7" t="s">
        <v>220</v>
      </c>
      <c r="F816" s="8">
        <v>2</v>
      </c>
      <c r="G816" s="8">
        <v>0</v>
      </c>
      <c r="H816" s="7" t="s">
        <v>26</v>
      </c>
      <c r="I816" s="8">
        <f t="shared" si="24"/>
        <v>0</v>
      </c>
      <c r="J816" s="7" t="str">
        <f t="shared" si="25"/>
        <v>Queda en 0</v>
      </c>
    </row>
    <row r="817" spans="1:10" x14ac:dyDescent="0.3">
      <c r="A817" s="7">
        <v>102</v>
      </c>
      <c r="B817" s="7" t="s">
        <v>384</v>
      </c>
      <c r="C817" s="7">
        <v>925064</v>
      </c>
      <c r="D817" s="7" t="s">
        <v>263</v>
      </c>
      <c r="E817" s="7" t="s">
        <v>220</v>
      </c>
      <c r="F817" s="8">
        <v>50</v>
      </c>
      <c r="G817" s="8">
        <v>269.16000000000003</v>
      </c>
      <c r="H817" s="7" t="s">
        <v>26</v>
      </c>
      <c r="I817" s="8">
        <f t="shared" si="24"/>
        <v>219.16000000000003</v>
      </c>
      <c r="J817" s="7" t="str">
        <f t="shared" si="25"/>
        <v>OK</v>
      </c>
    </row>
    <row r="818" spans="1:10" x14ac:dyDescent="0.3">
      <c r="A818" s="7">
        <v>102</v>
      </c>
      <c r="B818" s="7" t="s">
        <v>384</v>
      </c>
      <c r="C818" s="7">
        <v>925078</v>
      </c>
      <c r="D818" s="7" t="s">
        <v>221</v>
      </c>
      <c r="E818" s="7" t="s">
        <v>220</v>
      </c>
      <c r="F818" s="8">
        <v>20</v>
      </c>
      <c r="G818" s="8">
        <v>55.79</v>
      </c>
      <c r="H818" s="7" t="s">
        <v>26</v>
      </c>
      <c r="I818" s="8">
        <f t="shared" si="24"/>
        <v>35.79</v>
      </c>
      <c r="J818" s="7" t="str">
        <f t="shared" si="25"/>
        <v>OK</v>
      </c>
    </row>
    <row r="819" spans="1:10" x14ac:dyDescent="0.3">
      <c r="A819" s="7">
        <v>102</v>
      </c>
      <c r="B819" s="7" t="s">
        <v>384</v>
      </c>
      <c r="C819" s="7">
        <v>925079</v>
      </c>
      <c r="D819" s="7" t="s">
        <v>279</v>
      </c>
      <c r="E819" s="7" t="s">
        <v>220</v>
      </c>
      <c r="F819" s="8">
        <v>32</v>
      </c>
      <c r="G819" s="8">
        <v>151.71</v>
      </c>
      <c r="H819" s="7" t="s">
        <v>26</v>
      </c>
      <c r="I819" s="8">
        <f t="shared" si="24"/>
        <v>119.71000000000001</v>
      </c>
      <c r="J819" s="7" t="str">
        <f t="shared" si="25"/>
        <v>OK</v>
      </c>
    </row>
    <row r="820" spans="1:10" x14ac:dyDescent="0.3">
      <c r="A820" s="7">
        <v>102</v>
      </c>
      <c r="B820" s="7" t="s">
        <v>384</v>
      </c>
      <c r="C820" s="7">
        <v>925094</v>
      </c>
      <c r="D820" s="7" t="s">
        <v>298</v>
      </c>
      <c r="E820" s="7" t="s">
        <v>220</v>
      </c>
      <c r="F820" s="8">
        <v>15.67</v>
      </c>
      <c r="G820" s="8">
        <v>53.83</v>
      </c>
      <c r="H820" s="7" t="s">
        <v>26</v>
      </c>
      <c r="I820" s="8">
        <f t="shared" si="24"/>
        <v>38.159999999999997</v>
      </c>
      <c r="J820" s="7" t="str">
        <f t="shared" si="25"/>
        <v>OK</v>
      </c>
    </row>
    <row r="821" spans="1:10" x14ac:dyDescent="0.3">
      <c r="A821" s="7">
        <v>102</v>
      </c>
      <c r="B821" s="7" t="s">
        <v>384</v>
      </c>
      <c r="C821" s="7">
        <v>925095</v>
      </c>
      <c r="D821" s="7" t="s">
        <v>280</v>
      </c>
      <c r="E821" s="7" t="s">
        <v>220</v>
      </c>
      <c r="F821" s="8">
        <v>17</v>
      </c>
      <c r="G821" s="8">
        <v>187.92</v>
      </c>
      <c r="H821" s="7" t="s">
        <v>26</v>
      </c>
      <c r="I821" s="8">
        <f t="shared" si="24"/>
        <v>170.92</v>
      </c>
      <c r="J821" s="7" t="str">
        <f t="shared" si="25"/>
        <v>OK</v>
      </c>
    </row>
    <row r="822" spans="1:10" x14ac:dyDescent="0.3">
      <c r="A822" s="7">
        <v>102</v>
      </c>
      <c r="B822" s="7" t="s">
        <v>384</v>
      </c>
      <c r="C822" s="7">
        <v>925105</v>
      </c>
      <c r="D822" s="7" t="s">
        <v>290</v>
      </c>
      <c r="E822" s="7" t="s">
        <v>220</v>
      </c>
      <c r="F822" s="8">
        <v>2.33</v>
      </c>
      <c r="G822" s="8">
        <v>0</v>
      </c>
      <c r="H822" s="7" t="s">
        <v>26</v>
      </c>
      <c r="I822" s="8">
        <f t="shared" si="24"/>
        <v>0</v>
      </c>
      <c r="J822" s="7" t="str">
        <f t="shared" si="25"/>
        <v>Queda en 0</v>
      </c>
    </row>
    <row r="823" spans="1:10" x14ac:dyDescent="0.3">
      <c r="A823" s="7">
        <v>102</v>
      </c>
      <c r="B823" s="7" t="s">
        <v>384</v>
      </c>
      <c r="C823" s="7">
        <v>930012</v>
      </c>
      <c r="D823" s="7" t="s">
        <v>264</v>
      </c>
      <c r="E823" s="7" t="s">
        <v>243</v>
      </c>
      <c r="F823" s="8">
        <v>1.67</v>
      </c>
      <c r="G823" s="8">
        <v>203.01</v>
      </c>
      <c r="H823" s="7" t="s">
        <v>26</v>
      </c>
      <c r="I823" s="8">
        <f t="shared" si="24"/>
        <v>201.34</v>
      </c>
      <c r="J823" s="7" t="str">
        <f t="shared" si="25"/>
        <v>OK</v>
      </c>
    </row>
    <row r="824" spans="1:10" x14ac:dyDescent="0.3">
      <c r="A824" s="7">
        <v>102</v>
      </c>
      <c r="B824" s="7" t="s">
        <v>384</v>
      </c>
      <c r="C824" s="7">
        <v>930016</v>
      </c>
      <c r="D824" s="7" t="s">
        <v>385</v>
      </c>
      <c r="E824" s="7" t="s">
        <v>243</v>
      </c>
      <c r="F824" s="8">
        <v>0.67</v>
      </c>
      <c r="G824" s="8">
        <v>6.1</v>
      </c>
      <c r="H824" s="7" t="s">
        <v>26</v>
      </c>
      <c r="I824" s="8">
        <f t="shared" si="24"/>
        <v>5.43</v>
      </c>
      <c r="J824" s="7" t="str">
        <f t="shared" si="25"/>
        <v>OK</v>
      </c>
    </row>
    <row r="825" spans="1:10" x14ac:dyDescent="0.3">
      <c r="A825" s="7">
        <v>102</v>
      </c>
      <c r="B825" s="7" t="s">
        <v>384</v>
      </c>
      <c r="C825" s="7">
        <v>930017</v>
      </c>
      <c r="D825" s="7" t="s">
        <v>386</v>
      </c>
      <c r="E825" s="7" t="s">
        <v>243</v>
      </c>
      <c r="F825" s="8">
        <v>0.67</v>
      </c>
      <c r="G825" s="8">
        <v>4.58</v>
      </c>
      <c r="H825" s="7" t="s">
        <v>26</v>
      </c>
      <c r="I825" s="8">
        <f t="shared" si="24"/>
        <v>3.91</v>
      </c>
      <c r="J825" s="7" t="str">
        <f t="shared" si="25"/>
        <v>OK</v>
      </c>
    </row>
    <row r="826" spans="1:10" x14ac:dyDescent="0.3">
      <c r="A826" s="7">
        <v>102</v>
      </c>
      <c r="B826" s="7" t="s">
        <v>384</v>
      </c>
      <c r="C826" s="7">
        <v>930020</v>
      </c>
      <c r="D826" s="7" t="s">
        <v>299</v>
      </c>
      <c r="E826" s="7" t="s">
        <v>243</v>
      </c>
      <c r="F826" s="8">
        <v>0.67</v>
      </c>
      <c r="G826" s="8">
        <v>38.159999999999997</v>
      </c>
      <c r="H826" s="7" t="s">
        <v>26</v>
      </c>
      <c r="I826" s="8">
        <f t="shared" si="24"/>
        <v>37.489999999999995</v>
      </c>
      <c r="J826" s="7" t="str">
        <f t="shared" si="25"/>
        <v>OK</v>
      </c>
    </row>
    <row r="827" spans="1:10" x14ac:dyDescent="0.3">
      <c r="A827" s="7">
        <v>102</v>
      </c>
      <c r="B827" s="7" t="s">
        <v>384</v>
      </c>
      <c r="C827" s="7">
        <v>930021</v>
      </c>
      <c r="D827" s="7" t="s">
        <v>300</v>
      </c>
      <c r="E827" s="7" t="s">
        <v>243</v>
      </c>
      <c r="F827" s="8">
        <v>1</v>
      </c>
      <c r="G827" s="8">
        <v>71.739999999999995</v>
      </c>
      <c r="H827" s="7" t="s">
        <v>26</v>
      </c>
      <c r="I827" s="8">
        <f t="shared" si="24"/>
        <v>70.739999999999995</v>
      </c>
      <c r="J827" s="7" t="str">
        <f t="shared" si="25"/>
        <v>OK</v>
      </c>
    </row>
    <row r="828" spans="1:10" x14ac:dyDescent="0.3">
      <c r="A828" s="7">
        <v>102</v>
      </c>
      <c r="B828" s="7" t="s">
        <v>384</v>
      </c>
      <c r="C828" s="7">
        <v>930022</v>
      </c>
      <c r="D828" s="7" t="s">
        <v>265</v>
      </c>
      <c r="E828" s="7" t="s">
        <v>243</v>
      </c>
      <c r="F828" s="8">
        <v>0.67</v>
      </c>
      <c r="G828" s="8">
        <v>131.28</v>
      </c>
      <c r="H828" s="7" t="s">
        <v>26</v>
      </c>
      <c r="I828" s="8">
        <f t="shared" si="24"/>
        <v>130.61000000000001</v>
      </c>
      <c r="J828" s="7" t="str">
        <f t="shared" si="25"/>
        <v>OK</v>
      </c>
    </row>
    <row r="829" spans="1:10" x14ac:dyDescent="0.3">
      <c r="A829" s="7">
        <v>102</v>
      </c>
      <c r="B829" s="7" t="s">
        <v>384</v>
      </c>
      <c r="C829" s="7">
        <v>930023</v>
      </c>
      <c r="D829" s="7" t="s">
        <v>335</v>
      </c>
      <c r="E829" s="7" t="s">
        <v>243</v>
      </c>
      <c r="F829" s="8">
        <v>0.67</v>
      </c>
      <c r="G829" s="8">
        <v>15.26</v>
      </c>
      <c r="H829" s="7" t="s">
        <v>26</v>
      </c>
      <c r="I829" s="8">
        <f t="shared" si="24"/>
        <v>14.59</v>
      </c>
      <c r="J829" s="7" t="str">
        <f t="shared" si="25"/>
        <v>OK</v>
      </c>
    </row>
    <row r="830" spans="1:10" x14ac:dyDescent="0.3">
      <c r="A830" s="7">
        <v>102</v>
      </c>
      <c r="B830" s="7" t="s">
        <v>384</v>
      </c>
      <c r="C830" s="7">
        <v>930025</v>
      </c>
      <c r="D830" s="7" t="s">
        <v>244</v>
      </c>
      <c r="E830" s="7" t="s">
        <v>243</v>
      </c>
      <c r="F830" s="8">
        <v>1</v>
      </c>
      <c r="G830" s="8">
        <v>236.32</v>
      </c>
      <c r="H830" s="7" t="s">
        <v>26</v>
      </c>
      <c r="I830" s="8">
        <f t="shared" si="24"/>
        <v>235.32</v>
      </c>
      <c r="J830" s="7" t="str">
        <f t="shared" si="25"/>
        <v>OK</v>
      </c>
    </row>
    <row r="831" spans="1:10" x14ac:dyDescent="0.3">
      <c r="A831" s="7">
        <v>102</v>
      </c>
      <c r="B831" s="7" t="s">
        <v>384</v>
      </c>
      <c r="C831" s="7">
        <v>930026</v>
      </c>
      <c r="D831" s="7" t="s">
        <v>301</v>
      </c>
      <c r="E831" s="7" t="s">
        <v>243</v>
      </c>
      <c r="F831" s="8">
        <v>0.67</v>
      </c>
      <c r="G831" s="8">
        <v>16.18</v>
      </c>
      <c r="H831" s="7" t="s">
        <v>26</v>
      </c>
      <c r="I831" s="8">
        <f t="shared" si="24"/>
        <v>15.51</v>
      </c>
      <c r="J831" s="7" t="str">
        <f t="shared" si="25"/>
        <v>OK</v>
      </c>
    </row>
    <row r="832" spans="1:10" x14ac:dyDescent="0.3">
      <c r="A832" s="7">
        <v>102</v>
      </c>
      <c r="B832" s="7" t="s">
        <v>384</v>
      </c>
      <c r="C832" s="7">
        <v>930028</v>
      </c>
      <c r="D832" s="7" t="s">
        <v>302</v>
      </c>
      <c r="E832" s="7" t="s">
        <v>243</v>
      </c>
      <c r="F832" s="8">
        <v>0.67</v>
      </c>
      <c r="G832" s="8">
        <v>12.95</v>
      </c>
      <c r="H832" s="7" t="s">
        <v>26</v>
      </c>
      <c r="I832" s="8">
        <f t="shared" si="24"/>
        <v>12.28</v>
      </c>
      <c r="J832" s="7" t="str">
        <f t="shared" si="25"/>
        <v>OK</v>
      </c>
    </row>
    <row r="833" spans="1:10" x14ac:dyDescent="0.3">
      <c r="A833" s="7">
        <v>102</v>
      </c>
      <c r="B833" s="7" t="s">
        <v>384</v>
      </c>
      <c r="C833" s="7">
        <v>930034</v>
      </c>
      <c r="D833" s="7" t="s">
        <v>266</v>
      </c>
      <c r="E833" s="7" t="s">
        <v>243</v>
      </c>
      <c r="F833" s="8">
        <v>1.33</v>
      </c>
      <c r="G833" s="8">
        <v>67.62</v>
      </c>
      <c r="H833" s="7" t="s">
        <v>26</v>
      </c>
      <c r="I833" s="8">
        <f t="shared" si="24"/>
        <v>66.290000000000006</v>
      </c>
      <c r="J833" s="7" t="str">
        <f t="shared" si="25"/>
        <v>OK</v>
      </c>
    </row>
    <row r="834" spans="1:10" x14ac:dyDescent="0.3">
      <c r="A834" s="7">
        <v>102</v>
      </c>
      <c r="B834" s="7" t="s">
        <v>384</v>
      </c>
      <c r="C834" s="7">
        <v>930104</v>
      </c>
      <c r="D834" s="7" t="s">
        <v>328</v>
      </c>
      <c r="E834" s="7" t="s">
        <v>243</v>
      </c>
      <c r="F834" s="8">
        <v>1</v>
      </c>
      <c r="G834" s="8">
        <v>16.489999999999998</v>
      </c>
      <c r="H834" s="7" t="s">
        <v>26</v>
      </c>
      <c r="I834" s="8">
        <f t="shared" ref="I834:I897" si="26">MAX(0,G834-F834)</f>
        <v>15.489999999999998</v>
      </c>
      <c r="J834" s="7" t="str">
        <f t="shared" ref="J834:J897" si="27">IF(H834="No","Sin fila previa",IF(G834&lt;F834,"Queda en 0","OK"))</f>
        <v>OK</v>
      </c>
    </row>
    <row r="835" spans="1:10" x14ac:dyDescent="0.3">
      <c r="A835" s="7">
        <v>102</v>
      </c>
      <c r="B835" s="7" t="s">
        <v>384</v>
      </c>
      <c r="C835" s="7">
        <v>930113</v>
      </c>
      <c r="D835" s="7" t="s">
        <v>303</v>
      </c>
      <c r="E835" s="7" t="s">
        <v>243</v>
      </c>
      <c r="F835" s="8">
        <v>1</v>
      </c>
      <c r="G835" s="8">
        <v>14.31</v>
      </c>
      <c r="H835" s="7" t="s">
        <v>26</v>
      </c>
      <c r="I835" s="8">
        <f t="shared" si="26"/>
        <v>13.31</v>
      </c>
      <c r="J835" s="7" t="str">
        <f t="shared" si="27"/>
        <v>OK</v>
      </c>
    </row>
    <row r="836" spans="1:10" x14ac:dyDescent="0.3">
      <c r="A836" s="7">
        <v>102</v>
      </c>
      <c r="B836" s="7" t="s">
        <v>384</v>
      </c>
      <c r="C836" s="7">
        <v>930121</v>
      </c>
      <c r="D836" s="7" t="s">
        <v>304</v>
      </c>
      <c r="E836" s="7" t="s">
        <v>243</v>
      </c>
      <c r="F836" s="8">
        <v>0.67</v>
      </c>
      <c r="G836" s="8">
        <v>29.14</v>
      </c>
      <c r="H836" s="7" t="s">
        <v>26</v>
      </c>
      <c r="I836" s="8">
        <f t="shared" si="26"/>
        <v>28.47</v>
      </c>
      <c r="J836" s="7" t="str">
        <f t="shared" si="27"/>
        <v>OK</v>
      </c>
    </row>
    <row r="837" spans="1:10" x14ac:dyDescent="0.3">
      <c r="A837" s="7">
        <v>102</v>
      </c>
      <c r="B837" s="7" t="s">
        <v>384</v>
      </c>
      <c r="C837" s="7">
        <v>930153</v>
      </c>
      <c r="D837" s="7" t="s">
        <v>282</v>
      </c>
      <c r="E837" s="7" t="s">
        <v>243</v>
      </c>
      <c r="F837" s="8">
        <v>0.67</v>
      </c>
      <c r="G837" s="8">
        <v>22.12</v>
      </c>
      <c r="H837" s="7" t="s">
        <v>26</v>
      </c>
      <c r="I837" s="8">
        <f t="shared" si="26"/>
        <v>21.45</v>
      </c>
      <c r="J837" s="7" t="str">
        <f t="shared" si="27"/>
        <v>OK</v>
      </c>
    </row>
    <row r="838" spans="1:10" x14ac:dyDescent="0.3">
      <c r="A838" s="7">
        <v>102</v>
      </c>
      <c r="B838" s="7" t="s">
        <v>384</v>
      </c>
      <c r="C838" s="7">
        <v>930154</v>
      </c>
      <c r="D838" s="7" t="s">
        <v>245</v>
      </c>
      <c r="E838" s="7" t="s">
        <v>243</v>
      </c>
      <c r="F838" s="8">
        <v>3</v>
      </c>
      <c r="G838" s="8">
        <v>64.11</v>
      </c>
      <c r="H838" s="7" t="s">
        <v>26</v>
      </c>
      <c r="I838" s="8">
        <f t="shared" si="26"/>
        <v>61.11</v>
      </c>
      <c r="J838" s="7" t="str">
        <f t="shared" si="27"/>
        <v>OK</v>
      </c>
    </row>
    <row r="839" spans="1:10" x14ac:dyDescent="0.3">
      <c r="A839" s="7">
        <v>102</v>
      </c>
      <c r="B839" s="7" t="s">
        <v>384</v>
      </c>
      <c r="C839" s="7">
        <v>982005</v>
      </c>
      <c r="D839" s="7" t="s">
        <v>285</v>
      </c>
      <c r="E839" s="7" t="s">
        <v>270</v>
      </c>
      <c r="F839" s="8">
        <v>7.67</v>
      </c>
      <c r="G839" s="8">
        <v>2617.71</v>
      </c>
      <c r="H839" s="7" t="s">
        <v>26</v>
      </c>
      <c r="I839" s="8">
        <f t="shared" si="26"/>
        <v>2610.04</v>
      </c>
      <c r="J839" s="7" t="str">
        <f t="shared" si="27"/>
        <v>OK</v>
      </c>
    </row>
    <row r="840" spans="1:10" x14ac:dyDescent="0.3">
      <c r="A840" s="7">
        <v>104</v>
      </c>
      <c r="B840" s="7" t="s">
        <v>387</v>
      </c>
      <c r="C840" s="7">
        <v>101026</v>
      </c>
      <c r="D840" s="7" t="s">
        <v>233</v>
      </c>
      <c r="E840" s="7" t="s">
        <v>215</v>
      </c>
      <c r="F840" s="8">
        <v>12</v>
      </c>
      <c r="G840" s="8">
        <v>0</v>
      </c>
      <c r="H840" s="7" t="s">
        <v>75</v>
      </c>
      <c r="I840" s="8">
        <f t="shared" si="26"/>
        <v>0</v>
      </c>
      <c r="J840" s="7" t="str">
        <f t="shared" si="27"/>
        <v>Sin fila previa</v>
      </c>
    </row>
    <row r="841" spans="1:10" x14ac:dyDescent="0.3">
      <c r="A841" s="7">
        <v>104</v>
      </c>
      <c r="B841" s="7" t="s">
        <v>387</v>
      </c>
      <c r="C841" s="7">
        <v>101028</v>
      </c>
      <c r="D841" s="7" t="s">
        <v>214</v>
      </c>
      <c r="E841" s="7" t="s">
        <v>215</v>
      </c>
      <c r="F841" s="8">
        <v>12</v>
      </c>
      <c r="G841" s="8">
        <v>0</v>
      </c>
      <c r="H841" s="7" t="s">
        <v>75</v>
      </c>
      <c r="I841" s="8">
        <f t="shared" si="26"/>
        <v>0</v>
      </c>
      <c r="J841" s="7" t="str">
        <f t="shared" si="27"/>
        <v>Sin fila previa</v>
      </c>
    </row>
    <row r="842" spans="1:10" x14ac:dyDescent="0.3">
      <c r="A842" s="7">
        <v>106</v>
      </c>
      <c r="B842" s="7" t="s">
        <v>388</v>
      </c>
      <c r="C842" s="7">
        <v>101005</v>
      </c>
      <c r="D842" s="7" t="s">
        <v>232</v>
      </c>
      <c r="E842" s="7" t="s">
        <v>215</v>
      </c>
      <c r="F842" s="8">
        <v>10</v>
      </c>
      <c r="G842" s="8">
        <v>641.26</v>
      </c>
      <c r="H842" s="7" t="s">
        <v>26</v>
      </c>
      <c r="I842" s="8">
        <f t="shared" si="26"/>
        <v>631.26</v>
      </c>
      <c r="J842" s="7" t="str">
        <f t="shared" si="27"/>
        <v>OK</v>
      </c>
    </row>
    <row r="843" spans="1:10" x14ac:dyDescent="0.3">
      <c r="A843" s="7">
        <v>106</v>
      </c>
      <c r="B843" s="7" t="s">
        <v>388</v>
      </c>
      <c r="C843" s="7">
        <v>101027</v>
      </c>
      <c r="D843" s="7" t="s">
        <v>234</v>
      </c>
      <c r="E843" s="7" t="s">
        <v>215</v>
      </c>
      <c r="F843" s="8">
        <v>8</v>
      </c>
      <c r="G843" s="8">
        <v>505.5</v>
      </c>
      <c r="H843" s="7" t="s">
        <v>26</v>
      </c>
      <c r="I843" s="8">
        <f t="shared" si="26"/>
        <v>497.5</v>
      </c>
      <c r="J843" s="7" t="str">
        <f t="shared" si="27"/>
        <v>OK</v>
      </c>
    </row>
    <row r="844" spans="1:10" x14ac:dyDescent="0.3">
      <c r="A844" s="7">
        <v>106</v>
      </c>
      <c r="B844" s="7" t="s">
        <v>388</v>
      </c>
      <c r="C844" s="7">
        <v>101028</v>
      </c>
      <c r="D844" s="7" t="s">
        <v>214</v>
      </c>
      <c r="E844" s="7" t="s">
        <v>215</v>
      </c>
      <c r="F844" s="8">
        <v>6</v>
      </c>
      <c r="G844" s="8">
        <v>613.33000000000004</v>
      </c>
      <c r="H844" s="7" t="s">
        <v>26</v>
      </c>
      <c r="I844" s="8">
        <f t="shared" si="26"/>
        <v>607.33000000000004</v>
      </c>
      <c r="J844" s="7" t="str">
        <f t="shared" si="27"/>
        <v>OK</v>
      </c>
    </row>
    <row r="845" spans="1:10" x14ac:dyDescent="0.3">
      <c r="A845" s="7">
        <v>106</v>
      </c>
      <c r="B845" s="7" t="s">
        <v>388</v>
      </c>
      <c r="C845" s="7">
        <v>101038</v>
      </c>
      <c r="D845" s="7" t="s">
        <v>235</v>
      </c>
      <c r="E845" s="7" t="s">
        <v>215</v>
      </c>
      <c r="F845" s="8">
        <v>3.33</v>
      </c>
      <c r="G845" s="8">
        <v>3475.85</v>
      </c>
      <c r="H845" s="7" t="s">
        <v>26</v>
      </c>
      <c r="I845" s="8">
        <f t="shared" si="26"/>
        <v>3472.52</v>
      </c>
      <c r="J845" s="7" t="str">
        <f t="shared" si="27"/>
        <v>OK</v>
      </c>
    </row>
    <row r="846" spans="1:10" x14ac:dyDescent="0.3">
      <c r="A846" s="7">
        <v>128</v>
      </c>
      <c r="B846" s="7" t="s">
        <v>389</v>
      </c>
      <c r="C846" s="7">
        <v>101038</v>
      </c>
      <c r="D846" s="7" t="s">
        <v>235</v>
      </c>
      <c r="E846" s="7" t="s">
        <v>215</v>
      </c>
      <c r="F846" s="8">
        <v>0.67</v>
      </c>
      <c r="G846" s="8">
        <v>199.21</v>
      </c>
      <c r="H846" s="7" t="s">
        <v>26</v>
      </c>
      <c r="I846" s="8">
        <f t="shared" si="26"/>
        <v>198.54000000000002</v>
      </c>
      <c r="J846" s="7" t="str">
        <f t="shared" si="27"/>
        <v>OK</v>
      </c>
    </row>
    <row r="847" spans="1:10" x14ac:dyDescent="0.3">
      <c r="A847" s="7">
        <v>128</v>
      </c>
      <c r="B847" s="7" t="s">
        <v>389</v>
      </c>
      <c r="C847" s="7">
        <v>103001</v>
      </c>
      <c r="D847" s="7" t="s">
        <v>248</v>
      </c>
      <c r="E847" s="7" t="s">
        <v>215</v>
      </c>
      <c r="F847" s="8">
        <v>19</v>
      </c>
      <c r="G847" s="8">
        <v>2454.46</v>
      </c>
      <c r="H847" s="7" t="s">
        <v>26</v>
      </c>
      <c r="I847" s="8">
        <f t="shared" si="26"/>
        <v>2435.46</v>
      </c>
      <c r="J847" s="7" t="str">
        <f t="shared" si="27"/>
        <v>OK</v>
      </c>
    </row>
    <row r="848" spans="1:10" x14ac:dyDescent="0.3">
      <c r="A848" s="7">
        <v>128</v>
      </c>
      <c r="B848" s="7" t="s">
        <v>389</v>
      </c>
      <c r="C848" s="7">
        <v>201001</v>
      </c>
      <c r="D848" s="7" t="s">
        <v>216</v>
      </c>
      <c r="E848" s="7" t="s">
        <v>217</v>
      </c>
      <c r="F848" s="8">
        <v>1.33</v>
      </c>
      <c r="G848" s="8">
        <v>723.87</v>
      </c>
      <c r="H848" s="7" t="s">
        <v>26</v>
      </c>
      <c r="I848" s="8">
        <f t="shared" si="26"/>
        <v>722.54</v>
      </c>
      <c r="J848" s="7" t="str">
        <f t="shared" si="27"/>
        <v>OK</v>
      </c>
    </row>
    <row r="849" spans="1:10" x14ac:dyDescent="0.3">
      <c r="A849" s="7">
        <v>128</v>
      </c>
      <c r="B849" s="7" t="s">
        <v>389</v>
      </c>
      <c r="C849" s="7">
        <v>501000</v>
      </c>
      <c r="D849" s="7" t="s">
        <v>237</v>
      </c>
      <c r="E849" s="7" t="s">
        <v>217</v>
      </c>
      <c r="F849" s="8">
        <v>1</v>
      </c>
      <c r="G849" s="8">
        <v>925.29</v>
      </c>
      <c r="H849" s="7" t="s">
        <v>26</v>
      </c>
      <c r="I849" s="8">
        <f t="shared" si="26"/>
        <v>924.29</v>
      </c>
      <c r="J849" s="7" t="str">
        <f t="shared" si="27"/>
        <v>OK</v>
      </c>
    </row>
    <row r="850" spans="1:10" x14ac:dyDescent="0.3">
      <c r="A850" s="7">
        <v>128</v>
      </c>
      <c r="B850" s="7" t="s">
        <v>389</v>
      </c>
      <c r="C850" s="7">
        <v>611092</v>
      </c>
      <c r="D850" s="7" t="s">
        <v>348</v>
      </c>
      <c r="E850" s="7" t="s">
        <v>294</v>
      </c>
      <c r="F850" s="8">
        <v>0.33</v>
      </c>
      <c r="G850" s="8">
        <v>36.39</v>
      </c>
      <c r="H850" s="7" t="s">
        <v>26</v>
      </c>
      <c r="I850" s="8">
        <f t="shared" si="26"/>
        <v>36.06</v>
      </c>
      <c r="J850" s="7" t="str">
        <f t="shared" si="27"/>
        <v>OK</v>
      </c>
    </row>
    <row r="851" spans="1:10" x14ac:dyDescent="0.3">
      <c r="A851" s="7">
        <v>128</v>
      </c>
      <c r="B851" s="7" t="s">
        <v>389</v>
      </c>
      <c r="C851" s="7">
        <v>800088</v>
      </c>
      <c r="D851" s="7" t="s">
        <v>240</v>
      </c>
      <c r="E851" s="7" t="s">
        <v>215</v>
      </c>
      <c r="F851" s="8">
        <v>0.33</v>
      </c>
      <c r="G851" s="8">
        <v>170.6</v>
      </c>
      <c r="H851" s="7" t="s">
        <v>26</v>
      </c>
      <c r="I851" s="8">
        <f t="shared" si="26"/>
        <v>170.26999999999998</v>
      </c>
      <c r="J851" s="7" t="str">
        <f t="shared" si="27"/>
        <v>OK</v>
      </c>
    </row>
    <row r="852" spans="1:10" x14ac:dyDescent="0.3">
      <c r="A852" s="7">
        <v>128</v>
      </c>
      <c r="B852" s="7" t="s">
        <v>389</v>
      </c>
      <c r="C852" s="7">
        <v>800089</v>
      </c>
      <c r="D852" s="7" t="s">
        <v>241</v>
      </c>
      <c r="E852" s="7" t="s">
        <v>215</v>
      </c>
      <c r="F852" s="8">
        <v>0.33</v>
      </c>
      <c r="G852" s="8">
        <v>163.91</v>
      </c>
      <c r="H852" s="7" t="s">
        <v>26</v>
      </c>
      <c r="I852" s="8">
        <f t="shared" si="26"/>
        <v>163.57999999999998</v>
      </c>
      <c r="J852" s="7" t="str">
        <f t="shared" si="27"/>
        <v>OK</v>
      </c>
    </row>
    <row r="853" spans="1:10" x14ac:dyDescent="0.3">
      <c r="A853" s="7">
        <v>198</v>
      </c>
      <c r="B853" s="7" t="s">
        <v>390</v>
      </c>
      <c r="C853" s="7">
        <v>101005</v>
      </c>
      <c r="D853" s="7" t="s">
        <v>232</v>
      </c>
      <c r="E853" s="7" t="s">
        <v>215</v>
      </c>
      <c r="F853" s="8">
        <v>10</v>
      </c>
      <c r="G853" s="8">
        <v>76.48</v>
      </c>
      <c r="H853" s="7" t="s">
        <v>26</v>
      </c>
      <c r="I853" s="8">
        <f t="shared" si="26"/>
        <v>66.48</v>
      </c>
      <c r="J853" s="7" t="str">
        <f t="shared" si="27"/>
        <v>OK</v>
      </c>
    </row>
    <row r="854" spans="1:10" x14ac:dyDescent="0.3">
      <c r="A854" s="7">
        <v>198</v>
      </c>
      <c r="B854" s="7" t="s">
        <v>390</v>
      </c>
      <c r="C854" s="7">
        <v>101026</v>
      </c>
      <c r="D854" s="7" t="s">
        <v>233</v>
      </c>
      <c r="E854" s="7" t="s">
        <v>215</v>
      </c>
      <c r="F854" s="8">
        <v>24</v>
      </c>
      <c r="G854" s="8">
        <v>97.53</v>
      </c>
      <c r="H854" s="7" t="s">
        <v>26</v>
      </c>
      <c r="I854" s="8">
        <f t="shared" si="26"/>
        <v>73.53</v>
      </c>
      <c r="J854" s="7" t="str">
        <f t="shared" si="27"/>
        <v>OK</v>
      </c>
    </row>
    <row r="855" spans="1:10" x14ac:dyDescent="0.3">
      <c r="A855" s="7">
        <v>198</v>
      </c>
      <c r="B855" s="7" t="s">
        <v>390</v>
      </c>
      <c r="C855" s="7">
        <v>101027</v>
      </c>
      <c r="D855" s="7" t="s">
        <v>234</v>
      </c>
      <c r="E855" s="7" t="s">
        <v>215</v>
      </c>
      <c r="F855" s="8">
        <v>8</v>
      </c>
      <c r="G855" s="8">
        <v>92.3</v>
      </c>
      <c r="H855" s="7" t="s">
        <v>26</v>
      </c>
      <c r="I855" s="8">
        <f t="shared" si="26"/>
        <v>84.3</v>
      </c>
      <c r="J855" s="7" t="str">
        <f t="shared" si="27"/>
        <v>OK</v>
      </c>
    </row>
    <row r="856" spans="1:10" x14ac:dyDescent="0.3">
      <c r="A856" s="7">
        <v>198</v>
      </c>
      <c r="B856" s="7" t="s">
        <v>390</v>
      </c>
      <c r="C856" s="7">
        <v>101028</v>
      </c>
      <c r="D856" s="7" t="s">
        <v>214</v>
      </c>
      <c r="E856" s="7" t="s">
        <v>215</v>
      </c>
      <c r="F856" s="8">
        <v>12</v>
      </c>
      <c r="G856" s="8">
        <v>127.91</v>
      </c>
      <c r="H856" s="7" t="s">
        <v>26</v>
      </c>
      <c r="I856" s="8">
        <f t="shared" si="26"/>
        <v>115.91</v>
      </c>
      <c r="J856" s="7" t="str">
        <f t="shared" si="27"/>
        <v>OK</v>
      </c>
    </row>
    <row r="857" spans="1:10" x14ac:dyDescent="0.3">
      <c r="A857" s="7">
        <v>198</v>
      </c>
      <c r="B857" s="7" t="s">
        <v>390</v>
      </c>
      <c r="C857" s="7">
        <v>201001</v>
      </c>
      <c r="D857" s="7" t="s">
        <v>216</v>
      </c>
      <c r="E857" s="7" t="s">
        <v>217</v>
      </c>
      <c r="F857" s="8">
        <v>0.67</v>
      </c>
      <c r="G857" s="8">
        <v>524.98</v>
      </c>
      <c r="H857" s="7" t="s">
        <v>26</v>
      </c>
      <c r="I857" s="8">
        <f t="shared" si="26"/>
        <v>524.31000000000006</v>
      </c>
      <c r="J857" s="7" t="str">
        <f t="shared" si="27"/>
        <v>OK</v>
      </c>
    </row>
    <row r="858" spans="1:10" x14ac:dyDescent="0.3">
      <c r="A858" s="7">
        <v>198</v>
      </c>
      <c r="B858" s="7" t="s">
        <v>390</v>
      </c>
      <c r="C858" s="7">
        <v>611048</v>
      </c>
      <c r="D858" s="7" t="s">
        <v>250</v>
      </c>
      <c r="E858" s="7" t="s">
        <v>217</v>
      </c>
      <c r="F858" s="8">
        <v>16.670000000000002</v>
      </c>
      <c r="G858" s="8">
        <v>51.19</v>
      </c>
      <c r="H858" s="7" t="s">
        <v>26</v>
      </c>
      <c r="I858" s="8">
        <f t="shared" si="26"/>
        <v>34.519999999999996</v>
      </c>
      <c r="J858" s="7" t="str">
        <f t="shared" si="27"/>
        <v>OK</v>
      </c>
    </row>
    <row r="859" spans="1:10" x14ac:dyDescent="0.3">
      <c r="A859" s="7">
        <v>198</v>
      </c>
      <c r="B859" s="7" t="s">
        <v>390</v>
      </c>
      <c r="C859" s="7">
        <v>611052</v>
      </c>
      <c r="D859" s="7" t="s">
        <v>252</v>
      </c>
      <c r="E859" s="7" t="s">
        <v>217</v>
      </c>
      <c r="F859" s="8">
        <v>8</v>
      </c>
      <c r="G859" s="8">
        <v>75.52</v>
      </c>
      <c r="H859" s="7" t="s">
        <v>26</v>
      </c>
      <c r="I859" s="8">
        <f t="shared" si="26"/>
        <v>67.52</v>
      </c>
      <c r="J859" s="7" t="str">
        <f t="shared" si="27"/>
        <v>OK</v>
      </c>
    </row>
    <row r="860" spans="1:10" x14ac:dyDescent="0.3">
      <c r="A860" s="7">
        <v>198</v>
      </c>
      <c r="B860" s="7" t="s">
        <v>390</v>
      </c>
      <c r="C860" s="7">
        <v>611053</v>
      </c>
      <c r="D860" s="7" t="s">
        <v>253</v>
      </c>
      <c r="E860" s="7" t="s">
        <v>217</v>
      </c>
      <c r="F860" s="8">
        <v>16</v>
      </c>
      <c r="G860" s="8">
        <v>1071.3599999999999</v>
      </c>
      <c r="H860" s="7" t="s">
        <v>26</v>
      </c>
      <c r="I860" s="8">
        <f t="shared" si="26"/>
        <v>1055.3599999999999</v>
      </c>
      <c r="J860" s="7" t="str">
        <f t="shared" si="27"/>
        <v>OK</v>
      </c>
    </row>
    <row r="861" spans="1:10" x14ac:dyDescent="0.3">
      <c r="A861" s="7">
        <v>198</v>
      </c>
      <c r="B861" s="7" t="s">
        <v>390</v>
      </c>
      <c r="C861" s="7">
        <v>611055</v>
      </c>
      <c r="D861" s="7" t="s">
        <v>254</v>
      </c>
      <c r="E861" s="7" t="s">
        <v>217</v>
      </c>
      <c r="F861" s="8">
        <v>10.67</v>
      </c>
      <c r="G861" s="8">
        <v>182.66</v>
      </c>
      <c r="H861" s="7" t="s">
        <v>26</v>
      </c>
      <c r="I861" s="8">
        <f t="shared" si="26"/>
        <v>171.99</v>
      </c>
      <c r="J861" s="7" t="str">
        <f t="shared" si="27"/>
        <v>OK</v>
      </c>
    </row>
    <row r="862" spans="1:10" x14ac:dyDescent="0.3">
      <c r="A862" s="7">
        <v>198</v>
      </c>
      <c r="B862" s="7" t="s">
        <v>390</v>
      </c>
      <c r="C862" s="7">
        <v>621045</v>
      </c>
      <c r="D862" s="7" t="s">
        <v>238</v>
      </c>
      <c r="E862" s="7" t="s">
        <v>239</v>
      </c>
      <c r="F862" s="8">
        <v>4</v>
      </c>
      <c r="G862" s="8">
        <v>338.42</v>
      </c>
      <c r="H862" s="7" t="s">
        <v>26</v>
      </c>
      <c r="I862" s="8">
        <f t="shared" si="26"/>
        <v>334.42</v>
      </c>
      <c r="J862" s="7" t="str">
        <f t="shared" si="27"/>
        <v>OK</v>
      </c>
    </row>
    <row r="863" spans="1:10" x14ac:dyDescent="0.3">
      <c r="A863" s="7">
        <v>198</v>
      </c>
      <c r="B863" s="7" t="s">
        <v>390</v>
      </c>
      <c r="C863" s="7">
        <v>930028</v>
      </c>
      <c r="D863" s="7" t="s">
        <v>302</v>
      </c>
      <c r="E863" s="7" t="s">
        <v>243</v>
      </c>
      <c r="F863" s="8">
        <v>1</v>
      </c>
      <c r="G863" s="8">
        <v>80.849999999999994</v>
      </c>
      <c r="H863" s="7" t="s">
        <v>26</v>
      </c>
      <c r="I863" s="8">
        <f t="shared" si="26"/>
        <v>79.849999999999994</v>
      </c>
      <c r="J863" s="7" t="str">
        <f t="shared" si="27"/>
        <v>OK</v>
      </c>
    </row>
    <row r="864" spans="1:10" x14ac:dyDescent="0.3">
      <c r="A864" s="7">
        <v>198</v>
      </c>
      <c r="B864" s="7" t="s">
        <v>390</v>
      </c>
      <c r="C864" s="7">
        <v>930137</v>
      </c>
      <c r="D864" s="7" t="s">
        <v>311</v>
      </c>
      <c r="E864" s="7" t="s">
        <v>243</v>
      </c>
      <c r="F864" s="8">
        <v>1.33</v>
      </c>
      <c r="G864" s="8">
        <v>100.56</v>
      </c>
      <c r="H864" s="7" t="s">
        <v>26</v>
      </c>
      <c r="I864" s="8">
        <f t="shared" si="26"/>
        <v>99.23</v>
      </c>
      <c r="J864" s="7" t="str">
        <f t="shared" si="27"/>
        <v>OK</v>
      </c>
    </row>
    <row r="865" spans="1:10" x14ac:dyDescent="0.3">
      <c r="A865" s="7">
        <v>198</v>
      </c>
      <c r="B865" s="7" t="s">
        <v>390</v>
      </c>
      <c r="C865" s="7">
        <v>930138</v>
      </c>
      <c r="D865" s="7" t="s">
        <v>312</v>
      </c>
      <c r="E865" s="7" t="s">
        <v>243</v>
      </c>
      <c r="F865" s="8">
        <v>1.33</v>
      </c>
      <c r="G865" s="8">
        <v>118.12</v>
      </c>
      <c r="H865" s="7" t="s">
        <v>26</v>
      </c>
      <c r="I865" s="8">
        <f t="shared" si="26"/>
        <v>116.79</v>
      </c>
      <c r="J865" s="7" t="str">
        <f t="shared" si="27"/>
        <v>OK</v>
      </c>
    </row>
    <row r="866" spans="1:10" x14ac:dyDescent="0.3">
      <c r="A866" s="7">
        <v>198</v>
      </c>
      <c r="B866" s="7" t="s">
        <v>390</v>
      </c>
      <c r="C866" s="7">
        <v>930140</v>
      </c>
      <c r="D866" s="7" t="s">
        <v>314</v>
      </c>
      <c r="E866" s="7" t="s">
        <v>243</v>
      </c>
      <c r="F866" s="8">
        <v>1.33</v>
      </c>
      <c r="G866" s="8">
        <v>96.64</v>
      </c>
      <c r="H866" s="7" t="s">
        <v>26</v>
      </c>
      <c r="I866" s="8">
        <f t="shared" si="26"/>
        <v>95.31</v>
      </c>
      <c r="J866" s="7" t="str">
        <f t="shared" si="27"/>
        <v>OK</v>
      </c>
    </row>
    <row r="867" spans="1:10" x14ac:dyDescent="0.3">
      <c r="A867" s="7">
        <v>198</v>
      </c>
      <c r="B867" s="7" t="s">
        <v>390</v>
      </c>
      <c r="C867" s="7">
        <v>930144</v>
      </c>
      <c r="D867" s="7" t="s">
        <v>315</v>
      </c>
      <c r="E867" s="7" t="s">
        <v>243</v>
      </c>
      <c r="F867" s="8">
        <v>1.33</v>
      </c>
      <c r="G867" s="8">
        <v>183.54</v>
      </c>
      <c r="H867" s="7" t="s">
        <v>26</v>
      </c>
      <c r="I867" s="8">
        <f t="shared" si="26"/>
        <v>182.20999999999998</v>
      </c>
      <c r="J867" s="7" t="str">
        <f t="shared" si="27"/>
        <v>OK</v>
      </c>
    </row>
    <row r="868" spans="1:10" x14ac:dyDescent="0.3">
      <c r="A868" s="7">
        <v>198</v>
      </c>
      <c r="B868" s="7" t="s">
        <v>390</v>
      </c>
      <c r="C868" s="7">
        <v>930145</v>
      </c>
      <c r="D868" s="7" t="s">
        <v>316</v>
      </c>
      <c r="E868" s="7" t="s">
        <v>243</v>
      </c>
      <c r="F868" s="8">
        <v>1.33</v>
      </c>
      <c r="G868" s="8">
        <v>153.18</v>
      </c>
      <c r="H868" s="7" t="s">
        <v>26</v>
      </c>
      <c r="I868" s="8">
        <f t="shared" si="26"/>
        <v>151.85</v>
      </c>
      <c r="J868" s="7" t="str">
        <f t="shared" si="27"/>
        <v>OK</v>
      </c>
    </row>
    <row r="869" spans="1:10" x14ac:dyDescent="0.3">
      <c r="A869" s="7">
        <v>198</v>
      </c>
      <c r="B869" s="7" t="s">
        <v>390</v>
      </c>
      <c r="C869" s="7">
        <v>930177</v>
      </c>
      <c r="D869" s="7" t="s">
        <v>317</v>
      </c>
      <c r="E869" s="7" t="s">
        <v>243</v>
      </c>
      <c r="F869" s="8">
        <v>2.67</v>
      </c>
      <c r="G869" s="8">
        <v>357.31</v>
      </c>
      <c r="H869" s="7" t="s">
        <v>26</v>
      </c>
      <c r="I869" s="8">
        <f t="shared" si="26"/>
        <v>354.64</v>
      </c>
      <c r="J869" s="7" t="str">
        <f t="shared" si="27"/>
        <v>OK</v>
      </c>
    </row>
    <row r="870" spans="1:10" x14ac:dyDescent="0.3">
      <c r="A870" s="7">
        <v>198</v>
      </c>
      <c r="B870" s="7" t="s">
        <v>390</v>
      </c>
      <c r="C870" s="7">
        <v>930178</v>
      </c>
      <c r="D870" s="7" t="s">
        <v>267</v>
      </c>
      <c r="E870" s="7" t="s">
        <v>243</v>
      </c>
      <c r="F870" s="8">
        <v>3.67</v>
      </c>
      <c r="G870" s="8">
        <v>123.98</v>
      </c>
      <c r="H870" s="7" t="s">
        <v>26</v>
      </c>
      <c r="I870" s="8">
        <f t="shared" si="26"/>
        <v>120.31</v>
      </c>
      <c r="J870" s="7" t="str">
        <f t="shared" si="27"/>
        <v>OK</v>
      </c>
    </row>
    <row r="871" spans="1:10" x14ac:dyDescent="0.3">
      <c r="A871" s="7">
        <v>199</v>
      </c>
      <c r="B871" s="7" t="s">
        <v>391</v>
      </c>
      <c r="C871" s="7">
        <v>101005</v>
      </c>
      <c r="D871" s="7" t="s">
        <v>232</v>
      </c>
      <c r="E871" s="7" t="s">
        <v>215</v>
      </c>
      <c r="F871" s="8">
        <v>34</v>
      </c>
      <c r="G871" s="8">
        <v>63.74</v>
      </c>
      <c r="H871" s="7" t="s">
        <v>26</v>
      </c>
      <c r="I871" s="8">
        <f t="shared" si="26"/>
        <v>29.740000000000002</v>
      </c>
      <c r="J871" s="7" t="str">
        <f t="shared" si="27"/>
        <v>OK</v>
      </c>
    </row>
    <row r="872" spans="1:10" x14ac:dyDescent="0.3">
      <c r="A872" s="7">
        <v>199</v>
      </c>
      <c r="B872" s="7" t="s">
        <v>391</v>
      </c>
      <c r="C872" s="7">
        <v>101026</v>
      </c>
      <c r="D872" s="7" t="s">
        <v>233</v>
      </c>
      <c r="E872" s="7" t="s">
        <v>215</v>
      </c>
      <c r="F872" s="8">
        <v>26</v>
      </c>
      <c r="G872" s="8">
        <v>57.67</v>
      </c>
      <c r="H872" s="7" t="s">
        <v>26</v>
      </c>
      <c r="I872" s="8">
        <f t="shared" si="26"/>
        <v>31.67</v>
      </c>
      <c r="J872" s="7" t="str">
        <f t="shared" si="27"/>
        <v>OK</v>
      </c>
    </row>
    <row r="873" spans="1:10" x14ac:dyDescent="0.3">
      <c r="A873" s="7">
        <v>199</v>
      </c>
      <c r="B873" s="7" t="s">
        <v>391</v>
      </c>
      <c r="C873" s="7">
        <v>101027</v>
      </c>
      <c r="D873" s="7" t="s">
        <v>234</v>
      </c>
      <c r="E873" s="7" t="s">
        <v>215</v>
      </c>
      <c r="F873" s="8">
        <v>59.33</v>
      </c>
      <c r="G873" s="8">
        <v>84.28</v>
      </c>
      <c r="H873" s="7" t="s">
        <v>26</v>
      </c>
      <c r="I873" s="8">
        <f t="shared" si="26"/>
        <v>24.950000000000003</v>
      </c>
      <c r="J873" s="7" t="str">
        <f t="shared" si="27"/>
        <v>OK</v>
      </c>
    </row>
    <row r="874" spans="1:10" x14ac:dyDescent="0.3">
      <c r="A874" s="7">
        <v>199</v>
      </c>
      <c r="B874" s="7" t="s">
        <v>391</v>
      </c>
      <c r="C874" s="7">
        <v>101028</v>
      </c>
      <c r="D874" s="7" t="s">
        <v>214</v>
      </c>
      <c r="E874" s="7" t="s">
        <v>215</v>
      </c>
      <c r="F874" s="8">
        <v>69.33</v>
      </c>
      <c r="G874" s="8">
        <v>148.02000000000001</v>
      </c>
      <c r="H874" s="7" t="s">
        <v>26</v>
      </c>
      <c r="I874" s="8">
        <f t="shared" si="26"/>
        <v>78.690000000000012</v>
      </c>
      <c r="J874" s="7" t="str">
        <f t="shared" si="27"/>
        <v>OK</v>
      </c>
    </row>
    <row r="875" spans="1:10" x14ac:dyDescent="0.3">
      <c r="A875" s="7">
        <v>199</v>
      </c>
      <c r="B875" s="7" t="s">
        <v>391</v>
      </c>
      <c r="C875" s="7">
        <v>101034</v>
      </c>
      <c r="D875" s="7" t="s">
        <v>272</v>
      </c>
      <c r="E875" s="7" t="s">
        <v>215</v>
      </c>
      <c r="F875" s="8">
        <v>8.67</v>
      </c>
      <c r="G875" s="8">
        <v>86.94</v>
      </c>
      <c r="H875" s="7" t="s">
        <v>26</v>
      </c>
      <c r="I875" s="8">
        <f t="shared" si="26"/>
        <v>78.27</v>
      </c>
      <c r="J875" s="7" t="str">
        <f t="shared" si="27"/>
        <v>OK</v>
      </c>
    </row>
    <row r="876" spans="1:10" x14ac:dyDescent="0.3">
      <c r="A876" s="7">
        <v>199</v>
      </c>
      <c r="B876" s="7" t="s">
        <v>391</v>
      </c>
      <c r="C876" s="7">
        <v>101038</v>
      </c>
      <c r="D876" s="7" t="s">
        <v>235</v>
      </c>
      <c r="E876" s="7" t="s">
        <v>215</v>
      </c>
      <c r="F876" s="8">
        <v>87.67</v>
      </c>
      <c r="G876" s="8">
        <v>407.33</v>
      </c>
      <c r="H876" s="7" t="s">
        <v>26</v>
      </c>
      <c r="I876" s="8">
        <f t="shared" si="26"/>
        <v>319.65999999999997</v>
      </c>
      <c r="J876" s="7" t="str">
        <f t="shared" si="27"/>
        <v>OK</v>
      </c>
    </row>
    <row r="877" spans="1:10" x14ac:dyDescent="0.3">
      <c r="A877" s="7">
        <v>199</v>
      </c>
      <c r="B877" s="7" t="s">
        <v>391</v>
      </c>
      <c r="C877" s="7">
        <v>101124</v>
      </c>
      <c r="D877" s="7" t="s">
        <v>322</v>
      </c>
      <c r="E877" s="7" t="s">
        <v>215</v>
      </c>
      <c r="F877" s="8">
        <v>4</v>
      </c>
      <c r="G877" s="8">
        <v>20.52</v>
      </c>
      <c r="H877" s="7" t="s">
        <v>26</v>
      </c>
      <c r="I877" s="8">
        <f t="shared" si="26"/>
        <v>16.52</v>
      </c>
      <c r="J877" s="7" t="str">
        <f t="shared" si="27"/>
        <v>OK</v>
      </c>
    </row>
    <row r="878" spans="1:10" x14ac:dyDescent="0.3">
      <c r="A878" s="7">
        <v>199</v>
      </c>
      <c r="B878" s="7" t="s">
        <v>391</v>
      </c>
      <c r="C878" s="7">
        <v>101130</v>
      </c>
      <c r="D878" s="7" t="s">
        <v>247</v>
      </c>
      <c r="E878" s="7" t="s">
        <v>215</v>
      </c>
      <c r="F878" s="8">
        <v>2.67</v>
      </c>
      <c r="G878" s="8">
        <v>0</v>
      </c>
      <c r="H878" s="7" t="s">
        <v>26</v>
      </c>
      <c r="I878" s="8">
        <f t="shared" si="26"/>
        <v>0</v>
      </c>
      <c r="J878" s="7" t="str">
        <f t="shared" si="27"/>
        <v>Queda en 0</v>
      </c>
    </row>
    <row r="879" spans="1:10" x14ac:dyDescent="0.3">
      <c r="A879" s="7">
        <v>199</v>
      </c>
      <c r="B879" s="7" t="s">
        <v>391</v>
      </c>
      <c r="C879" s="7">
        <v>103001</v>
      </c>
      <c r="D879" s="7" t="s">
        <v>248</v>
      </c>
      <c r="E879" s="7" t="s">
        <v>215</v>
      </c>
      <c r="F879" s="8">
        <v>206</v>
      </c>
      <c r="G879" s="8">
        <v>3164.09</v>
      </c>
      <c r="H879" s="7" t="s">
        <v>26</v>
      </c>
      <c r="I879" s="8">
        <f t="shared" si="26"/>
        <v>2958.09</v>
      </c>
      <c r="J879" s="7" t="str">
        <f t="shared" si="27"/>
        <v>OK</v>
      </c>
    </row>
    <row r="880" spans="1:10" x14ac:dyDescent="0.3">
      <c r="A880" s="7">
        <v>199</v>
      </c>
      <c r="B880" s="7" t="s">
        <v>391</v>
      </c>
      <c r="C880" s="7">
        <v>103202</v>
      </c>
      <c r="D880" s="7" t="s">
        <v>287</v>
      </c>
      <c r="E880" s="7" t="s">
        <v>215</v>
      </c>
      <c r="F880" s="8">
        <v>4</v>
      </c>
      <c r="G880" s="8">
        <v>11.59</v>
      </c>
      <c r="H880" s="7" t="s">
        <v>26</v>
      </c>
      <c r="I880" s="8">
        <f t="shared" si="26"/>
        <v>7.59</v>
      </c>
      <c r="J880" s="7" t="str">
        <f t="shared" si="27"/>
        <v>OK</v>
      </c>
    </row>
    <row r="881" spans="1:10" x14ac:dyDescent="0.3">
      <c r="A881" s="7">
        <v>199</v>
      </c>
      <c r="B881" s="7" t="s">
        <v>391</v>
      </c>
      <c r="C881" s="7">
        <v>103208</v>
      </c>
      <c r="D881" s="7" t="s">
        <v>236</v>
      </c>
      <c r="E881" s="7" t="s">
        <v>215</v>
      </c>
      <c r="F881" s="8">
        <v>9</v>
      </c>
      <c r="G881" s="8">
        <v>15.43</v>
      </c>
      <c r="H881" s="7" t="s">
        <v>26</v>
      </c>
      <c r="I881" s="8">
        <f t="shared" si="26"/>
        <v>6.43</v>
      </c>
      <c r="J881" s="7" t="str">
        <f t="shared" si="27"/>
        <v>OK</v>
      </c>
    </row>
    <row r="882" spans="1:10" x14ac:dyDescent="0.3">
      <c r="A882" s="7">
        <v>199</v>
      </c>
      <c r="B882" s="7" t="s">
        <v>391</v>
      </c>
      <c r="C882" s="7">
        <v>201001</v>
      </c>
      <c r="D882" s="7" t="s">
        <v>216</v>
      </c>
      <c r="E882" s="7" t="s">
        <v>217</v>
      </c>
      <c r="F882" s="8">
        <v>286</v>
      </c>
      <c r="G882" s="8">
        <v>604.29</v>
      </c>
      <c r="H882" s="7" t="s">
        <v>26</v>
      </c>
      <c r="I882" s="8">
        <f t="shared" si="26"/>
        <v>318.28999999999996</v>
      </c>
      <c r="J882" s="7" t="str">
        <f t="shared" si="27"/>
        <v>OK</v>
      </c>
    </row>
    <row r="883" spans="1:10" x14ac:dyDescent="0.3">
      <c r="A883" s="7">
        <v>199</v>
      </c>
      <c r="B883" s="7" t="s">
        <v>391</v>
      </c>
      <c r="C883" s="7">
        <v>220002</v>
      </c>
      <c r="D883" s="7" t="s">
        <v>358</v>
      </c>
      <c r="E883" s="7" t="s">
        <v>220</v>
      </c>
      <c r="F883" s="8">
        <v>2</v>
      </c>
      <c r="G883" s="8">
        <v>11</v>
      </c>
      <c r="H883" s="7" t="s">
        <v>26</v>
      </c>
      <c r="I883" s="8">
        <f t="shared" si="26"/>
        <v>9</v>
      </c>
      <c r="J883" s="7" t="str">
        <f t="shared" si="27"/>
        <v>OK</v>
      </c>
    </row>
    <row r="884" spans="1:10" x14ac:dyDescent="0.3">
      <c r="A884" s="7">
        <v>199</v>
      </c>
      <c r="B884" s="7" t="s">
        <v>391</v>
      </c>
      <c r="C884" s="7">
        <v>220003</v>
      </c>
      <c r="D884" s="7" t="s">
        <v>359</v>
      </c>
      <c r="E884" s="7" t="s">
        <v>220</v>
      </c>
      <c r="F884" s="8">
        <v>3.67</v>
      </c>
      <c r="G884" s="8">
        <v>11.73</v>
      </c>
      <c r="H884" s="7" t="s">
        <v>26</v>
      </c>
      <c r="I884" s="8">
        <f t="shared" si="26"/>
        <v>8.06</v>
      </c>
      <c r="J884" s="7" t="str">
        <f t="shared" si="27"/>
        <v>OK</v>
      </c>
    </row>
    <row r="885" spans="1:10" x14ac:dyDescent="0.3">
      <c r="A885" s="7">
        <v>199</v>
      </c>
      <c r="B885" s="7" t="s">
        <v>391</v>
      </c>
      <c r="C885" s="7">
        <v>220004</v>
      </c>
      <c r="D885" s="7" t="s">
        <v>219</v>
      </c>
      <c r="E885" s="7" t="s">
        <v>220</v>
      </c>
      <c r="F885" s="8">
        <v>3</v>
      </c>
      <c r="G885" s="8">
        <v>8.7899999999999991</v>
      </c>
      <c r="H885" s="7" t="s">
        <v>26</v>
      </c>
      <c r="I885" s="8">
        <f t="shared" si="26"/>
        <v>5.7899999999999991</v>
      </c>
      <c r="J885" s="7" t="str">
        <f t="shared" si="27"/>
        <v>OK</v>
      </c>
    </row>
    <row r="886" spans="1:10" x14ac:dyDescent="0.3">
      <c r="A886" s="7">
        <v>199</v>
      </c>
      <c r="B886" s="7" t="s">
        <v>391</v>
      </c>
      <c r="C886" s="7">
        <v>501000</v>
      </c>
      <c r="D886" s="7" t="s">
        <v>237</v>
      </c>
      <c r="E886" s="7" t="s">
        <v>217</v>
      </c>
      <c r="F886" s="8">
        <v>6</v>
      </c>
      <c r="G886" s="8">
        <v>418.44</v>
      </c>
      <c r="H886" s="7" t="s">
        <v>26</v>
      </c>
      <c r="I886" s="8">
        <f t="shared" si="26"/>
        <v>412.44</v>
      </c>
      <c r="J886" s="7" t="str">
        <f t="shared" si="27"/>
        <v>OK</v>
      </c>
    </row>
    <row r="887" spans="1:10" x14ac:dyDescent="0.3">
      <c r="A887" s="7">
        <v>199</v>
      </c>
      <c r="B887" s="7" t="s">
        <v>391</v>
      </c>
      <c r="C887" s="7">
        <v>501137</v>
      </c>
      <c r="D887" s="7" t="s">
        <v>392</v>
      </c>
      <c r="E887" s="7" t="s">
        <v>393</v>
      </c>
      <c r="F887" s="8">
        <v>16</v>
      </c>
      <c r="G887" s="8">
        <v>20.71</v>
      </c>
      <c r="H887" s="7" t="s">
        <v>26</v>
      </c>
      <c r="I887" s="8">
        <f t="shared" si="26"/>
        <v>4.7100000000000009</v>
      </c>
      <c r="J887" s="7" t="str">
        <f t="shared" si="27"/>
        <v>OK</v>
      </c>
    </row>
    <row r="888" spans="1:10" x14ac:dyDescent="0.3">
      <c r="A888" s="7">
        <v>199</v>
      </c>
      <c r="B888" s="7" t="s">
        <v>391</v>
      </c>
      <c r="C888" s="7">
        <v>501138</v>
      </c>
      <c r="D888" s="7" t="s">
        <v>394</v>
      </c>
      <c r="E888" s="7" t="s">
        <v>393</v>
      </c>
      <c r="F888" s="8">
        <v>0.33</v>
      </c>
      <c r="G888" s="8">
        <v>1.31</v>
      </c>
      <c r="H888" s="7" t="s">
        <v>26</v>
      </c>
      <c r="I888" s="8">
        <f t="shared" si="26"/>
        <v>0.98</v>
      </c>
      <c r="J888" s="7" t="str">
        <f t="shared" si="27"/>
        <v>OK</v>
      </c>
    </row>
    <row r="889" spans="1:10" x14ac:dyDescent="0.3">
      <c r="A889" s="7">
        <v>199</v>
      </c>
      <c r="B889" s="7" t="s">
        <v>391</v>
      </c>
      <c r="C889" s="7">
        <v>511005</v>
      </c>
      <c r="D889" s="7" t="s">
        <v>249</v>
      </c>
      <c r="E889" s="7" t="s">
        <v>217</v>
      </c>
      <c r="F889" s="8">
        <v>2</v>
      </c>
      <c r="G889" s="8">
        <v>4.75</v>
      </c>
      <c r="H889" s="7" t="s">
        <v>26</v>
      </c>
      <c r="I889" s="8">
        <f t="shared" si="26"/>
        <v>2.75</v>
      </c>
      <c r="J889" s="7" t="str">
        <f t="shared" si="27"/>
        <v>OK</v>
      </c>
    </row>
    <row r="890" spans="1:10" x14ac:dyDescent="0.3">
      <c r="A890" s="7">
        <v>199</v>
      </c>
      <c r="B890" s="7" t="s">
        <v>391</v>
      </c>
      <c r="C890" s="7">
        <v>611049</v>
      </c>
      <c r="D890" s="7" t="s">
        <v>251</v>
      </c>
      <c r="E890" s="7" t="s">
        <v>217</v>
      </c>
      <c r="F890" s="8">
        <v>4</v>
      </c>
      <c r="G890" s="8">
        <v>46.59</v>
      </c>
      <c r="H890" s="7" t="s">
        <v>26</v>
      </c>
      <c r="I890" s="8">
        <f t="shared" si="26"/>
        <v>42.59</v>
      </c>
      <c r="J890" s="7" t="str">
        <f t="shared" si="27"/>
        <v>OK</v>
      </c>
    </row>
    <row r="891" spans="1:10" x14ac:dyDescent="0.3">
      <c r="A891" s="7">
        <v>199</v>
      </c>
      <c r="B891" s="7" t="s">
        <v>391</v>
      </c>
      <c r="C891" s="7">
        <v>611052</v>
      </c>
      <c r="D891" s="7" t="s">
        <v>252</v>
      </c>
      <c r="E891" s="7" t="s">
        <v>217</v>
      </c>
      <c r="F891" s="8">
        <v>4</v>
      </c>
      <c r="G891" s="8">
        <v>57.07</v>
      </c>
      <c r="H891" s="7" t="s">
        <v>26</v>
      </c>
      <c r="I891" s="8">
        <f t="shared" si="26"/>
        <v>53.07</v>
      </c>
      <c r="J891" s="7" t="str">
        <f t="shared" si="27"/>
        <v>OK</v>
      </c>
    </row>
    <row r="892" spans="1:10" x14ac:dyDescent="0.3">
      <c r="A892" s="7">
        <v>199</v>
      </c>
      <c r="B892" s="7" t="s">
        <v>391</v>
      </c>
      <c r="C892" s="7">
        <v>611053</v>
      </c>
      <c r="D892" s="7" t="s">
        <v>253</v>
      </c>
      <c r="E892" s="7" t="s">
        <v>217</v>
      </c>
      <c r="F892" s="8">
        <v>16</v>
      </c>
      <c r="G892" s="8">
        <v>1097.2</v>
      </c>
      <c r="H892" s="7" t="s">
        <v>26</v>
      </c>
      <c r="I892" s="8">
        <f t="shared" si="26"/>
        <v>1081.2</v>
      </c>
      <c r="J892" s="7" t="str">
        <f t="shared" si="27"/>
        <v>OK</v>
      </c>
    </row>
    <row r="893" spans="1:10" x14ac:dyDescent="0.3">
      <c r="A893" s="7">
        <v>199</v>
      </c>
      <c r="B893" s="7" t="s">
        <v>391</v>
      </c>
      <c r="C893" s="7">
        <v>611055</v>
      </c>
      <c r="D893" s="7" t="s">
        <v>254</v>
      </c>
      <c r="E893" s="7" t="s">
        <v>217</v>
      </c>
      <c r="F893" s="8">
        <v>8</v>
      </c>
      <c r="G893" s="8">
        <v>167.62</v>
      </c>
      <c r="H893" s="7" t="s">
        <v>26</v>
      </c>
      <c r="I893" s="8">
        <f t="shared" si="26"/>
        <v>159.62</v>
      </c>
      <c r="J893" s="7" t="str">
        <f t="shared" si="27"/>
        <v>OK</v>
      </c>
    </row>
    <row r="894" spans="1:10" x14ac:dyDescent="0.3">
      <c r="A894" s="7">
        <v>199</v>
      </c>
      <c r="B894" s="7" t="s">
        <v>391</v>
      </c>
      <c r="C894" s="7">
        <v>611092</v>
      </c>
      <c r="D894" s="7" t="s">
        <v>348</v>
      </c>
      <c r="E894" s="7" t="s">
        <v>294</v>
      </c>
      <c r="F894" s="8">
        <v>1</v>
      </c>
      <c r="G894" s="8">
        <v>64.55</v>
      </c>
      <c r="H894" s="7" t="s">
        <v>26</v>
      </c>
      <c r="I894" s="8">
        <f t="shared" si="26"/>
        <v>63.55</v>
      </c>
      <c r="J894" s="7" t="str">
        <f t="shared" si="27"/>
        <v>OK</v>
      </c>
    </row>
    <row r="895" spans="1:10" x14ac:dyDescent="0.3">
      <c r="A895" s="7">
        <v>199</v>
      </c>
      <c r="B895" s="7" t="s">
        <v>391</v>
      </c>
      <c r="C895" s="7">
        <v>611221</v>
      </c>
      <c r="D895" s="7" t="s">
        <v>293</v>
      </c>
      <c r="E895" s="7" t="s">
        <v>294</v>
      </c>
      <c r="F895" s="8">
        <v>1</v>
      </c>
      <c r="G895" s="8">
        <v>88.41</v>
      </c>
      <c r="H895" s="7" t="s">
        <v>26</v>
      </c>
      <c r="I895" s="8">
        <f t="shared" si="26"/>
        <v>87.41</v>
      </c>
      <c r="J895" s="7" t="str">
        <f t="shared" si="27"/>
        <v>OK</v>
      </c>
    </row>
    <row r="896" spans="1:10" x14ac:dyDescent="0.3">
      <c r="A896" s="7">
        <v>199</v>
      </c>
      <c r="B896" s="7" t="s">
        <v>391</v>
      </c>
      <c r="C896" s="7">
        <v>621004</v>
      </c>
      <c r="D896" s="7" t="s">
        <v>256</v>
      </c>
      <c r="E896" s="7" t="s">
        <v>239</v>
      </c>
      <c r="F896" s="8">
        <v>8</v>
      </c>
      <c r="G896" s="8">
        <v>16.88</v>
      </c>
      <c r="H896" s="7" t="s">
        <v>26</v>
      </c>
      <c r="I896" s="8">
        <f t="shared" si="26"/>
        <v>8.879999999999999</v>
      </c>
      <c r="J896" s="7" t="str">
        <f t="shared" si="27"/>
        <v>OK</v>
      </c>
    </row>
    <row r="897" spans="1:10" x14ac:dyDescent="0.3">
      <c r="A897" s="7">
        <v>199</v>
      </c>
      <c r="B897" s="7" t="s">
        <v>391</v>
      </c>
      <c r="C897" s="7">
        <v>621006</v>
      </c>
      <c r="D897" s="7" t="s">
        <v>288</v>
      </c>
      <c r="E897" s="7" t="s">
        <v>239</v>
      </c>
      <c r="F897" s="8">
        <v>8</v>
      </c>
      <c r="G897" s="8">
        <v>18.190000000000001</v>
      </c>
      <c r="H897" s="7" t="s">
        <v>26</v>
      </c>
      <c r="I897" s="8">
        <f t="shared" si="26"/>
        <v>10.190000000000001</v>
      </c>
      <c r="J897" s="7" t="str">
        <f t="shared" si="27"/>
        <v>OK</v>
      </c>
    </row>
    <row r="898" spans="1:10" x14ac:dyDescent="0.3">
      <c r="A898" s="7">
        <v>199</v>
      </c>
      <c r="B898" s="7" t="s">
        <v>391</v>
      </c>
      <c r="C898" s="7">
        <v>621008</v>
      </c>
      <c r="D898" s="7" t="s">
        <v>289</v>
      </c>
      <c r="E898" s="7" t="s">
        <v>239</v>
      </c>
      <c r="F898" s="8">
        <v>8</v>
      </c>
      <c r="G898" s="8">
        <v>10.39</v>
      </c>
      <c r="H898" s="7" t="s">
        <v>26</v>
      </c>
      <c r="I898" s="8">
        <f t="shared" ref="I898:I938" si="28">MAX(0,G898-F898)</f>
        <v>2.3900000000000006</v>
      </c>
      <c r="J898" s="7" t="str">
        <f t="shared" ref="J898:J938" si="29">IF(H898="No","Sin fila previa",IF(G898&lt;F898,"Queda en 0","OK"))</f>
        <v>OK</v>
      </c>
    </row>
    <row r="899" spans="1:10" x14ac:dyDescent="0.3">
      <c r="A899" s="7">
        <v>199</v>
      </c>
      <c r="B899" s="7" t="s">
        <v>391</v>
      </c>
      <c r="C899" s="7">
        <v>621043</v>
      </c>
      <c r="D899" s="7" t="s">
        <v>257</v>
      </c>
      <c r="E899" s="7" t="s">
        <v>239</v>
      </c>
      <c r="F899" s="8">
        <v>2.67</v>
      </c>
      <c r="G899" s="8">
        <v>0</v>
      </c>
      <c r="H899" s="7" t="s">
        <v>26</v>
      </c>
      <c r="I899" s="8">
        <f t="shared" si="28"/>
        <v>0</v>
      </c>
      <c r="J899" s="7" t="str">
        <f t="shared" si="29"/>
        <v>Queda en 0</v>
      </c>
    </row>
    <row r="900" spans="1:10" x14ac:dyDescent="0.3">
      <c r="A900" s="7">
        <v>199</v>
      </c>
      <c r="B900" s="7" t="s">
        <v>391</v>
      </c>
      <c r="C900" s="7">
        <v>621045</v>
      </c>
      <c r="D900" s="7" t="s">
        <v>238</v>
      </c>
      <c r="E900" s="7" t="s">
        <v>239</v>
      </c>
      <c r="F900" s="8">
        <v>32</v>
      </c>
      <c r="G900" s="8">
        <v>420.88</v>
      </c>
      <c r="H900" s="7" t="s">
        <v>26</v>
      </c>
      <c r="I900" s="8">
        <f t="shared" si="28"/>
        <v>388.88</v>
      </c>
      <c r="J900" s="7" t="str">
        <f t="shared" si="29"/>
        <v>OK</v>
      </c>
    </row>
    <row r="901" spans="1:10" x14ac:dyDescent="0.3">
      <c r="A901" s="7">
        <v>199</v>
      </c>
      <c r="B901" s="7" t="s">
        <v>391</v>
      </c>
      <c r="C901" s="7">
        <v>621055</v>
      </c>
      <c r="D901" s="7" t="s">
        <v>365</v>
      </c>
      <c r="E901" s="7" t="s">
        <v>239</v>
      </c>
      <c r="F901" s="8">
        <v>1</v>
      </c>
      <c r="G901" s="8">
        <v>3.2</v>
      </c>
      <c r="H901" s="7" t="s">
        <v>26</v>
      </c>
      <c r="I901" s="8">
        <f t="shared" si="28"/>
        <v>2.2000000000000002</v>
      </c>
      <c r="J901" s="7" t="str">
        <f t="shared" si="29"/>
        <v>OK</v>
      </c>
    </row>
    <row r="902" spans="1:10" x14ac:dyDescent="0.3">
      <c r="A902" s="7">
        <v>199</v>
      </c>
      <c r="B902" s="7" t="s">
        <v>391</v>
      </c>
      <c r="C902" s="7">
        <v>621057</v>
      </c>
      <c r="D902" s="7" t="s">
        <v>367</v>
      </c>
      <c r="E902" s="7" t="s">
        <v>239</v>
      </c>
      <c r="F902" s="8">
        <v>1</v>
      </c>
      <c r="G902" s="8">
        <v>0</v>
      </c>
      <c r="H902" s="7" t="s">
        <v>26</v>
      </c>
      <c r="I902" s="8">
        <f t="shared" si="28"/>
        <v>0</v>
      </c>
      <c r="J902" s="7" t="str">
        <f t="shared" si="29"/>
        <v>Queda en 0</v>
      </c>
    </row>
    <row r="903" spans="1:10" x14ac:dyDescent="0.3">
      <c r="A903" s="7">
        <v>199</v>
      </c>
      <c r="B903" s="7" t="s">
        <v>391</v>
      </c>
      <c r="C903" s="7">
        <v>621058</v>
      </c>
      <c r="D903" s="7" t="s">
        <v>371</v>
      </c>
      <c r="E903" s="7" t="s">
        <v>239</v>
      </c>
      <c r="F903" s="8">
        <v>2</v>
      </c>
      <c r="G903" s="8">
        <v>3.2</v>
      </c>
      <c r="H903" s="7" t="s">
        <v>26</v>
      </c>
      <c r="I903" s="8">
        <f t="shared" si="28"/>
        <v>1.2000000000000002</v>
      </c>
      <c r="J903" s="7" t="str">
        <f t="shared" si="29"/>
        <v>OK</v>
      </c>
    </row>
    <row r="904" spans="1:10" x14ac:dyDescent="0.3">
      <c r="A904" s="7">
        <v>199</v>
      </c>
      <c r="B904" s="7" t="s">
        <v>391</v>
      </c>
      <c r="C904" s="7">
        <v>621059</v>
      </c>
      <c r="D904" s="7" t="s">
        <v>372</v>
      </c>
      <c r="E904" s="7" t="s">
        <v>239</v>
      </c>
      <c r="F904" s="8">
        <v>2</v>
      </c>
      <c r="G904" s="8">
        <v>3.2</v>
      </c>
      <c r="H904" s="7" t="s">
        <v>26</v>
      </c>
      <c r="I904" s="8">
        <f t="shared" si="28"/>
        <v>1.2000000000000002</v>
      </c>
      <c r="J904" s="7" t="str">
        <f t="shared" si="29"/>
        <v>OK</v>
      </c>
    </row>
    <row r="905" spans="1:10" x14ac:dyDescent="0.3">
      <c r="A905" s="7">
        <v>199</v>
      </c>
      <c r="B905" s="7" t="s">
        <v>391</v>
      </c>
      <c r="C905" s="7">
        <v>800088</v>
      </c>
      <c r="D905" s="7" t="s">
        <v>240</v>
      </c>
      <c r="E905" s="7" t="s">
        <v>215</v>
      </c>
      <c r="F905" s="8">
        <v>21.33</v>
      </c>
      <c r="G905" s="8">
        <v>191.25</v>
      </c>
      <c r="H905" s="7" t="s">
        <v>26</v>
      </c>
      <c r="I905" s="8">
        <f t="shared" si="28"/>
        <v>169.92000000000002</v>
      </c>
      <c r="J905" s="7" t="str">
        <f t="shared" si="29"/>
        <v>OK</v>
      </c>
    </row>
    <row r="906" spans="1:10" x14ac:dyDescent="0.3">
      <c r="A906" s="7">
        <v>199</v>
      </c>
      <c r="B906" s="7" t="s">
        <v>391</v>
      </c>
      <c r="C906" s="7">
        <v>800089</v>
      </c>
      <c r="D906" s="7" t="s">
        <v>241</v>
      </c>
      <c r="E906" s="7" t="s">
        <v>215</v>
      </c>
      <c r="F906" s="8">
        <v>31.33</v>
      </c>
      <c r="G906" s="8">
        <v>211.76</v>
      </c>
      <c r="H906" s="7" t="s">
        <v>26</v>
      </c>
      <c r="I906" s="8">
        <f t="shared" si="28"/>
        <v>180.43</v>
      </c>
      <c r="J906" s="7" t="str">
        <f t="shared" si="29"/>
        <v>OK</v>
      </c>
    </row>
    <row r="907" spans="1:10" x14ac:dyDescent="0.3">
      <c r="A907" s="7">
        <v>199</v>
      </c>
      <c r="B907" s="7" t="s">
        <v>391</v>
      </c>
      <c r="C907" s="7">
        <v>800791</v>
      </c>
      <c r="D907" s="7" t="s">
        <v>259</v>
      </c>
      <c r="E907" s="7" t="s">
        <v>243</v>
      </c>
      <c r="F907" s="8">
        <v>0.33</v>
      </c>
      <c r="G907" s="8">
        <v>66.44</v>
      </c>
      <c r="H907" s="7" t="s">
        <v>26</v>
      </c>
      <c r="I907" s="8">
        <f t="shared" si="28"/>
        <v>66.11</v>
      </c>
      <c r="J907" s="7" t="str">
        <f t="shared" si="29"/>
        <v>OK</v>
      </c>
    </row>
    <row r="908" spans="1:10" x14ac:dyDescent="0.3">
      <c r="A908" s="7">
        <v>199</v>
      </c>
      <c r="B908" s="7" t="s">
        <v>391</v>
      </c>
      <c r="C908" s="7">
        <v>800792</v>
      </c>
      <c r="D908" s="7" t="s">
        <v>242</v>
      </c>
      <c r="E908" s="7" t="s">
        <v>243</v>
      </c>
      <c r="F908" s="8">
        <v>6</v>
      </c>
      <c r="G908" s="8">
        <v>292.57</v>
      </c>
      <c r="H908" s="7" t="s">
        <v>26</v>
      </c>
      <c r="I908" s="8">
        <f t="shared" si="28"/>
        <v>286.57</v>
      </c>
      <c r="J908" s="7" t="str">
        <f t="shared" si="29"/>
        <v>OK</v>
      </c>
    </row>
    <row r="909" spans="1:10" x14ac:dyDescent="0.3">
      <c r="A909" s="7">
        <v>199</v>
      </c>
      <c r="B909" s="7" t="s">
        <v>391</v>
      </c>
      <c r="C909" s="7">
        <v>800793</v>
      </c>
      <c r="D909" s="7" t="s">
        <v>260</v>
      </c>
      <c r="E909" s="7" t="s">
        <v>243</v>
      </c>
      <c r="F909" s="8">
        <v>1.67</v>
      </c>
      <c r="G909" s="8">
        <v>83.04</v>
      </c>
      <c r="H909" s="7" t="s">
        <v>26</v>
      </c>
      <c r="I909" s="8">
        <f t="shared" si="28"/>
        <v>81.37</v>
      </c>
      <c r="J909" s="7" t="str">
        <f t="shared" si="29"/>
        <v>OK</v>
      </c>
    </row>
    <row r="910" spans="1:10" x14ac:dyDescent="0.3">
      <c r="A910" s="7">
        <v>199</v>
      </c>
      <c r="B910" s="7" t="s">
        <v>391</v>
      </c>
      <c r="C910" s="7">
        <v>925050</v>
      </c>
      <c r="D910" s="7" t="s">
        <v>261</v>
      </c>
      <c r="E910" s="7" t="s">
        <v>220</v>
      </c>
      <c r="F910" s="8">
        <v>48</v>
      </c>
      <c r="G910" s="8">
        <v>264.31</v>
      </c>
      <c r="H910" s="7" t="s">
        <v>26</v>
      </c>
      <c r="I910" s="8">
        <f t="shared" si="28"/>
        <v>216.31</v>
      </c>
      <c r="J910" s="7" t="str">
        <f t="shared" si="29"/>
        <v>OK</v>
      </c>
    </row>
    <row r="911" spans="1:10" x14ac:dyDescent="0.3">
      <c r="A911" s="7">
        <v>199</v>
      </c>
      <c r="B911" s="7" t="s">
        <v>391</v>
      </c>
      <c r="C911" s="7">
        <v>925059</v>
      </c>
      <c r="D911" s="7" t="s">
        <v>262</v>
      </c>
      <c r="E911" s="7" t="s">
        <v>220</v>
      </c>
      <c r="F911" s="8">
        <v>4</v>
      </c>
      <c r="G911" s="8">
        <v>0</v>
      </c>
      <c r="H911" s="7" t="s">
        <v>26</v>
      </c>
      <c r="I911" s="8">
        <f t="shared" si="28"/>
        <v>0</v>
      </c>
      <c r="J911" s="7" t="str">
        <f t="shared" si="29"/>
        <v>Queda en 0</v>
      </c>
    </row>
    <row r="912" spans="1:10" x14ac:dyDescent="0.3">
      <c r="A912" s="7">
        <v>199</v>
      </c>
      <c r="B912" s="7" t="s">
        <v>391</v>
      </c>
      <c r="C912" s="7">
        <v>925064</v>
      </c>
      <c r="D912" s="7" t="s">
        <v>263</v>
      </c>
      <c r="E912" s="7" t="s">
        <v>220</v>
      </c>
      <c r="F912" s="8">
        <v>32.67</v>
      </c>
      <c r="G912" s="8">
        <v>547.44000000000005</v>
      </c>
      <c r="H912" s="7" t="s">
        <v>26</v>
      </c>
      <c r="I912" s="8">
        <f t="shared" si="28"/>
        <v>514.7700000000001</v>
      </c>
      <c r="J912" s="7" t="str">
        <f t="shared" si="29"/>
        <v>OK</v>
      </c>
    </row>
    <row r="913" spans="1:10" x14ac:dyDescent="0.3">
      <c r="A913" s="7">
        <v>199</v>
      </c>
      <c r="B913" s="7" t="s">
        <v>391</v>
      </c>
      <c r="C913" s="7">
        <v>925078</v>
      </c>
      <c r="D913" s="7" t="s">
        <v>221</v>
      </c>
      <c r="E913" s="7" t="s">
        <v>220</v>
      </c>
      <c r="F913" s="8">
        <v>2</v>
      </c>
      <c r="G913" s="8">
        <v>28.64</v>
      </c>
      <c r="H913" s="7" t="s">
        <v>26</v>
      </c>
      <c r="I913" s="8">
        <f t="shared" si="28"/>
        <v>26.64</v>
      </c>
      <c r="J913" s="7" t="str">
        <f t="shared" si="29"/>
        <v>OK</v>
      </c>
    </row>
    <row r="914" spans="1:10" x14ac:dyDescent="0.3">
      <c r="A914" s="7">
        <v>199</v>
      </c>
      <c r="B914" s="7" t="s">
        <v>391</v>
      </c>
      <c r="C914" s="7">
        <v>925079</v>
      </c>
      <c r="D914" s="7" t="s">
        <v>279</v>
      </c>
      <c r="E914" s="7" t="s">
        <v>220</v>
      </c>
      <c r="F914" s="8">
        <v>2</v>
      </c>
      <c r="G914" s="8">
        <v>45.83</v>
      </c>
      <c r="H914" s="7" t="s">
        <v>26</v>
      </c>
      <c r="I914" s="8">
        <f t="shared" si="28"/>
        <v>43.83</v>
      </c>
      <c r="J914" s="7" t="str">
        <f t="shared" si="29"/>
        <v>OK</v>
      </c>
    </row>
    <row r="915" spans="1:10" x14ac:dyDescent="0.3">
      <c r="A915" s="7">
        <v>199</v>
      </c>
      <c r="B915" s="7" t="s">
        <v>391</v>
      </c>
      <c r="C915" s="7">
        <v>925094</v>
      </c>
      <c r="D915" s="7" t="s">
        <v>298</v>
      </c>
      <c r="E915" s="7" t="s">
        <v>220</v>
      </c>
      <c r="F915" s="8">
        <v>4</v>
      </c>
      <c r="G915" s="8">
        <v>30.27</v>
      </c>
      <c r="H915" s="7" t="s">
        <v>26</v>
      </c>
      <c r="I915" s="8">
        <f t="shared" si="28"/>
        <v>26.27</v>
      </c>
      <c r="J915" s="7" t="str">
        <f t="shared" si="29"/>
        <v>OK</v>
      </c>
    </row>
    <row r="916" spans="1:10" x14ac:dyDescent="0.3">
      <c r="A916" s="7">
        <v>199</v>
      </c>
      <c r="B916" s="7" t="s">
        <v>391</v>
      </c>
      <c r="C916" s="7">
        <v>925095</v>
      </c>
      <c r="D916" s="7" t="s">
        <v>280</v>
      </c>
      <c r="E916" s="7" t="s">
        <v>220</v>
      </c>
      <c r="F916" s="8">
        <v>22</v>
      </c>
      <c r="G916" s="8">
        <v>63.01</v>
      </c>
      <c r="H916" s="7" t="s">
        <v>26</v>
      </c>
      <c r="I916" s="8">
        <f t="shared" si="28"/>
        <v>41.01</v>
      </c>
      <c r="J916" s="7" t="str">
        <f t="shared" si="29"/>
        <v>OK</v>
      </c>
    </row>
    <row r="917" spans="1:10" x14ac:dyDescent="0.3">
      <c r="A917" s="7">
        <v>199</v>
      </c>
      <c r="B917" s="7" t="s">
        <v>391</v>
      </c>
      <c r="C917" s="7">
        <v>925105</v>
      </c>
      <c r="D917" s="7" t="s">
        <v>290</v>
      </c>
      <c r="E917" s="7" t="s">
        <v>220</v>
      </c>
      <c r="F917" s="8">
        <v>0.33</v>
      </c>
      <c r="G917" s="8">
        <v>0</v>
      </c>
      <c r="H917" s="7" t="s">
        <v>26</v>
      </c>
      <c r="I917" s="8">
        <f t="shared" si="28"/>
        <v>0</v>
      </c>
      <c r="J917" s="7" t="str">
        <f t="shared" si="29"/>
        <v>Queda en 0</v>
      </c>
    </row>
    <row r="918" spans="1:10" x14ac:dyDescent="0.3">
      <c r="A918" s="7">
        <v>199</v>
      </c>
      <c r="B918" s="7" t="s">
        <v>391</v>
      </c>
      <c r="C918" s="7">
        <v>930012</v>
      </c>
      <c r="D918" s="7" t="s">
        <v>264</v>
      </c>
      <c r="E918" s="7" t="s">
        <v>243</v>
      </c>
      <c r="F918" s="8">
        <v>4.33</v>
      </c>
      <c r="G918" s="8">
        <v>182.35</v>
      </c>
      <c r="H918" s="7" t="s">
        <v>26</v>
      </c>
      <c r="I918" s="8">
        <f t="shared" si="28"/>
        <v>178.01999999999998</v>
      </c>
      <c r="J918" s="7" t="str">
        <f t="shared" si="29"/>
        <v>OK</v>
      </c>
    </row>
    <row r="919" spans="1:10" x14ac:dyDescent="0.3">
      <c r="A919" s="7">
        <v>199</v>
      </c>
      <c r="B919" s="7" t="s">
        <v>391</v>
      </c>
      <c r="C919" s="7">
        <v>930016</v>
      </c>
      <c r="D919" s="7" t="s">
        <v>385</v>
      </c>
      <c r="E919" s="7" t="s">
        <v>243</v>
      </c>
      <c r="F919" s="8">
        <v>0.33</v>
      </c>
      <c r="G919" s="8">
        <v>19.47</v>
      </c>
      <c r="H919" s="7" t="s">
        <v>26</v>
      </c>
      <c r="I919" s="8">
        <f t="shared" si="28"/>
        <v>19.14</v>
      </c>
      <c r="J919" s="7" t="str">
        <f t="shared" si="29"/>
        <v>OK</v>
      </c>
    </row>
    <row r="920" spans="1:10" x14ac:dyDescent="0.3">
      <c r="A920" s="7">
        <v>199</v>
      </c>
      <c r="B920" s="7" t="s">
        <v>391</v>
      </c>
      <c r="C920" s="7">
        <v>930020</v>
      </c>
      <c r="D920" s="7" t="s">
        <v>299</v>
      </c>
      <c r="E920" s="7" t="s">
        <v>243</v>
      </c>
      <c r="F920" s="8">
        <v>1.33</v>
      </c>
      <c r="G920" s="8">
        <v>31.76</v>
      </c>
      <c r="H920" s="7" t="s">
        <v>26</v>
      </c>
      <c r="I920" s="8">
        <f t="shared" si="28"/>
        <v>30.43</v>
      </c>
      <c r="J920" s="7" t="str">
        <f t="shared" si="29"/>
        <v>OK</v>
      </c>
    </row>
    <row r="921" spans="1:10" x14ac:dyDescent="0.3">
      <c r="A921" s="7">
        <v>199</v>
      </c>
      <c r="B921" s="7" t="s">
        <v>391</v>
      </c>
      <c r="C921" s="7">
        <v>930021</v>
      </c>
      <c r="D921" s="7" t="s">
        <v>300</v>
      </c>
      <c r="E921" s="7" t="s">
        <v>243</v>
      </c>
      <c r="F921" s="8">
        <v>0.33</v>
      </c>
      <c r="G921" s="8">
        <v>64.540000000000006</v>
      </c>
      <c r="H921" s="7" t="s">
        <v>26</v>
      </c>
      <c r="I921" s="8">
        <f t="shared" si="28"/>
        <v>64.210000000000008</v>
      </c>
      <c r="J921" s="7" t="str">
        <f t="shared" si="29"/>
        <v>OK</v>
      </c>
    </row>
    <row r="922" spans="1:10" x14ac:dyDescent="0.3">
      <c r="A922" s="7">
        <v>199</v>
      </c>
      <c r="B922" s="7" t="s">
        <v>391</v>
      </c>
      <c r="C922" s="7">
        <v>930022</v>
      </c>
      <c r="D922" s="7" t="s">
        <v>265</v>
      </c>
      <c r="E922" s="7" t="s">
        <v>243</v>
      </c>
      <c r="F922" s="8">
        <v>1.33</v>
      </c>
      <c r="G922" s="8">
        <v>77.86</v>
      </c>
      <c r="H922" s="7" t="s">
        <v>26</v>
      </c>
      <c r="I922" s="8">
        <f t="shared" si="28"/>
        <v>76.53</v>
      </c>
      <c r="J922" s="7" t="str">
        <f t="shared" si="29"/>
        <v>OK</v>
      </c>
    </row>
    <row r="923" spans="1:10" x14ac:dyDescent="0.3">
      <c r="A923" s="7">
        <v>199</v>
      </c>
      <c r="B923" s="7" t="s">
        <v>391</v>
      </c>
      <c r="C923" s="7">
        <v>930023</v>
      </c>
      <c r="D923" s="7" t="s">
        <v>335</v>
      </c>
      <c r="E923" s="7" t="s">
        <v>243</v>
      </c>
      <c r="F923" s="8">
        <v>1</v>
      </c>
      <c r="G923" s="8">
        <v>6.14</v>
      </c>
      <c r="H923" s="7" t="s">
        <v>26</v>
      </c>
      <c r="I923" s="8">
        <f t="shared" si="28"/>
        <v>5.14</v>
      </c>
      <c r="J923" s="7" t="str">
        <f t="shared" si="29"/>
        <v>OK</v>
      </c>
    </row>
    <row r="924" spans="1:10" x14ac:dyDescent="0.3">
      <c r="A924" s="7">
        <v>199</v>
      </c>
      <c r="B924" s="7" t="s">
        <v>391</v>
      </c>
      <c r="C924" s="7">
        <v>930025</v>
      </c>
      <c r="D924" s="7" t="s">
        <v>244</v>
      </c>
      <c r="E924" s="7" t="s">
        <v>243</v>
      </c>
      <c r="F924" s="8">
        <v>3</v>
      </c>
      <c r="G924" s="8">
        <v>201.56</v>
      </c>
      <c r="H924" s="7" t="s">
        <v>26</v>
      </c>
      <c r="I924" s="8">
        <f t="shared" si="28"/>
        <v>198.56</v>
      </c>
      <c r="J924" s="7" t="str">
        <f t="shared" si="29"/>
        <v>OK</v>
      </c>
    </row>
    <row r="925" spans="1:10" x14ac:dyDescent="0.3">
      <c r="A925" s="7">
        <v>199</v>
      </c>
      <c r="B925" s="7" t="s">
        <v>391</v>
      </c>
      <c r="C925" s="7">
        <v>930060</v>
      </c>
      <c r="D925" s="7" t="s">
        <v>336</v>
      </c>
      <c r="E925" s="7" t="s">
        <v>243</v>
      </c>
      <c r="F925" s="8">
        <v>1</v>
      </c>
      <c r="G925" s="8">
        <v>7.67</v>
      </c>
      <c r="H925" s="7" t="s">
        <v>26</v>
      </c>
      <c r="I925" s="8">
        <f t="shared" si="28"/>
        <v>6.67</v>
      </c>
      <c r="J925" s="7" t="str">
        <f t="shared" si="29"/>
        <v>OK</v>
      </c>
    </row>
    <row r="926" spans="1:10" x14ac:dyDescent="0.3">
      <c r="A926" s="7">
        <v>199</v>
      </c>
      <c r="B926" s="7" t="s">
        <v>391</v>
      </c>
      <c r="C926" s="7">
        <v>930121</v>
      </c>
      <c r="D926" s="7" t="s">
        <v>304</v>
      </c>
      <c r="E926" s="7" t="s">
        <v>243</v>
      </c>
      <c r="F926" s="8">
        <v>2</v>
      </c>
      <c r="G926" s="8">
        <v>74.91</v>
      </c>
      <c r="H926" s="7" t="s">
        <v>26</v>
      </c>
      <c r="I926" s="8">
        <f t="shared" si="28"/>
        <v>72.91</v>
      </c>
      <c r="J926" s="7" t="str">
        <f t="shared" si="29"/>
        <v>OK</v>
      </c>
    </row>
    <row r="927" spans="1:10" x14ac:dyDescent="0.3">
      <c r="A927" s="7">
        <v>199</v>
      </c>
      <c r="B927" s="7" t="s">
        <v>391</v>
      </c>
      <c r="C927" s="7">
        <v>930137</v>
      </c>
      <c r="D927" s="7" t="s">
        <v>311</v>
      </c>
      <c r="E927" s="7" t="s">
        <v>243</v>
      </c>
      <c r="F927" s="8">
        <v>5.33</v>
      </c>
      <c r="G927" s="8">
        <v>194.27</v>
      </c>
      <c r="H927" s="7" t="s">
        <v>26</v>
      </c>
      <c r="I927" s="8">
        <f t="shared" si="28"/>
        <v>188.94</v>
      </c>
      <c r="J927" s="7" t="str">
        <f t="shared" si="29"/>
        <v>OK</v>
      </c>
    </row>
    <row r="928" spans="1:10" x14ac:dyDescent="0.3">
      <c r="A928" s="7">
        <v>199</v>
      </c>
      <c r="B928" s="7" t="s">
        <v>391</v>
      </c>
      <c r="C928" s="7">
        <v>930138</v>
      </c>
      <c r="D928" s="7" t="s">
        <v>312</v>
      </c>
      <c r="E928" s="7" t="s">
        <v>243</v>
      </c>
      <c r="F928" s="8">
        <v>5.33</v>
      </c>
      <c r="G928" s="8">
        <v>243.09</v>
      </c>
      <c r="H928" s="7" t="s">
        <v>26</v>
      </c>
      <c r="I928" s="8">
        <f t="shared" si="28"/>
        <v>237.76</v>
      </c>
      <c r="J928" s="7" t="str">
        <f t="shared" si="29"/>
        <v>OK</v>
      </c>
    </row>
    <row r="929" spans="1:10" x14ac:dyDescent="0.3">
      <c r="A929" s="7">
        <v>199</v>
      </c>
      <c r="B929" s="7" t="s">
        <v>391</v>
      </c>
      <c r="C929" s="7">
        <v>930139</v>
      </c>
      <c r="D929" s="7" t="s">
        <v>313</v>
      </c>
      <c r="E929" s="7" t="s">
        <v>243</v>
      </c>
      <c r="F929" s="8">
        <v>2</v>
      </c>
      <c r="G929" s="8">
        <v>165.96</v>
      </c>
      <c r="H929" s="7" t="s">
        <v>26</v>
      </c>
      <c r="I929" s="8">
        <f t="shared" si="28"/>
        <v>163.96</v>
      </c>
      <c r="J929" s="7" t="str">
        <f t="shared" si="29"/>
        <v>OK</v>
      </c>
    </row>
    <row r="930" spans="1:10" x14ac:dyDescent="0.3">
      <c r="A930" s="7">
        <v>199</v>
      </c>
      <c r="B930" s="7" t="s">
        <v>391</v>
      </c>
      <c r="C930" s="7">
        <v>930140</v>
      </c>
      <c r="D930" s="7" t="s">
        <v>314</v>
      </c>
      <c r="E930" s="7" t="s">
        <v>243</v>
      </c>
      <c r="F930" s="8">
        <v>12</v>
      </c>
      <c r="G930" s="8">
        <v>241.13</v>
      </c>
      <c r="H930" s="7" t="s">
        <v>26</v>
      </c>
      <c r="I930" s="8">
        <f t="shared" si="28"/>
        <v>229.13</v>
      </c>
      <c r="J930" s="7" t="str">
        <f t="shared" si="29"/>
        <v>OK</v>
      </c>
    </row>
    <row r="931" spans="1:10" x14ac:dyDescent="0.3">
      <c r="A931" s="7">
        <v>199</v>
      </c>
      <c r="B931" s="7" t="s">
        <v>391</v>
      </c>
      <c r="C931" s="7">
        <v>930144</v>
      </c>
      <c r="D931" s="7" t="s">
        <v>315</v>
      </c>
      <c r="E931" s="7" t="s">
        <v>243</v>
      </c>
      <c r="F931" s="8">
        <v>4</v>
      </c>
      <c r="G931" s="8">
        <v>159.12</v>
      </c>
      <c r="H931" s="7" t="s">
        <v>26</v>
      </c>
      <c r="I931" s="8">
        <f t="shared" si="28"/>
        <v>155.12</v>
      </c>
      <c r="J931" s="7" t="str">
        <f t="shared" si="29"/>
        <v>OK</v>
      </c>
    </row>
    <row r="932" spans="1:10" x14ac:dyDescent="0.3">
      <c r="A932" s="7">
        <v>199</v>
      </c>
      <c r="B932" s="7" t="s">
        <v>391</v>
      </c>
      <c r="C932" s="7">
        <v>930145</v>
      </c>
      <c r="D932" s="7" t="s">
        <v>316</v>
      </c>
      <c r="E932" s="7" t="s">
        <v>243</v>
      </c>
      <c r="F932" s="8">
        <v>9.33</v>
      </c>
      <c r="G932" s="8">
        <v>228.42</v>
      </c>
      <c r="H932" s="7" t="s">
        <v>26</v>
      </c>
      <c r="I932" s="8">
        <f t="shared" si="28"/>
        <v>219.08999999999997</v>
      </c>
      <c r="J932" s="7" t="str">
        <f t="shared" si="29"/>
        <v>OK</v>
      </c>
    </row>
    <row r="933" spans="1:10" x14ac:dyDescent="0.3">
      <c r="A933" s="7">
        <v>199</v>
      </c>
      <c r="B933" s="7" t="s">
        <v>391</v>
      </c>
      <c r="C933" s="7">
        <v>930153</v>
      </c>
      <c r="D933" s="7" t="s">
        <v>282</v>
      </c>
      <c r="E933" s="7" t="s">
        <v>243</v>
      </c>
      <c r="F933" s="8">
        <v>1</v>
      </c>
      <c r="G933" s="8">
        <v>76.66</v>
      </c>
      <c r="H933" s="7" t="s">
        <v>26</v>
      </c>
      <c r="I933" s="8">
        <f t="shared" si="28"/>
        <v>75.66</v>
      </c>
      <c r="J933" s="7" t="str">
        <f t="shared" si="29"/>
        <v>OK</v>
      </c>
    </row>
    <row r="934" spans="1:10" x14ac:dyDescent="0.3">
      <c r="A934" s="7">
        <v>199</v>
      </c>
      <c r="B934" s="7" t="s">
        <v>391</v>
      </c>
      <c r="C934" s="7">
        <v>930154</v>
      </c>
      <c r="D934" s="7" t="s">
        <v>245</v>
      </c>
      <c r="E934" s="7" t="s">
        <v>243</v>
      </c>
      <c r="F934" s="8">
        <v>1.67</v>
      </c>
      <c r="G934" s="8">
        <v>52.25</v>
      </c>
      <c r="H934" s="7" t="s">
        <v>26</v>
      </c>
      <c r="I934" s="8">
        <f t="shared" si="28"/>
        <v>50.58</v>
      </c>
      <c r="J934" s="7" t="str">
        <f t="shared" si="29"/>
        <v>OK</v>
      </c>
    </row>
    <row r="935" spans="1:10" x14ac:dyDescent="0.3">
      <c r="A935" s="7">
        <v>199</v>
      </c>
      <c r="B935" s="7" t="s">
        <v>391</v>
      </c>
      <c r="C935" s="7">
        <v>930177</v>
      </c>
      <c r="D935" s="7" t="s">
        <v>317</v>
      </c>
      <c r="E935" s="7" t="s">
        <v>243</v>
      </c>
      <c r="F935" s="8">
        <v>12</v>
      </c>
      <c r="G935" s="8">
        <v>361.21</v>
      </c>
      <c r="H935" s="7" t="s">
        <v>26</v>
      </c>
      <c r="I935" s="8">
        <f t="shared" si="28"/>
        <v>349.21</v>
      </c>
      <c r="J935" s="7" t="str">
        <f t="shared" si="29"/>
        <v>OK</v>
      </c>
    </row>
    <row r="936" spans="1:10" x14ac:dyDescent="0.3">
      <c r="A936" s="7">
        <v>199</v>
      </c>
      <c r="B936" s="7" t="s">
        <v>391</v>
      </c>
      <c r="C936" s="7">
        <v>930178</v>
      </c>
      <c r="D936" s="7" t="s">
        <v>267</v>
      </c>
      <c r="E936" s="7" t="s">
        <v>243</v>
      </c>
      <c r="F936" s="8">
        <v>10</v>
      </c>
      <c r="G936" s="8">
        <v>181.59</v>
      </c>
      <c r="H936" s="7" t="s">
        <v>26</v>
      </c>
      <c r="I936" s="8">
        <f t="shared" si="28"/>
        <v>171.59</v>
      </c>
      <c r="J936" s="7" t="str">
        <f t="shared" si="29"/>
        <v>OK</v>
      </c>
    </row>
    <row r="937" spans="1:10" x14ac:dyDescent="0.3">
      <c r="A937" s="7">
        <v>199</v>
      </c>
      <c r="B937" s="7" t="s">
        <v>391</v>
      </c>
      <c r="C937" s="7">
        <v>960105</v>
      </c>
      <c r="D937" s="7" t="s">
        <v>305</v>
      </c>
      <c r="E937" s="7" t="s">
        <v>306</v>
      </c>
      <c r="F937" s="8">
        <v>2</v>
      </c>
      <c r="G937" s="8">
        <v>16.66</v>
      </c>
      <c r="H937" s="7" t="s">
        <v>26</v>
      </c>
      <c r="I937" s="8">
        <f t="shared" si="28"/>
        <v>14.66</v>
      </c>
      <c r="J937" s="7" t="str">
        <f t="shared" si="29"/>
        <v>OK</v>
      </c>
    </row>
    <row r="938" spans="1:10" x14ac:dyDescent="0.3">
      <c r="A938" s="7">
        <v>199</v>
      </c>
      <c r="B938" s="7" t="s">
        <v>391</v>
      </c>
      <c r="C938" s="7">
        <v>982003</v>
      </c>
      <c r="D938" s="7" t="s">
        <v>269</v>
      </c>
      <c r="E938" s="7" t="s">
        <v>270</v>
      </c>
      <c r="F938" s="8">
        <v>1.67</v>
      </c>
      <c r="G938" s="8">
        <v>28.24</v>
      </c>
      <c r="H938" s="7" t="s">
        <v>26</v>
      </c>
      <c r="I938" s="8">
        <f t="shared" si="28"/>
        <v>26.57</v>
      </c>
      <c r="J938" s="7" t="str">
        <f t="shared" si="29"/>
        <v>OK</v>
      </c>
    </row>
  </sheetData>
  <conditionalFormatting sqref="J2:J938">
    <cfRule type="cellIs" dxfId="4" priority="1" operator="equal">
      <formula>"Queda en 0"</formula>
    </cfRule>
    <cfRule type="cellIs" dxfId="3" priority="2" operator="equal">
      <formula>"Sin fila previa"</formula>
    </cfRule>
    <cfRule type="cellIs" dxfId="2" priority="3" operator="equal">
      <formula>"OK"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Clientes</vt:lpstr>
      <vt:lpstr>Detalle Vendedor-Producto</vt:lpstr>
      <vt:lpstr>Por Vendedor</vt:lpstr>
      <vt:lpstr>Por Suplidor</vt:lpstr>
      <vt:lpstr>Presupuesto 185</vt:lpstr>
      <vt:lpstr>Impacto 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Mercedes</cp:lastModifiedBy>
  <dcterms:created xsi:type="dcterms:W3CDTF">2026-08-01T12:18:43Z</dcterms:created>
  <dcterms:modified xsi:type="dcterms:W3CDTF">2026-08-01T21:48:14Z</dcterms:modified>
</cp:coreProperties>
</file>