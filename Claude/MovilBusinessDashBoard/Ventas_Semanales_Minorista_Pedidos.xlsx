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udy\OneDrive - AM COMERCIAL\Rudy\Claude\MovilBusinessDashBoard\"/>
    </mc:Choice>
  </mc:AlternateContent>
  <xr:revisionPtr revIDLastSave="0" documentId="13_ncr:1_{BE510ADB-1209-46AA-B9A5-1A9D4D1D2457}" xr6:coauthVersionLast="47" xr6:coauthVersionMax="47" xr10:uidLastSave="{00000000-0000-0000-0000-000000000000}"/>
  <bookViews>
    <workbookView xWindow="1440" yWindow="1140" windowWidth="21600" windowHeight="11100" xr2:uid="{00000000-000D-0000-FFFF-FFFF00000000}"/>
  </bookViews>
  <sheets>
    <sheet name="Centro" sheetId="1" r:id="rId1"/>
    <sheet name="Supervisor" sheetId="2" r:id="rId2"/>
    <sheet name="Suplidor" sheetId="3" r:id="rId3"/>
    <sheet name="Detalle" sheetId="4" r:id="rId4"/>
    <sheet name="Notas" sheetId="5" r:id="rId5"/>
  </sheets>
  <definedNames>
    <definedName name="_xlnm._FilterDatabase" localSheetId="3" hidden="1">Detalle!$A$1:$K$217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7" i="4" l="1"/>
  <c r="J217" i="4" s="1"/>
  <c r="G216" i="4"/>
  <c r="J216" i="4" s="1"/>
  <c r="G215" i="4"/>
  <c r="L16" i="3" s="1"/>
  <c r="M16" i="3" s="1"/>
  <c r="G214" i="4"/>
  <c r="J16" i="3" s="1"/>
  <c r="K16" i="3" s="1"/>
  <c r="G213" i="4"/>
  <c r="J213" i="4" s="1"/>
  <c r="G212" i="4"/>
  <c r="J212" i="4" s="1"/>
  <c r="G211" i="4"/>
  <c r="D16" i="3" s="1"/>
  <c r="E16" i="3" s="1"/>
  <c r="G210" i="4"/>
  <c r="B16" i="3" s="1"/>
  <c r="C16" i="3" s="1"/>
  <c r="I209" i="4"/>
  <c r="G209" i="4"/>
  <c r="J209" i="4" s="1"/>
  <c r="G208" i="4"/>
  <c r="J208" i="4" s="1"/>
  <c r="G207" i="4"/>
  <c r="L14" i="3" s="1"/>
  <c r="M14" i="3" s="1"/>
  <c r="G206" i="4"/>
  <c r="J14" i="3" s="1"/>
  <c r="K14" i="3" s="1"/>
  <c r="G205" i="4"/>
  <c r="J205" i="4" s="1"/>
  <c r="G204" i="4"/>
  <c r="J204" i="4" s="1"/>
  <c r="G203" i="4"/>
  <c r="J203" i="4" s="1"/>
  <c r="G202" i="4"/>
  <c r="J202" i="4" s="1"/>
  <c r="I201" i="4"/>
  <c r="G201" i="4"/>
  <c r="J201" i="4" s="1"/>
  <c r="G200" i="4"/>
  <c r="J200" i="4" s="1"/>
  <c r="G199" i="4"/>
  <c r="J199" i="4" s="1"/>
  <c r="G198" i="4"/>
  <c r="J198" i="4" s="1"/>
  <c r="G197" i="4"/>
  <c r="J197" i="4" s="1"/>
  <c r="G196" i="4"/>
  <c r="J196" i="4" s="1"/>
  <c r="G195" i="4"/>
  <c r="D6" i="3" s="1"/>
  <c r="E6" i="3" s="1"/>
  <c r="G194" i="4"/>
  <c r="B6" i="3" s="1"/>
  <c r="C6" i="3" s="1"/>
  <c r="I193" i="4"/>
  <c r="G193" i="4"/>
  <c r="J193" i="4" s="1"/>
  <c r="G192" i="4"/>
  <c r="J192" i="4" s="1"/>
  <c r="G191" i="4"/>
  <c r="J191" i="4" s="1"/>
  <c r="G190" i="4"/>
  <c r="J190" i="4" s="1"/>
  <c r="G189" i="4"/>
  <c r="J189" i="4" s="1"/>
  <c r="G188" i="4"/>
  <c r="J188" i="4" s="1"/>
  <c r="G187" i="4"/>
  <c r="D21" i="3" s="1"/>
  <c r="E21" i="3" s="1"/>
  <c r="G186" i="4"/>
  <c r="B21" i="3" s="1"/>
  <c r="C21" i="3" s="1"/>
  <c r="I185" i="4"/>
  <c r="G185" i="4"/>
  <c r="J185" i="4" s="1"/>
  <c r="G184" i="4"/>
  <c r="J184" i="4" s="1"/>
  <c r="G183" i="4"/>
  <c r="L17" i="3" s="1"/>
  <c r="M17" i="3" s="1"/>
  <c r="G182" i="4"/>
  <c r="J17" i="3" s="1"/>
  <c r="K17" i="3" s="1"/>
  <c r="G181" i="4"/>
  <c r="J181" i="4" s="1"/>
  <c r="G180" i="4"/>
  <c r="J180" i="4" s="1"/>
  <c r="G179" i="4"/>
  <c r="J179" i="4" s="1"/>
  <c r="G178" i="4"/>
  <c r="J178" i="4" s="1"/>
  <c r="I177" i="4"/>
  <c r="G177" i="4"/>
  <c r="J177" i="4" s="1"/>
  <c r="G176" i="4"/>
  <c r="J176" i="4" s="1"/>
  <c r="G175" i="4"/>
  <c r="L19" i="3" s="1"/>
  <c r="M19" i="3" s="1"/>
  <c r="G174" i="4"/>
  <c r="J19" i="3" s="1"/>
  <c r="K19" i="3" s="1"/>
  <c r="G173" i="4"/>
  <c r="J173" i="4" s="1"/>
  <c r="G172" i="4"/>
  <c r="J172" i="4" s="1"/>
  <c r="G171" i="4"/>
  <c r="D19" i="3" s="1"/>
  <c r="E19" i="3" s="1"/>
  <c r="G170" i="4"/>
  <c r="B19" i="3" s="1"/>
  <c r="C19" i="3" s="1"/>
  <c r="I169" i="4"/>
  <c r="G169" i="4"/>
  <c r="J169" i="4" s="1"/>
  <c r="I168" i="4"/>
  <c r="G168" i="4"/>
  <c r="J168" i="4" s="1"/>
  <c r="G167" i="4"/>
  <c r="L22" i="3" s="1"/>
  <c r="M22" i="3" s="1"/>
  <c r="I166" i="4"/>
  <c r="G166" i="4"/>
  <c r="J22" i="3" s="1"/>
  <c r="K22" i="3" s="1"/>
  <c r="I165" i="4"/>
  <c r="G165" i="4"/>
  <c r="J165" i="4" s="1"/>
  <c r="I164" i="4"/>
  <c r="G164" i="4"/>
  <c r="J164" i="4" s="1"/>
  <c r="I163" i="4"/>
  <c r="G163" i="4"/>
  <c r="D22" i="3" s="1"/>
  <c r="E22" i="3" s="1"/>
  <c r="I162" i="4"/>
  <c r="G162" i="4"/>
  <c r="B22" i="3" s="1"/>
  <c r="C22" i="3" s="1"/>
  <c r="G161" i="4"/>
  <c r="J161" i="4" s="1"/>
  <c r="I160" i="4"/>
  <c r="G160" i="4"/>
  <c r="J160" i="4" s="1"/>
  <c r="G159" i="4"/>
  <c r="L11" i="3" s="1"/>
  <c r="M11" i="3" s="1"/>
  <c r="G158" i="4"/>
  <c r="J11" i="3" s="1"/>
  <c r="K11" i="3" s="1"/>
  <c r="G157" i="4"/>
  <c r="J157" i="4" s="1"/>
  <c r="G156" i="4"/>
  <c r="J156" i="4" s="1"/>
  <c r="G155" i="4"/>
  <c r="J155" i="4" s="1"/>
  <c r="G154" i="4"/>
  <c r="J154" i="4" s="1"/>
  <c r="G153" i="4"/>
  <c r="J153" i="4" s="1"/>
  <c r="I152" i="4"/>
  <c r="G152" i="4"/>
  <c r="J152" i="4" s="1"/>
  <c r="G151" i="4"/>
  <c r="L13" i="3" s="1"/>
  <c r="M13" i="3" s="1"/>
  <c r="G150" i="4"/>
  <c r="J13" i="3" s="1"/>
  <c r="K13" i="3" s="1"/>
  <c r="G149" i="4"/>
  <c r="J149" i="4" s="1"/>
  <c r="G148" i="4"/>
  <c r="J148" i="4" s="1"/>
  <c r="G147" i="4"/>
  <c r="D13" i="3" s="1"/>
  <c r="E13" i="3" s="1"/>
  <c r="G146" i="4"/>
  <c r="B13" i="3" s="1"/>
  <c r="C13" i="3" s="1"/>
  <c r="G145" i="4"/>
  <c r="J145" i="4" s="1"/>
  <c r="I144" i="4"/>
  <c r="G144" i="4"/>
  <c r="J144" i="4" s="1"/>
  <c r="G143" i="4"/>
  <c r="L7" i="3" s="1"/>
  <c r="M7" i="3" s="1"/>
  <c r="G142" i="4"/>
  <c r="J7" i="3" s="1"/>
  <c r="K7" i="3" s="1"/>
  <c r="G141" i="4"/>
  <c r="J141" i="4" s="1"/>
  <c r="G140" i="4"/>
  <c r="J140" i="4" s="1"/>
  <c r="G139" i="4"/>
  <c r="J139" i="4" s="1"/>
  <c r="G138" i="4"/>
  <c r="B7" i="3" s="1"/>
  <c r="C7" i="3" s="1"/>
  <c r="G137" i="4"/>
  <c r="J137" i="4" s="1"/>
  <c r="I136" i="4"/>
  <c r="G136" i="4"/>
  <c r="J136" i="4" s="1"/>
  <c r="G135" i="4"/>
  <c r="J135" i="4" s="1"/>
  <c r="G134" i="4"/>
  <c r="J134" i="4" s="1"/>
  <c r="G133" i="4"/>
  <c r="J133" i="4" s="1"/>
  <c r="G132" i="4"/>
  <c r="J132" i="4" s="1"/>
  <c r="G131" i="4"/>
  <c r="D12" i="3" s="1"/>
  <c r="E12" i="3" s="1"/>
  <c r="G130" i="4"/>
  <c r="B12" i="3" s="1"/>
  <c r="C12" i="3" s="1"/>
  <c r="I129" i="4"/>
  <c r="G129" i="4"/>
  <c r="J129" i="4" s="1"/>
  <c r="I128" i="4"/>
  <c r="G128" i="4"/>
  <c r="J128" i="4" s="1"/>
  <c r="I127" i="4"/>
  <c r="G127" i="4"/>
  <c r="L20" i="3" s="1"/>
  <c r="M20" i="3" s="1"/>
  <c r="G126" i="4"/>
  <c r="J20" i="3" s="1"/>
  <c r="K20" i="3" s="1"/>
  <c r="G125" i="4"/>
  <c r="J125" i="4" s="1"/>
  <c r="I124" i="4"/>
  <c r="G124" i="4"/>
  <c r="J124" i="4" s="1"/>
  <c r="G123" i="4"/>
  <c r="J123" i="4" s="1"/>
  <c r="G122" i="4"/>
  <c r="J122" i="4" s="1"/>
  <c r="I121" i="4"/>
  <c r="G121" i="4"/>
  <c r="J121" i="4" s="1"/>
  <c r="G120" i="4"/>
  <c r="J120" i="4" s="1"/>
  <c r="G119" i="4"/>
  <c r="J119" i="4" s="1"/>
  <c r="G118" i="4"/>
  <c r="J8" i="3" s="1"/>
  <c r="K8" i="3" s="1"/>
  <c r="G117" i="4"/>
  <c r="J117" i="4" s="1"/>
  <c r="J116" i="4"/>
  <c r="I116" i="4"/>
  <c r="G116" i="4"/>
  <c r="G115" i="4"/>
  <c r="J115" i="4" s="1"/>
  <c r="G114" i="4"/>
  <c r="J114" i="4" s="1"/>
  <c r="G113" i="4"/>
  <c r="J113" i="4" s="1"/>
  <c r="G112" i="4"/>
  <c r="J112" i="4" s="1"/>
  <c r="G111" i="4"/>
  <c r="J111" i="4" s="1"/>
  <c r="G110" i="4"/>
  <c r="J110" i="4" s="1"/>
  <c r="G109" i="4"/>
  <c r="J109" i="4" s="1"/>
  <c r="I108" i="4"/>
  <c r="G108" i="4"/>
  <c r="J108" i="4" s="1"/>
  <c r="G107" i="4"/>
  <c r="D9" i="3" s="1"/>
  <c r="E9" i="3" s="1"/>
  <c r="G106" i="4"/>
  <c r="B9" i="3" s="1"/>
  <c r="C9" i="3" s="1"/>
  <c r="I105" i="4"/>
  <c r="G105" i="4"/>
  <c r="J105" i="4" s="1"/>
  <c r="G104" i="4"/>
  <c r="N10" i="3" s="1"/>
  <c r="O10" i="3" s="1"/>
  <c r="G103" i="4"/>
  <c r="L10" i="3" s="1"/>
  <c r="M10" i="3" s="1"/>
  <c r="G102" i="4"/>
  <c r="J10" i="3" s="1"/>
  <c r="K10" i="3" s="1"/>
  <c r="G101" i="4"/>
  <c r="J101" i="4" s="1"/>
  <c r="G100" i="4"/>
  <c r="J100" i="4" s="1"/>
  <c r="G99" i="4"/>
  <c r="J99" i="4" s="1"/>
  <c r="G98" i="4"/>
  <c r="B10" i="3" s="1"/>
  <c r="C10" i="3" s="1"/>
  <c r="G97" i="4"/>
  <c r="J97" i="4" s="1"/>
  <c r="J96" i="4"/>
  <c r="G96" i="4"/>
  <c r="I96" i="4" s="1"/>
  <c r="G95" i="4"/>
  <c r="J95" i="4" s="1"/>
  <c r="G94" i="4"/>
  <c r="J94" i="4" s="1"/>
  <c r="I93" i="4"/>
  <c r="G93" i="4"/>
  <c r="J93" i="4" s="1"/>
  <c r="J92" i="4"/>
  <c r="I92" i="4"/>
  <c r="G92" i="4"/>
  <c r="G91" i="4"/>
  <c r="D15" i="3" s="1"/>
  <c r="E15" i="3" s="1"/>
  <c r="G90" i="4"/>
  <c r="B15" i="3" s="1"/>
  <c r="C15" i="3" s="1"/>
  <c r="I89" i="4"/>
  <c r="G89" i="4"/>
  <c r="J89" i="4" s="1"/>
  <c r="J88" i="4"/>
  <c r="G88" i="4"/>
  <c r="I88" i="4" s="1"/>
  <c r="G87" i="4"/>
  <c r="J87" i="4" s="1"/>
  <c r="G86" i="4"/>
  <c r="J86" i="4" s="1"/>
  <c r="G85" i="4"/>
  <c r="J85" i="4" s="1"/>
  <c r="G84" i="4"/>
  <c r="J84" i="4" s="1"/>
  <c r="G83" i="4"/>
  <c r="D18" i="3" s="1"/>
  <c r="E18" i="3" s="1"/>
  <c r="G82" i="4"/>
  <c r="B18" i="3" s="1"/>
  <c r="C18" i="3" s="1"/>
  <c r="I81" i="4"/>
  <c r="G81" i="4"/>
  <c r="J81" i="4" s="1"/>
  <c r="J80" i="4"/>
  <c r="I80" i="4"/>
  <c r="G80" i="4"/>
  <c r="G79" i="4"/>
  <c r="J79" i="4" s="1"/>
  <c r="G78" i="4"/>
  <c r="J9" i="2" s="1"/>
  <c r="K9" i="2" s="1"/>
  <c r="G77" i="4"/>
  <c r="J77" i="4" s="1"/>
  <c r="J76" i="4"/>
  <c r="I76" i="4"/>
  <c r="G76" i="4"/>
  <c r="G75" i="4"/>
  <c r="J75" i="4" s="1"/>
  <c r="G74" i="4"/>
  <c r="J74" i="4" s="1"/>
  <c r="I73" i="4"/>
  <c r="G73" i="4"/>
  <c r="J73" i="4" s="1"/>
  <c r="G72" i="4"/>
  <c r="J72" i="4" s="1"/>
  <c r="G71" i="4"/>
  <c r="L8" i="2" s="1"/>
  <c r="G70" i="4"/>
  <c r="J8" i="2" s="1"/>
  <c r="K8" i="2" s="1"/>
  <c r="G69" i="4"/>
  <c r="J69" i="4" s="1"/>
  <c r="J68" i="4"/>
  <c r="I68" i="4"/>
  <c r="G68" i="4"/>
  <c r="G67" i="4"/>
  <c r="J67" i="4" s="1"/>
  <c r="G66" i="4"/>
  <c r="B8" i="2" s="1"/>
  <c r="G65" i="4"/>
  <c r="J65" i="4" s="1"/>
  <c r="G64" i="4"/>
  <c r="J64" i="4" s="1"/>
  <c r="G63" i="4"/>
  <c r="J63" i="4" s="1"/>
  <c r="G62" i="4"/>
  <c r="J62" i="4" s="1"/>
  <c r="I61" i="4"/>
  <c r="G61" i="4"/>
  <c r="J61" i="4" s="1"/>
  <c r="I60" i="4"/>
  <c r="G60" i="4"/>
  <c r="J60" i="4" s="1"/>
  <c r="G59" i="4"/>
  <c r="D7" i="2" s="1"/>
  <c r="G58" i="4"/>
  <c r="B7" i="2" s="1"/>
  <c r="C7" i="2" s="1"/>
  <c r="I57" i="4"/>
  <c r="G57" i="4"/>
  <c r="J57" i="4" s="1"/>
  <c r="G56" i="4"/>
  <c r="J56" i="4" s="1"/>
  <c r="G55" i="4"/>
  <c r="J55" i="4" s="1"/>
  <c r="G54" i="4"/>
  <c r="J6" i="2" s="1"/>
  <c r="G53" i="4"/>
  <c r="J53" i="4" s="1"/>
  <c r="G52" i="4"/>
  <c r="F6" i="2" s="1"/>
  <c r="G6" i="2" s="1"/>
  <c r="G51" i="4"/>
  <c r="J51" i="4" s="1"/>
  <c r="G50" i="4"/>
  <c r="J50" i="4" s="1"/>
  <c r="I49" i="4"/>
  <c r="G49" i="4"/>
  <c r="J49" i="4" s="1"/>
  <c r="J48" i="4"/>
  <c r="G48" i="4"/>
  <c r="I48" i="4" s="1"/>
  <c r="G47" i="4"/>
  <c r="J47" i="4" s="1"/>
  <c r="G46" i="4"/>
  <c r="J46" i="4" s="1"/>
  <c r="I45" i="4"/>
  <c r="G45" i="4"/>
  <c r="J45" i="4" s="1"/>
  <c r="J44" i="4"/>
  <c r="I44" i="4"/>
  <c r="G44" i="4"/>
  <c r="G43" i="4"/>
  <c r="D10" i="2" s="1"/>
  <c r="E10" i="2" s="1"/>
  <c r="G42" i="4"/>
  <c r="B10" i="2" s="1"/>
  <c r="C10" i="2" s="1"/>
  <c r="I41" i="4"/>
  <c r="G41" i="4"/>
  <c r="J41" i="4" s="1"/>
  <c r="J40" i="4"/>
  <c r="G40" i="4"/>
  <c r="I40" i="4" s="1"/>
  <c r="G39" i="4"/>
  <c r="L11" i="2" s="1"/>
  <c r="G38" i="4"/>
  <c r="J11" i="2" s="1"/>
  <c r="K11" i="2" s="1"/>
  <c r="G37" i="4"/>
  <c r="J37" i="4" s="1"/>
  <c r="I36" i="4"/>
  <c r="G36" i="4"/>
  <c r="J36" i="4" s="1"/>
  <c r="G35" i="4"/>
  <c r="J35" i="4" s="1"/>
  <c r="G34" i="4"/>
  <c r="B11" i="2" s="1"/>
  <c r="I33" i="4"/>
  <c r="G33" i="4"/>
  <c r="J33" i="4" s="1"/>
  <c r="J32" i="4"/>
  <c r="I32" i="4"/>
  <c r="G32" i="4"/>
  <c r="G31" i="4"/>
  <c r="J31" i="4" s="1"/>
  <c r="G30" i="4"/>
  <c r="J12" i="2" s="1"/>
  <c r="G29" i="4"/>
  <c r="J29" i="4" s="1"/>
  <c r="J28" i="4"/>
  <c r="I28" i="4"/>
  <c r="G28" i="4"/>
  <c r="G27" i="4"/>
  <c r="J27" i="4" s="1"/>
  <c r="G26" i="4"/>
  <c r="J26" i="4" s="1"/>
  <c r="I25" i="4"/>
  <c r="G25" i="4"/>
  <c r="J25" i="4" s="1"/>
  <c r="G24" i="4"/>
  <c r="J24" i="4" s="1"/>
  <c r="G23" i="4"/>
  <c r="L7" i="1" s="1"/>
  <c r="G22" i="4"/>
  <c r="J7" i="1" s="1"/>
  <c r="K7" i="1" s="1"/>
  <c r="G21" i="4"/>
  <c r="J21" i="4" s="1"/>
  <c r="J20" i="4"/>
  <c r="I20" i="4"/>
  <c r="G20" i="4"/>
  <c r="G19" i="4"/>
  <c r="J19" i="4" s="1"/>
  <c r="G18" i="4"/>
  <c r="B7" i="1" s="1"/>
  <c r="G17" i="4"/>
  <c r="J17" i="4" s="1"/>
  <c r="G16" i="4"/>
  <c r="J16" i="4" s="1"/>
  <c r="G15" i="4"/>
  <c r="J15" i="4" s="1"/>
  <c r="G14" i="4"/>
  <c r="J14" i="4" s="1"/>
  <c r="I13" i="4"/>
  <c r="G13" i="4"/>
  <c r="J13" i="4" s="1"/>
  <c r="I12" i="4"/>
  <c r="G12" i="4"/>
  <c r="J12" i="4" s="1"/>
  <c r="G11" i="4"/>
  <c r="D6" i="1" s="1"/>
  <c r="G10" i="4"/>
  <c r="B6" i="1" s="1"/>
  <c r="C6" i="1" s="1"/>
  <c r="I9" i="4"/>
  <c r="G9" i="4"/>
  <c r="J9" i="4" s="1"/>
  <c r="G8" i="4"/>
  <c r="J8" i="4" s="1"/>
  <c r="G7" i="4"/>
  <c r="L23" i="3" s="1"/>
  <c r="G6" i="4"/>
  <c r="J23" i="3" s="1"/>
  <c r="G5" i="4"/>
  <c r="J5" i="4" s="1"/>
  <c r="G4" i="4"/>
  <c r="F23" i="3" s="1"/>
  <c r="G23" i="3" s="1"/>
  <c r="G3" i="4"/>
  <c r="D13" i="2" s="1"/>
  <c r="G2" i="4"/>
  <c r="B13" i="2" s="1"/>
  <c r="P23" i="3"/>
  <c r="I23" i="3"/>
  <c r="H23" i="3"/>
  <c r="B23" i="3"/>
  <c r="P22" i="3"/>
  <c r="Q22" i="3" s="1"/>
  <c r="O22" i="3"/>
  <c r="N22" i="3"/>
  <c r="H22" i="3"/>
  <c r="I22" i="3" s="1"/>
  <c r="F22" i="3"/>
  <c r="G22" i="3" s="1"/>
  <c r="Q21" i="3"/>
  <c r="P21" i="3"/>
  <c r="O21" i="3"/>
  <c r="N21" i="3"/>
  <c r="L21" i="3"/>
  <c r="M21" i="3" s="1"/>
  <c r="J21" i="3"/>
  <c r="K21" i="3" s="1"/>
  <c r="H21" i="3"/>
  <c r="I21" i="3" s="1"/>
  <c r="G21" i="3"/>
  <c r="F21" i="3"/>
  <c r="P20" i="3"/>
  <c r="Q20" i="3" s="1"/>
  <c r="N20" i="3"/>
  <c r="O20" i="3" s="1"/>
  <c r="D20" i="3"/>
  <c r="E20" i="3" s="1"/>
  <c r="B20" i="3"/>
  <c r="C20" i="3" s="1"/>
  <c r="P19" i="3"/>
  <c r="Q19" i="3" s="1"/>
  <c r="O19" i="3"/>
  <c r="N19" i="3"/>
  <c r="H19" i="3"/>
  <c r="I19" i="3" s="1"/>
  <c r="F19" i="3"/>
  <c r="G19" i="3" s="1"/>
  <c r="Q18" i="3"/>
  <c r="P18" i="3"/>
  <c r="L18" i="3"/>
  <c r="M18" i="3" s="1"/>
  <c r="J18" i="3"/>
  <c r="K18" i="3" s="1"/>
  <c r="H18" i="3"/>
  <c r="I18" i="3" s="1"/>
  <c r="P17" i="3"/>
  <c r="Q17" i="3" s="1"/>
  <c r="N17" i="3"/>
  <c r="O17" i="3" s="1"/>
  <c r="I17" i="3"/>
  <c r="H17" i="3"/>
  <c r="G17" i="3"/>
  <c r="F17" i="3"/>
  <c r="D17" i="3"/>
  <c r="E17" i="3" s="1"/>
  <c r="B17" i="3"/>
  <c r="C17" i="3" s="1"/>
  <c r="P16" i="3"/>
  <c r="Q16" i="3" s="1"/>
  <c r="O16" i="3"/>
  <c r="N16" i="3"/>
  <c r="H16" i="3"/>
  <c r="I16" i="3" s="1"/>
  <c r="F16" i="3"/>
  <c r="G16" i="3" s="1"/>
  <c r="L15" i="3"/>
  <c r="M15" i="3" s="1"/>
  <c r="J15" i="3"/>
  <c r="K15" i="3" s="1"/>
  <c r="H15" i="3"/>
  <c r="I15" i="3" s="1"/>
  <c r="G15" i="3"/>
  <c r="F15" i="3"/>
  <c r="P14" i="3"/>
  <c r="Q14" i="3" s="1"/>
  <c r="N14" i="3"/>
  <c r="O14" i="3" s="1"/>
  <c r="I14" i="3"/>
  <c r="H14" i="3"/>
  <c r="G14" i="3"/>
  <c r="F14" i="3"/>
  <c r="D14" i="3"/>
  <c r="E14" i="3" s="1"/>
  <c r="B14" i="3"/>
  <c r="C14" i="3" s="1"/>
  <c r="P13" i="3"/>
  <c r="Q13" i="3" s="1"/>
  <c r="O13" i="3"/>
  <c r="N13" i="3"/>
  <c r="H13" i="3"/>
  <c r="I13" i="3" s="1"/>
  <c r="F13" i="3"/>
  <c r="G13" i="3" s="1"/>
  <c r="Q12" i="3"/>
  <c r="P12" i="3"/>
  <c r="O12" i="3"/>
  <c r="N12" i="3"/>
  <c r="L12" i="3"/>
  <c r="M12" i="3" s="1"/>
  <c r="J12" i="3"/>
  <c r="K12" i="3" s="1"/>
  <c r="H12" i="3"/>
  <c r="I12" i="3" s="1"/>
  <c r="P11" i="3"/>
  <c r="Q11" i="3" s="1"/>
  <c r="N11" i="3"/>
  <c r="O11" i="3" s="1"/>
  <c r="I11" i="3"/>
  <c r="H11" i="3"/>
  <c r="D11" i="3"/>
  <c r="E11" i="3" s="1"/>
  <c r="B11" i="3"/>
  <c r="C11" i="3" s="1"/>
  <c r="P10" i="3"/>
  <c r="Q10" i="3" s="1"/>
  <c r="H10" i="3"/>
  <c r="I10" i="3" s="1"/>
  <c r="F10" i="3"/>
  <c r="G10" i="3" s="1"/>
  <c r="E10" i="3"/>
  <c r="D10" i="3"/>
  <c r="N9" i="3"/>
  <c r="O9" i="3" s="1"/>
  <c r="I9" i="3"/>
  <c r="H9" i="3"/>
  <c r="F9" i="3"/>
  <c r="G9" i="3" s="1"/>
  <c r="P8" i="3"/>
  <c r="Q8" i="3" s="1"/>
  <c r="N8" i="3"/>
  <c r="O8" i="3" s="1"/>
  <c r="M8" i="3"/>
  <c r="L8" i="3"/>
  <c r="H8" i="3"/>
  <c r="I8" i="3" s="1"/>
  <c r="F8" i="3"/>
  <c r="G8" i="3" s="1"/>
  <c r="D8" i="3"/>
  <c r="E8" i="3" s="1"/>
  <c r="B8" i="3"/>
  <c r="C8" i="3" s="1"/>
  <c r="P7" i="3"/>
  <c r="Q7" i="3" s="1"/>
  <c r="O7" i="3"/>
  <c r="N7" i="3"/>
  <c r="H7" i="3"/>
  <c r="I7" i="3" s="1"/>
  <c r="D7" i="3"/>
  <c r="E7" i="3" s="1"/>
  <c r="P6" i="3"/>
  <c r="Q6" i="3" s="1"/>
  <c r="O6" i="3"/>
  <c r="N6" i="3"/>
  <c r="L6" i="3"/>
  <c r="M6" i="3" s="1"/>
  <c r="J6" i="3"/>
  <c r="K6" i="3" s="1"/>
  <c r="I6" i="3"/>
  <c r="H6" i="3"/>
  <c r="G6" i="3"/>
  <c r="F6" i="3"/>
  <c r="Q13" i="2"/>
  <c r="P13" i="2"/>
  <c r="N13" i="2"/>
  <c r="O13" i="2" s="1"/>
  <c r="L13" i="2"/>
  <c r="M13" i="2" s="1"/>
  <c r="J13" i="2"/>
  <c r="K13" i="2" s="1"/>
  <c r="H13" i="2"/>
  <c r="I13" i="2" s="1"/>
  <c r="F13" i="2"/>
  <c r="G13" i="2" s="1"/>
  <c r="P12" i="2"/>
  <c r="Q12" i="2" s="1"/>
  <c r="N12" i="2"/>
  <c r="O12" i="2" s="1"/>
  <c r="L12" i="2"/>
  <c r="M12" i="2" s="1"/>
  <c r="K12" i="2"/>
  <c r="H12" i="2"/>
  <c r="I12" i="2" s="1"/>
  <c r="F12" i="2"/>
  <c r="G12" i="2" s="1"/>
  <c r="D12" i="2"/>
  <c r="E12" i="2" s="1"/>
  <c r="B12" i="2"/>
  <c r="C12" i="2" s="1"/>
  <c r="P11" i="2"/>
  <c r="Q11" i="2" s="1"/>
  <c r="O11" i="2"/>
  <c r="N11" i="2"/>
  <c r="M11" i="2"/>
  <c r="H11" i="2"/>
  <c r="I11" i="2" s="1"/>
  <c r="D11" i="2"/>
  <c r="E11" i="2" s="1"/>
  <c r="C11" i="2"/>
  <c r="P10" i="2"/>
  <c r="Q10" i="2" s="1"/>
  <c r="N10" i="2"/>
  <c r="O10" i="2" s="1"/>
  <c r="L10" i="2"/>
  <c r="M10" i="2" s="1"/>
  <c r="J10" i="2"/>
  <c r="K10" i="2" s="1"/>
  <c r="H10" i="2"/>
  <c r="I10" i="2" s="1"/>
  <c r="F10" i="2"/>
  <c r="G10" i="2" s="1"/>
  <c r="P9" i="2"/>
  <c r="Q9" i="2" s="1"/>
  <c r="N9" i="2"/>
  <c r="O9" i="2" s="1"/>
  <c r="L9" i="2"/>
  <c r="M9" i="2" s="1"/>
  <c r="H9" i="2"/>
  <c r="I9" i="2" s="1"/>
  <c r="F9" i="2"/>
  <c r="G9" i="2" s="1"/>
  <c r="D9" i="2"/>
  <c r="E9" i="2" s="1"/>
  <c r="B9" i="2"/>
  <c r="C9" i="2" s="1"/>
  <c r="P8" i="2"/>
  <c r="Q8" i="2" s="1"/>
  <c r="O8" i="2"/>
  <c r="N8" i="2"/>
  <c r="M8" i="2"/>
  <c r="F8" i="2"/>
  <c r="G8" i="2" s="1"/>
  <c r="E8" i="2"/>
  <c r="D8" i="2"/>
  <c r="C8" i="2"/>
  <c r="Q7" i="2"/>
  <c r="P7" i="2"/>
  <c r="N7" i="2"/>
  <c r="O7" i="2" s="1"/>
  <c r="L7" i="2"/>
  <c r="M7" i="2" s="1"/>
  <c r="J7" i="2"/>
  <c r="K7" i="2" s="1"/>
  <c r="F7" i="2"/>
  <c r="G7" i="2" s="1"/>
  <c r="E7" i="2"/>
  <c r="P6" i="2"/>
  <c r="Q6" i="2" s="1"/>
  <c r="N6" i="2"/>
  <c r="L6" i="2"/>
  <c r="M6" i="2" s="1"/>
  <c r="K6" i="2"/>
  <c r="I6" i="2"/>
  <c r="H6" i="2"/>
  <c r="D6" i="2"/>
  <c r="E6" i="2" s="1"/>
  <c r="B6" i="2"/>
  <c r="C6" i="2" s="1"/>
  <c r="P8" i="1"/>
  <c r="Q8" i="1" s="1"/>
  <c r="N8" i="1"/>
  <c r="L8" i="1"/>
  <c r="M8" i="1" s="1"/>
  <c r="H8" i="1"/>
  <c r="I8" i="1" s="1"/>
  <c r="F8" i="1"/>
  <c r="G8" i="1" s="1"/>
  <c r="D8" i="1"/>
  <c r="B8" i="1"/>
  <c r="P7" i="1"/>
  <c r="Q7" i="1" s="1"/>
  <c r="N7" i="1"/>
  <c r="O7" i="1" s="1"/>
  <c r="M7" i="1"/>
  <c r="H7" i="1"/>
  <c r="I7" i="1" s="1"/>
  <c r="F7" i="1"/>
  <c r="G7" i="1" s="1"/>
  <c r="C7" i="1"/>
  <c r="Q6" i="1"/>
  <c r="P6" i="1"/>
  <c r="P9" i="1" s="1"/>
  <c r="N6" i="1"/>
  <c r="O6" i="1" s="1"/>
  <c r="J6" i="1"/>
  <c r="K6" i="1" s="1"/>
  <c r="H6" i="1"/>
  <c r="I6" i="1" s="1"/>
  <c r="F6" i="1"/>
  <c r="G6" i="1" s="1"/>
  <c r="E6" i="1"/>
  <c r="N23" i="3" l="1"/>
  <c r="I8" i="4"/>
  <c r="I21" i="4"/>
  <c r="I56" i="4"/>
  <c r="I69" i="4"/>
  <c r="I104" i="4"/>
  <c r="I117" i="4"/>
  <c r="I132" i="4"/>
  <c r="I140" i="4"/>
  <c r="I148" i="4"/>
  <c r="I156" i="4"/>
  <c r="I84" i="4"/>
  <c r="I97" i="4"/>
  <c r="J104" i="4"/>
  <c r="I125" i="4"/>
  <c r="L6" i="1"/>
  <c r="F11" i="2"/>
  <c r="G11" i="2" s="1"/>
  <c r="F12" i="3"/>
  <c r="G12" i="3" s="1"/>
  <c r="F18" i="3"/>
  <c r="G18" i="3" s="1"/>
  <c r="I16" i="4"/>
  <c r="I29" i="4"/>
  <c r="I64" i="4"/>
  <c r="L14" i="2"/>
  <c r="I77" i="4"/>
  <c r="I112" i="4"/>
  <c r="I133" i="4"/>
  <c r="I141" i="4"/>
  <c r="I149" i="4"/>
  <c r="I157" i="4"/>
  <c r="D14" i="2"/>
  <c r="I172" i="4"/>
  <c r="I180" i="4"/>
  <c r="I188" i="4"/>
  <c r="I196" i="4"/>
  <c r="I204" i="4"/>
  <c r="I212" i="4"/>
  <c r="J9" i="3"/>
  <c r="K9" i="3" s="1"/>
  <c r="I24" i="4"/>
  <c r="I37" i="4"/>
  <c r="I72" i="4"/>
  <c r="I85" i="4"/>
  <c r="I120" i="4"/>
  <c r="H9" i="1"/>
  <c r="L9" i="3"/>
  <c r="M9" i="3" s="1"/>
  <c r="I4" i="4"/>
  <c r="I17" i="4"/>
  <c r="I52" i="4"/>
  <c r="I65" i="4"/>
  <c r="I100" i="4"/>
  <c r="I113" i="4"/>
  <c r="I173" i="4"/>
  <c r="I181" i="4"/>
  <c r="I189" i="4"/>
  <c r="I197" i="4"/>
  <c r="I205" i="4"/>
  <c r="I213" i="4"/>
  <c r="J4" i="4"/>
  <c r="J52" i="4"/>
  <c r="D23" i="3"/>
  <c r="D7" i="1"/>
  <c r="E7" i="1" s="1"/>
  <c r="H7" i="2"/>
  <c r="I7" i="2" s="1"/>
  <c r="H8" i="2"/>
  <c r="I8" i="2" s="1"/>
  <c r="E13" i="2"/>
  <c r="F7" i="3"/>
  <c r="G7" i="3" s="1"/>
  <c r="P9" i="3"/>
  <c r="Q9" i="3" s="1"/>
  <c r="F11" i="3"/>
  <c r="G11" i="3" s="1"/>
  <c r="N15" i="3"/>
  <c r="O15" i="3" s="1"/>
  <c r="N18" i="3"/>
  <c r="O18" i="3" s="1"/>
  <c r="F20" i="3"/>
  <c r="G20" i="3" s="1"/>
  <c r="I5" i="4"/>
  <c r="I53" i="4"/>
  <c r="I101" i="4"/>
  <c r="I137" i="4"/>
  <c r="I145" i="4"/>
  <c r="I153" i="4"/>
  <c r="I161" i="4"/>
  <c r="I176" i="4"/>
  <c r="I184" i="4"/>
  <c r="I192" i="4"/>
  <c r="I200" i="4"/>
  <c r="I208" i="4"/>
  <c r="I216" i="4"/>
  <c r="P15" i="3"/>
  <c r="Q15" i="3" s="1"/>
  <c r="H20" i="3"/>
  <c r="I20" i="3" s="1"/>
  <c r="I109" i="4"/>
  <c r="O6" i="2"/>
  <c r="N14" i="2"/>
  <c r="B9" i="1"/>
  <c r="C8" i="1"/>
  <c r="B14" i="2"/>
  <c r="C13" i="2"/>
  <c r="F9" i="1"/>
  <c r="B24" i="3"/>
  <c r="J14" i="2"/>
  <c r="D24" i="3"/>
  <c r="K23" i="3"/>
  <c r="J24" i="3"/>
  <c r="N9" i="1"/>
  <c r="O8" i="1"/>
  <c r="M23" i="3"/>
  <c r="L24" i="3"/>
  <c r="C23" i="3"/>
  <c r="O23" i="3"/>
  <c r="I2" i="4"/>
  <c r="I6" i="4"/>
  <c r="I10" i="4"/>
  <c r="I14" i="4"/>
  <c r="I18" i="4"/>
  <c r="I22" i="4"/>
  <c r="I26" i="4"/>
  <c r="I30" i="4"/>
  <c r="I34" i="4"/>
  <c r="I38" i="4"/>
  <c r="I42" i="4"/>
  <c r="I46" i="4"/>
  <c r="I50" i="4"/>
  <c r="I54" i="4"/>
  <c r="I58" i="4"/>
  <c r="I62" i="4"/>
  <c r="I66" i="4"/>
  <c r="I70" i="4"/>
  <c r="I74" i="4"/>
  <c r="I78" i="4"/>
  <c r="I82" i="4"/>
  <c r="I86" i="4"/>
  <c r="I90" i="4"/>
  <c r="I94" i="4"/>
  <c r="I98" i="4"/>
  <c r="I102" i="4"/>
  <c r="I106" i="4"/>
  <c r="I110" i="4"/>
  <c r="I114" i="4"/>
  <c r="I118" i="4"/>
  <c r="I122" i="4"/>
  <c r="I126" i="4"/>
  <c r="I130" i="4"/>
  <c r="I134" i="4"/>
  <c r="I138" i="4"/>
  <c r="I142" i="4"/>
  <c r="I146" i="4"/>
  <c r="I150" i="4"/>
  <c r="I154" i="4"/>
  <c r="I158" i="4"/>
  <c r="I170" i="4"/>
  <c r="I174" i="4"/>
  <c r="I178" i="4"/>
  <c r="I182" i="4"/>
  <c r="I186" i="4"/>
  <c r="I190" i="4"/>
  <c r="I194" i="4"/>
  <c r="I198" i="4"/>
  <c r="I202" i="4"/>
  <c r="I206" i="4"/>
  <c r="I210" i="4"/>
  <c r="I214" i="4"/>
  <c r="J2" i="4"/>
  <c r="J6" i="4"/>
  <c r="J10" i="4"/>
  <c r="J18" i="4"/>
  <c r="J22" i="4"/>
  <c r="J30" i="4"/>
  <c r="J34" i="4"/>
  <c r="J38" i="4"/>
  <c r="J42" i="4"/>
  <c r="J54" i="4"/>
  <c r="J58" i="4"/>
  <c r="J66" i="4"/>
  <c r="J70" i="4"/>
  <c r="J78" i="4"/>
  <c r="J82" i="4"/>
  <c r="J90" i="4"/>
  <c r="J98" i="4"/>
  <c r="J102" i="4"/>
  <c r="J106" i="4"/>
  <c r="J118" i="4"/>
  <c r="J126" i="4"/>
  <c r="J130" i="4"/>
  <c r="J138" i="4"/>
  <c r="J142" i="4"/>
  <c r="J146" i="4"/>
  <c r="J150" i="4"/>
  <c r="J158" i="4"/>
  <c r="J162" i="4"/>
  <c r="J166" i="4"/>
  <c r="J170" i="4"/>
  <c r="J174" i="4"/>
  <c r="J182" i="4"/>
  <c r="J186" i="4"/>
  <c r="J194" i="4"/>
  <c r="J206" i="4"/>
  <c r="J210" i="4"/>
  <c r="J214" i="4"/>
  <c r="E8" i="1"/>
  <c r="P14" i="2"/>
  <c r="E23" i="3"/>
  <c r="Q23" i="3"/>
  <c r="I3" i="4"/>
  <c r="I7" i="4"/>
  <c r="I11" i="4"/>
  <c r="I15" i="4"/>
  <c r="I19" i="4"/>
  <c r="I23" i="4"/>
  <c r="I27" i="4"/>
  <c r="I31" i="4"/>
  <c r="I35" i="4"/>
  <c r="I39" i="4"/>
  <c r="I43" i="4"/>
  <c r="I47" i="4"/>
  <c r="I51" i="4"/>
  <c r="I55" i="4"/>
  <c r="I59" i="4"/>
  <c r="I63" i="4"/>
  <c r="I67" i="4"/>
  <c r="I71" i="4"/>
  <c r="I75" i="4"/>
  <c r="I79" i="4"/>
  <c r="I83" i="4"/>
  <c r="I87" i="4"/>
  <c r="I91" i="4"/>
  <c r="I95" i="4"/>
  <c r="I99" i="4"/>
  <c r="I103" i="4"/>
  <c r="I107" i="4"/>
  <c r="I111" i="4"/>
  <c r="I115" i="4"/>
  <c r="I119" i="4"/>
  <c r="I123" i="4"/>
  <c r="I131" i="4"/>
  <c r="I135" i="4"/>
  <c r="I139" i="4"/>
  <c r="I143" i="4"/>
  <c r="I147" i="4"/>
  <c r="I151" i="4"/>
  <c r="I155" i="4"/>
  <c r="I159" i="4"/>
  <c r="I167" i="4"/>
  <c r="I171" i="4"/>
  <c r="I175" i="4"/>
  <c r="I179" i="4"/>
  <c r="I183" i="4"/>
  <c r="I187" i="4"/>
  <c r="I191" i="4"/>
  <c r="I195" i="4"/>
  <c r="I199" i="4"/>
  <c r="I203" i="4"/>
  <c r="I207" i="4"/>
  <c r="I211" i="4"/>
  <c r="I215" i="4"/>
  <c r="J3" i="4"/>
  <c r="J7" i="4"/>
  <c r="J11" i="4"/>
  <c r="J23" i="4"/>
  <c r="J39" i="4"/>
  <c r="J43" i="4"/>
  <c r="J59" i="4"/>
  <c r="J71" i="4"/>
  <c r="J83" i="4"/>
  <c r="J91" i="4"/>
  <c r="J103" i="4"/>
  <c r="J107" i="4"/>
  <c r="J127" i="4"/>
  <c r="J131" i="4"/>
  <c r="J143" i="4"/>
  <c r="J147" i="4"/>
  <c r="J151" i="4"/>
  <c r="J159" i="4"/>
  <c r="J163" i="4"/>
  <c r="J167" i="4"/>
  <c r="J171" i="4"/>
  <c r="J175" i="4"/>
  <c r="J183" i="4"/>
  <c r="J187" i="4"/>
  <c r="J195" i="4"/>
  <c r="J207" i="4"/>
  <c r="J211" i="4"/>
  <c r="J215" i="4"/>
  <c r="J8" i="1"/>
  <c r="I217" i="4"/>
  <c r="M6" i="1" l="1"/>
  <c r="L9" i="1"/>
  <c r="F24" i="3"/>
  <c r="H24" i="3"/>
  <c r="F14" i="2"/>
  <c r="N24" i="3"/>
  <c r="D9" i="1"/>
  <c r="P24" i="3"/>
  <c r="H14" i="2"/>
  <c r="J9" i="1"/>
  <c r="K8" i="1"/>
</calcChain>
</file>

<file path=xl/sharedStrings.xml><?xml version="1.0" encoding="utf-8"?>
<sst xmlns="http://schemas.openxmlformats.org/spreadsheetml/2006/main" count="991" uniqueCount="80">
  <si>
    <t>Ventas semanales por centro — Canal Minorista (pedidos)</t>
  </si>
  <si>
    <t>Monto neto sin ITBIS de pedidos (estatus 2/7/11). Semana lunes–domingo; la última (amarilla) es ESTIMADA: días transcurridos reales + promedio del mismo día de las últimas 4 semanas completas.</t>
  </si>
  <si>
    <t>Corte (clave en Detalle)</t>
  </si>
  <si>
    <t>Centro</t>
  </si>
  <si>
    <t>Inicio de semana (lunes)</t>
  </si>
  <si>
    <t>Sem 35 (24/08)</t>
  </si>
  <si>
    <t>vs sem. ant.</t>
  </si>
  <si>
    <t>Sem 36 (31/08)</t>
  </si>
  <si>
    <t>Sem 37 (07/09)</t>
  </si>
  <si>
    <t>Sem 38 (14/09)</t>
  </si>
  <si>
    <t>Sem 39 (21/09)</t>
  </si>
  <si>
    <t>Sem 40 (28/09)</t>
  </si>
  <si>
    <t>Sem 41 (05/10)</t>
  </si>
  <si>
    <t>Sem 42 (12/10) · EST.</t>
  </si>
  <si>
    <t>Centro Azua</t>
  </si>
  <si>
    <t>Centro Santo Domingo</t>
  </si>
  <si>
    <t>TOTAL MINORISTA</t>
  </si>
  <si>
    <t>Control: suma de filas − total (debe ser 0)</t>
  </si>
  <si>
    <t>Ventas semanales por supervisor — Canal Minorista (pedidos)</t>
  </si>
  <si>
    <t>Supervisor</t>
  </si>
  <si>
    <t>Narciso Piña Bello (Sur L</t>
  </si>
  <si>
    <t>Rafael Otaño Sur Corto (S</t>
  </si>
  <si>
    <t>Ramon E. Pimentel (SDE)</t>
  </si>
  <si>
    <t>Ramon E. Pimentel (SDN)</t>
  </si>
  <si>
    <t>Eliezer Martinez (SDO)</t>
  </si>
  <si>
    <t>Eliezer Martinez  (DN)</t>
  </si>
  <si>
    <t>Cristiano Perez  (Mini Ma</t>
  </si>
  <si>
    <t>Ventas semanales por suplidor — Canal Minorista (pedidos)</t>
  </si>
  <si>
    <t>Suplidor</t>
  </si>
  <si>
    <t>MOLINOS MODERNOS, SA</t>
  </si>
  <si>
    <t>Continental de Negocios</t>
  </si>
  <si>
    <t>COLOMBINA</t>
  </si>
  <si>
    <t>Brinsa Dominicana</t>
  </si>
  <si>
    <t>Agua Crystal</t>
  </si>
  <si>
    <t>DIMAR DOMINICANA</t>
  </si>
  <si>
    <t>Comercial Fila</t>
  </si>
  <si>
    <t>Corporacion Poiroto SRL</t>
  </si>
  <si>
    <t>P.Q.P.</t>
  </si>
  <si>
    <t>AMPOULE</t>
  </si>
  <si>
    <t>Pimentel &amp; Co. SRL</t>
  </si>
  <si>
    <t>GALISA GROUP</t>
  </si>
  <si>
    <t>AM COMERCIAL</t>
  </si>
  <si>
    <t>ETERNA</t>
  </si>
  <si>
    <t>Cesar Iglesias (Unilever)</t>
  </si>
  <si>
    <t>MAXIMO GOMEZ P</t>
  </si>
  <si>
    <t>DOMICA</t>
  </si>
  <si>
    <t>Dimension</t>
  </si>
  <si>
    <t>Item</t>
  </si>
  <si>
    <t>Semana</t>
  </si>
  <si>
    <t>SemanaInicio</t>
  </si>
  <si>
    <t>VentasReal</t>
  </si>
  <si>
    <t>VentasEstimado</t>
  </si>
  <si>
    <t>Ventas</t>
  </si>
  <si>
    <t>VentasSemanaAnterior</t>
  </si>
  <si>
    <t>VarPct</t>
  </si>
  <si>
    <t>Tendencia</t>
  </si>
  <si>
    <t>Estado</t>
  </si>
  <si>
    <t>Total</t>
  </si>
  <si>
    <t>Minorista</t>
  </si>
  <si>
    <t>Cerrada</t>
  </si>
  <si>
    <t>Sem 42 (12/10)</t>
  </si>
  <si>
    <t>Estimada</t>
  </si>
  <si>
    <t>Ventas semanales — Canal Minorista (desde Pedidos)</t>
  </si>
  <si>
    <t>Generado el 15/10/2026 desde MovilBusiness5STD (solo lectura). Script: SQL\VentasSemanalesMinorista_Pedidos.sql</t>
  </si>
  <si>
    <t>Definiciones</t>
  </si>
  <si>
    <t>• Fuente: VWPedidos + VWPedidosDetalle, PedEstatus IN (2 Transmitido, 7 Pend. Autorización, 11 Facturado y enviado al ERP).</t>
  </si>
  <si>
    <t>• Monto: SUM(PedCantidad × (PedPrecio − PedDescuento)) — neto, sin ITBIS.</t>
  </si>
  <si>
    <t>• Canal Minorista: canal del CLIENTE (Clientes.CanID) cuya descripción empieza con 'Minorista' (2000, 4000, 5000, 6000, 9000).</t>
  </si>
  <si>
    <t>• Excluidos por pedido del usuario: supervisor S111 (Rudy Mercedes) y S13 (Cristiano Perez – Tradicional).</t>
  </si>
  <si>
    <t>• Centro y Supervisor: del representante que tomó el pedido (asignación actual). Suplidor: Productos.Cat3ID → Categoria3.</t>
  </si>
  <si>
    <t>• Semana: lunes a domingo. Se muestran 8 semanas; la primera se compara contra una 9.ª semana traída solo para eso.</t>
  </si>
  <si>
    <t>Semana actual (estimada)</t>
  </si>
  <si>
    <t>• Días anteriores a hoy: venta real. Hoy: el mayor entre lo real a la hora de corrida y el promedio de ese día de la semana.</t>
  </si>
  <si>
    <t>• Días restantes: promedio del mismo día de semana en las últimas 4 semanas completas (se divide entre 4 aunque ese día no haya vendido).</t>
  </si>
  <si>
    <t>• El estimado se calcula al grano Centro × Supervisor × Suplidor y se suma hacia cada corte, por eso Total = Centros = Supervisores = Suplidores.</t>
  </si>
  <si>
    <t>• Un promedio simple se infla con pedidos atípicos (picos únicos); la comparación de la semana estimada es una proyección, no un cierre.</t>
  </si>
  <si>
    <t>Cómo leer los símbolos</t>
  </si>
  <si>
    <t>• ▲ (verde): la semana vendió más que la anterior · ▼ (rojo): vendió menos · = : igual. Se acompaña del % de variación.</t>
  </si>
  <si>
    <t>• Las columnas de ventas y símbolos son fórmulas (SUMIFS sobre la hoja Detalle). Los datos del query están en azul en Detalle (columnas E, F, H).</t>
  </si>
  <si>
    <t>• Fila 'Control' de cada hoja: suma de filas − total del canal; debe dar 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</si>
</sst>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dd/mm/yyyy"/>
    <numFmt numFmtId="166" formatCode="0.0%"/>
    <numFmt numFmtId="167" formatCode="#,##0;\(#,##0\);&quot;-&quot;"/>
  </numFmts>
  <fonts count="9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sz val="10"/>
      <color rgb="FF0000FF"/>
      <name val="Arial"/>
    </font>
    <font>
      <b/>
      <sz val="14"/>
      <name val="Arial"/>
    </font>
    <font>
      <i/>
      <sz val="9"/>
      <color rgb="FF595959"/>
      <name val="Arial"/>
    </font>
    <font>
      <sz val="8"/>
      <color rgb="FF808080"/>
      <name val="Arial"/>
    </font>
    <font>
      <sz val="9"/>
      <color rgb="FF0000FF"/>
      <name val="Arial"/>
    </font>
    <font>
      <b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1F2"/>
      </patternFill>
    </fill>
    <fill>
      <patternFill patternType="solid">
        <fgColor rgb="FFBF8F00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/>
      <right/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165" fontId="6" fillId="0" borderId="0" xfId="0" applyNumberFormat="1" applyFont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wrapText="1"/>
    </xf>
    <xf numFmtId="0" fontId="1" fillId="4" borderId="0" xfId="0" applyFont="1" applyFill="1" applyAlignment="1">
      <alignment horizontal="center" wrapText="1"/>
    </xf>
    <xf numFmtId="0" fontId="2" fillId="0" borderId="0" xfId="0" applyFont="1"/>
    <xf numFmtId="167" fontId="2" fillId="0" borderId="0" xfId="0" applyNumberFormat="1" applyFont="1"/>
    <xf numFmtId="0" fontId="2" fillId="0" borderId="0" xfId="0" applyFont="1" applyAlignment="1">
      <alignment horizontal="center"/>
    </xf>
    <xf numFmtId="167" fontId="2" fillId="5" borderId="0" xfId="0" applyNumberFormat="1" applyFont="1" applyFill="1"/>
    <xf numFmtId="0" fontId="2" fillId="5" borderId="0" xfId="0" applyFont="1" applyFill="1" applyAlignment="1">
      <alignment horizontal="center"/>
    </xf>
    <xf numFmtId="0" fontId="8" fillId="3" borderId="1" xfId="0" applyFont="1" applyFill="1" applyBorder="1"/>
    <xf numFmtId="167" fontId="8" fillId="3" borderId="1" xfId="0" applyNumberFormat="1" applyFont="1" applyFill="1" applyBorder="1"/>
    <xf numFmtId="0" fontId="8" fillId="3" borderId="1" xfId="0" applyFont="1" applyFill="1" applyBorder="1" applyAlignment="1">
      <alignment horizontal="center"/>
    </xf>
    <xf numFmtId="167" fontId="6" fillId="0" borderId="0" xfId="0" applyNumberFormat="1" applyFont="1"/>
    <xf numFmtId="0" fontId="1" fillId="2" borderId="0" xfId="0" applyFont="1" applyFill="1" applyAlignment="1">
      <alignment horizontal="center"/>
    </xf>
    <xf numFmtId="165" fontId="2" fillId="0" borderId="0" xfId="0" applyNumberFormat="1" applyFont="1"/>
    <xf numFmtId="167" fontId="3" fillId="0" borderId="0" xfId="0" applyNumberFormat="1" applyFont="1"/>
    <xf numFmtId="166" fontId="2" fillId="0" borderId="0" xfId="0" applyNumberFormat="1" applyFont="1"/>
    <xf numFmtId="0" fontId="8" fillId="0" borderId="0" xfId="0" applyFont="1"/>
  </cellXfs>
  <cellStyles count="1">
    <cellStyle name="Normal" xfId="0" builtinId="0"/>
  </cellStyles>
  <dxfs count="8">
    <dxf>
      <font>
        <b/>
        <color rgb="FFC00000"/>
        <name val="Arial"/>
      </font>
    </dxf>
    <dxf>
      <font>
        <b/>
        <color rgb="FF00803C"/>
        <name val="Arial"/>
      </font>
    </dxf>
    <dxf>
      <font>
        <b/>
        <color rgb="FFC00000"/>
        <name val="Arial"/>
      </font>
    </dxf>
    <dxf>
      <font>
        <b/>
        <color rgb="FF00803C"/>
        <name val="Arial"/>
      </font>
    </dxf>
    <dxf>
      <font>
        <b/>
        <color rgb="FFC00000"/>
        <name val="Arial"/>
      </font>
    </dxf>
    <dxf>
      <font>
        <b/>
        <color rgb="FF00803C"/>
        <name val="Arial"/>
      </font>
    </dxf>
    <dxf>
      <font>
        <b/>
        <color rgb="FFC00000"/>
        <name val="Arial"/>
      </font>
    </dxf>
    <dxf>
      <font>
        <b/>
        <color rgb="FF00803C"/>
        <name val="Arial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"/>
  <sheetViews>
    <sheetView showGridLines="0" tabSelected="1" workbookViewId="0">
      <pane xSplit="1" ySplit="5" topLeftCell="B6" activePane="bottomRight" state="frozen"/>
      <selection pane="topRight"/>
      <selection pane="bottomLeft"/>
      <selection pane="bottomRight"/>
    </sheetView>
  </sheetViews>
  <sheetFormatPr baseColWidth="10" defaultColWidth="8.88671875" defaultRowHeight="14.4" x14ac:dyDescent="0.3"/>
  <cols>
    <col min="1" max="1" width="34" customWidth="1"/>
    <col min="2" max="2" width="15" customWidth="1"/>
    <col min="3" max="3" width="13" customWidth="1"/>
    <col min="4" max="4" width="15" customWidth="1"/>
    <col min="5" max="5" width="13" customWidth="1"/>
    <col min="6" max="6" width="15" customWidth="1"/>
    <col min="7" max="7" width="13" customWidth="1"/>
    <col min="8" max="8" width="15" customWidth="1"/>
    <col min="9" max="9" width="13" customWidth="1"/>
    <col min="10" max="10" width="15" customWidth="1"/>
    <col min="11" max="11" width="13" customWidth="1"/>
    <col min="12" max="12" width="15" customWidth="1"/>
    <col min="13" max="13" width="13" customWidth="1"/>
    <col min="14" max="14" width="15" customWidth="1"/>
    <col min="15" max="15" width="13" customWidth="1"/>
    <col min="16" max="16" width="15" customWidth="1"/>
    <col min="17" max="17" width="13" customWidth="1"/>
  </cols>
  <sheetData>
    <row r="1" spans="1:17" ht="17.399999999999999" x14ac:dyDescent="0.3">
      <c r="A1" s="1" t="s">
        <v>0</v>
      </c>
    </row>
    <row r="2" spans="1:17" x14ac:dyDescent="0.3">
      <c r="A2" s="2" t="s">
        <v>1</v>
      </c>
    </row>
    <row r="3" spans="1:17" x14ac:dyDescent="0.3">
      <c r="A3" s="3" t="s">
        <v>2</v>
      </c>
      <c r="B3" s="4" t="s">
        <v>3</v>
      </c>
    </row>
    <row r="4" spans="1:17" x14ac:dyDescent="0.3">
      <c r="A4" s="3" t="s">
        <v>4</v>
      </c>
      <c r="B4" s="5">
        <v>46258</v>
      </c>
      <c r="D4" s="5">
        <v>46265</v>
      </c>
      <c r="F4" s="5">
        <v>46272</v>
      </c>
      <c r="H4" s="5">
        <v>46279</v>
      </c>
      <c r="J4" s="5">
        <v>46286</v>
      </c>
      <c r="L4" s="5">
        <v>46293</v>
      </c>
      <c r="N4" s="5">
        <v>46300</v>
      </c>
      <c r="P4" s="5">
        <v>46307</v>
      </c>
    </row>
    <row r="5" spans="1:17" ht="30" customHeight="1" x14ac:dyDescent="0.3">
      <c r="A5" s="6" t="s">
        <v>3</v>
      </c>
      <c r="B5" s="7" t="s">
        <v>5</v>
      </c>
      <c r="C5" s="7" t="s">
        <v>6</v>
      </c>
      <c r="D5" s="7" t="s">
        <v>7</v>
      </c>
      <c r="E5" s="7" t="s">
        <v>6</v>
      </c>
      <c r="F5" s="7" t="s">
        <v>8</v>
      </c>
      <c r="G5" s="7" t="s">
        <v>6</v>
      </c>
      <c r="H5" s="7" t="s">
        <v>9</v>
      </c>
      <c r="I5" s="7" t="s">
        <v>6</v>
      </c>
      <c r="J5" s="7" t="s">
        <v>10</v>
      </c>
      <c r="K5" s="7" t="s">
        <v>6</v>
      </c>
      <c r="L5" s="7" t="s">
        <v>11</v>
      </c>
      <c r="M5" s="7" t="s">
        <v>6</v>
      </c>
      <c r="N5" s="7" t="s">
        <v>12</v>
      </c>
      <c r="O5" s="7" t="s">
        <v>6</v>
      </c>
      <c r="P5" s="8" t="s">
        <v>13</v>
      </c>
      <c r="Q5" s="8" t="s">
        <v>6</v>
      </c>
    </row>
    <row r="6" spans="1:17" x14ac:dyDescent="0.3">
      <c r="A6" s="9" t="s">
        <v>14</v>
      </c>
      <c r="B6" s="10">
        <f>SUMIFS(Detalle!$G:$G,Detalle!$A:$A,$B$3,Detalle!$B:$B,$A6,Detalle!$D:$D,B$4)</f>
        <v>6045346.1200000001</v>
      </c>
      <c r="C6" s="11" t="str">
        <f>IF(SUMIFS(Detalle!$H:$H,Detalle!$A:$A,$B$3,Detalle!$B:$B,$A6,Detalle!$D:$D,B$4)&lt;=0,IF(B6&gt;0,"▲ nuevo","="),IF(B6&gt;SUMIFS(Detalle!$H:$H,Detalle!$A:$A,$B$3,Detalle!$B:$B,$A6,Detalle!$D:$D,B$4),"▲",IF(B6&lt;SUMIFS(Detalle!$H:$H,Detalle!$A:$A,$B$3,Detalle!$B:$B,$A6,Detalle!$D:$D,B$4),"▼","="))&amp;" "&amp;TEXT((B6-SUMIFS(Detalle!$H:$H,Detalle!$A:$A,$B$3,Detalle!$B:$B,$A6,Detalle!$D:$D,B$4))/SUMIFS(Detalle!$H:$H,Detalle!$A:$A,$B$3,Detalle!$B:$B,$A6,Detalle!$D:$D,B$4),"0.0%"))</f>
        <v>▼ -2.9%</v>
      </c>
      <c r="D6" s="10">
        <f>SUMIFS(Detalle!$G:$G,Detalle!$A:$A,$B$3,Detalle!$B:$B,$A6,Detalle!$D:$D,D$4)</f>
        <v>6500363.4000000004</v>
      </c>
      <c r="E6" s="11" t="str">
        <f>IF(SUMIFS(Detalle!$H:$H,Detalle!$A:$A,$B$3,Detalle!$B:$B,$A6,Detalle!$D:$D,D$4)&lt;=0,IF(D6&gt;0,"▲ nuevo","="),IF(D6&gt;SUMIFS(Detalle!$H:$H,Detalle!$A:$A,$B$3,Detalle!$B:$B,$A6,Detalle!$D:$D,D$4),"▲",IF(D6&lt;SUMIFS(Detalle!$H:$H,Detalle!$A:$A,$B$3,Detalle!$B:$B,$A6,Detalle!$D:$D,D$4),"▼","="))&amp;" "&amp;TEXT((D6-SUMIFS(Detalle!$H:$H,Detalle!$A:$A,$B$3,Detalle!$B:$B,$A6,Detalle!$D:$D,D$4))/SUMIFS(Detalle!$H:$H,Detalle!$A:$A,$B$3,Detalle!$B:$B,$A6,Detalle!$D:$D,D$4),"0.0%"))</f>
        <v>▲ 7.5%</v>
      </c>
      <c r="F6" s="10">
        <f>SUMIFS(Detalle!$G:$G,Detalle!$A:$A,$B$3,Detalle!$B:$B,$A6,Detalle!$D:$D,F$4)</f>
        <v>7083336.3700000001</v>
      </c>
      <c r="G6" s="11" t="str">
        <f>IF(SUMIFS(Detalle!$H:$H,Detalle!$A:$A,$B$3,Detalle!$B:$B,$A6,Detalle!$D:$D,F$4)&lt;=0,IF(F6&gt;0,"▲ nuevo","="),IF(F6&gt;SUMIFS(Detalle!$H:$H,Detalle!$A:$A,$B$3,Detalle!$B:$B,$A6,Detalle!$D:$D,F$4),"▲",IF(F6&lt;SUMIFS(Detalle!$H:$H,Detalle!$A:$A,$B$3,Detalle!$B:$B,$A6,Detalle!$D:$D,F$4),"▼","="))&amp;" "&amp;TEXT((F6-SUMIFS(Detalle!$H:$H,Detalle!$A:$A,$B$3,Detalle!$B:$B,$A6,Detalle!$D:$D,F$4))/SUMIFS(Detalle!$H:$H,Detalle!$A:$A,$B$3,Detalle!$B:$B,$A6,Detalle!$D:$D,F$4),"0.0%"))</f>
        <v>▲ 9.0%</v>
      </c>
      <c r="H6" s="10">
        <f>SUMIFS(Detalle!$G:$G,Detalle!$A:$A,$B$3,Detalle!$B:$B,$A6,Detalle!$D:$D,H$4)</f>
        <v>6238437.2800000003</v>
      </c>
      <c r="I6" s="11" t="str">
        <f>IF(SUMIFS(Detalle!$H:$H,Detalle!$A:$A,$B$3,Detalle!$B:$B,$A6,Detalle!$D:$D,H$4)&lt;=0,IF(H6&gt;0,"▲ nuevo","="),IF(H6&gt;SUMIFS(Detalle!$H:$H,Detalle!$A:$A,$B$3,Detalle!$B:$B,$A6,Detalle!$D:$D,H$4),"▲",IF(H6&lt;SUMIFS(Detalle!$H:$H,Detalle!$A:$A,$B$3,Detalle!$B:$B,$A6,Detalle!$D:$D,H$4),"▼","="))&amp;" "&amp;TEXT((H6-SUMIFS(Detalle!$H:$H,Detalle!$A:$A,$B$3,Detalle!$B:$B,$A6,Detalle!$D:$D,H$4))/SUMIFS(Detalle!$H:$H,Detalle!$A:$A,$B$3,Detalle!$B:$B,$A6,Detalle!$D:$D,H$4),"0.0%"))</f>
        <v>▼ -11.9%</v>
      </c>
      <c r="J6" s="10">
        <f>SUMIFS(Detalle!$G:$G,Detalle!$A:$A,$B$3,Detalle!$B:$B,$A6,Detalle!$D:$D,J$4)</f>
        <v>6366560.6399999997</v>
      </c>
      <c r="K6" s="11" t="str">
        <f>IF(SUMIFS(Detalle!$H:$H,Detalle!$A:$A,$B$3,Detalle!$B:$B,$A6,Detalle!$D:$D,J$4)&lt;=0,IF(J6&gt;0,"▲ nuevo","="),IF(J6&gt;SUMIFS(Detalle!$H:$H,Detalle!$A:$A,$B$3,Detalle!$B:$B,$A6,Detalle!$D:$D,J$4),"▲",IF(J6&lt;SUMIFS(Detalle!$H:$H,Detalle!$A:$A,$B$3,Detalle!$B:$B,$A6,Detalle!$D:$D,J$4),"▼","="))&amp;" "&amp;TEXT((J6-SUMIFS(Detalle!$H:$H,Detalle!$A:$A,$B$3,Detalle!$B:$B,$A6,Detalle!$D:$D,J$4))/SUMIFS(Detalle!$H:$H,Detalle!$A:$A,$B$3,Detalle!$B:$B,$A6,Detalle!$D:$D,J$4),"0.0%"))</f>
        <v>▲ 2.1%</v>
      </c>
      <c r="L6" s="10">
        <f>SUMIFS(Detalle!$G:$G,Detalle!$A:$A,$B$3,Detalle!$B:$B,$A6,Detalle!$D:$D,L$4)</f>
        <v>5708900.4100000001</v>
      </c>
      <c r="M6" s="11" t="str">
        <f>IF(SUMIFS(Detalle!$H:$H,Detalle!$A:$A,$B$3,Detalle!$B:$B,$A6,Detalle!$D:$D,L$4)&lt;=0,IF(L6&gt;0,"▲ nuevo","="),IF(L6&gt;SUMIFS(Detalle!$H:$H,Detalle!$A:$A,$B$3,Detalle!$B:$B,$A6,Detalle!$D:$D,L$4),"▲",IF(L6&lt;SUMIFS(Detalle!$H:$H,Detalle!$A:$A,$B$3,Detalle!$B:$B,$A6,Detalle!$D:$D,L$4),"▼","="))&amp;" "&amp;TEXT((L6-SUMIFS(Detalle!$H:$H,Detalle!$A:$A,$B$3,Detalle!$B:$B,$A6,Detalle!$D:$D,L$4))/SUMIFS(Detalle!$H:$H,Detalle!$A:$A,$B$3,Detalle!$B:$B,$A6,Detalle!$D:$D,L$4),"0.0%"))</f>
        <v>▼ -10.3%</v>
      </c>
      <c r="N6" s="10">
        <f>SUMIFS(Detalle!$G:$G,Detalle!$A:$A,$B$3,Detalle!$B:$B,$A6,Detalle!$D:$D,N$4)</f>
        <v>5732954.3700000001</v>
      </c>
      <c r="O6" s="11" t="str">
        <f>IF(SUMIFS(Detalle!$H:$H,Detalle!$A:$A,$B$3,Detalle!$B:$B,$A6,Detalle!$D:$D,N$4)&lt;=0,IF(N6&gt;0,"▲ nuevo","="),IF(N6&gt;SUMIFS(Detalle!$H:$H,Detalle!$A:$A,$B$3,Detalle!$B:$B,$A6,Detalle!$D:$D,N$4),"▲",IF(N6&lt;SUMIFS(Detalle!$H:$H,Detalle!$A:$A,$B$3,Detalle!$B:$B,$A6,Detalle!$D:$D,N$4),"▼","="))&amp;" "&amp;TEXT((N6-SUMIFS(Detalle!$H:$H,Detalle!$A:$A,$B$3,Detalle!$B:$B,$A6,Detalle!$D:$D,N$4))/SUMIFS(Detalle!$H:$H,Detalle!$A:$A,$B$3,Detalle!$B:$B,$A6,Detalle!$D:$D,N$4),"0.0%"))</f>
        <v>▲ 0.4%</v>
      </c>
      <c r="P6" s="12">
        <f>SUMIFS(Detalle!$G:$G,Detalle!$A:$A,$B$3,Detalle!$B:$B,$A6,Detalle!$D:$D,P$4)</f>
        <v>5866011.6500000004</v>
      </c>
      <c r="Q6" s="13" t="str">
        <f>IF(SUMIFS(Detalle!$H:$H,Detalle!$A:$A,$B$3,Detalle!$B:$B,$A6,Detalle!$D:$D,P$4)&lt;=0,IF(P6&gt;0,"▲ nuevo","="),IF(P6&gt;SUMIFS(Detalle!$H:$H,Detalle!$A:$A,$B$3,Detalle!$B:$B,$A6,Detalle!$D:$D,P$4),"▲",IF(P6&lt;SUMIFS(Detalle!$H:$H,Detalle!$A:$A,$B$3,Detalle!$B:$B,$A6,Detalle!$D:$D,P$4),"▼","="))&amp;" "&amp;TEXT((P6-SUMIFS(Detalle!$H:$H,Detalle!$A:$A,$B$3,Detalle!$B:$B,$A6,Detalle!$D:$D,P$4))/SUMIFS(Detalle!$H:$H,Detalle!$A:$A,$B$3,Detalle!$B:$B,$A6,Detalle!$D:$D,P$4),"0.0%"))</f>
        <v>▲ 2.3%</v>
      </c>
    </row>
    <row r="7" spans="1:17" x14ac:dyDescent="0.3">
      <c r="A7" s="9" t="s">
        <v>15</v>
      </c>
      <c r="B7" s="10">
        <f>SUMIFS(Detalle!$G:$G,Detalle!$A:$A,$B$3,Detalle!$B:$B,$A7,Detalle!$D:$D,B$4)</f>
        <v>5181685.32</v>
      </c>
      <c r="C7" s="11" t="str">
        <f>IF(SUMIFS(Detalle!$H:$H,Detalle!$A:$A,$B$3,Detalle!$B:$B,$A7,Detalle!$D:$D,B$4)&lt;=0,IF(B7&gt;0,"▲ nuevo","="),IF(B7&gt;SUMIFS(Detalle!$H:$H,Detalle!$A:$A,$B$3,Detalle!$B:$B,$A7,Detalle!$D:$D,B$4),"▲",IF(B7&lt;SUMIFS(Detalle!$H:$H,Detalle!$A:$A,$B$3,Detalle!$B:$B,$A7,Detalle!$D:$D,B$4),"▼","="))&amp;" "&amp;TEXT((B7-SUMIFS(Detalle!$H:$H,Detalle!$A:$A,$B$3,Detalle!$B:$B,$A7,Detalle!$D:$D,B$4))/SUMIFS(Detalle!$H:$H,Detalle!$A:$A,$B$3,Detalle!$B:$B,$A7,Detalle!$D:$D,B$4),"0.0%"))</f>
        <v>▼ -3.9%</v>
      </c>
      <c r="D7" s="10">
        <f>SUMIFS(Detalle!$G:$G,Detalle!$A:$A,$B$3,Detalle!$B:$B,$A7,Detalle!$D:$D,D$4)</f>
        <v>5420463.9900000002</v>
      </c>
      <c r="E7" s="11" t="str">
        <f>IF(SUMIFS(Detalle!$H:$H,Detalle!$A:$A,$B$3,Detalle!$B:$B,$A7,Detalle!$D:$D,D$4)&lt;=0,IF(D7&gt;0,"▲ nuevo","="),IF(D7&gt;SUMIFS(Detalle!$H:$H,Detalle!$A:$A,$B$3,Detalle!$B:$B,$A7,Detalle!$D:$D,D$4),"▲",IF(D7&lt;SUMIFS(Detalle!$H:$H,Detalle!$A:$A,$B$3,Detalle!$B:$B,$A7,Detalle!$D:$D,D$4),"▼","="))&amp;" "&amp;TEXT((D7-SUMIFS(Detalle!$H:$H,Detalle!$A:$A,$B$3,Detalle!$B:$B,$A7,Detalle!$D:$D,D$4))/SUMIFS(Detalle!$H:$H,Detalle!$A:$A,$B$3,Detalle!$B:$B,$A7,Detalle!$D:$D,D$4),"0.0%"))</f>
        <v>▲ 4.6%</v>
      </c>
      <c r="F7" s="10">
        <f>SUMIFS(Detalle!$G:$G,Detalle!$A:$A,$B$3,Detalle!$B:$B,$A7,Detalle!$D:$D,F$4)</f>
        <v>6145997.1500000004</v>
      </c>
      <c r="G7" s="11" t="str">
        <f>IF(SUMIFS(Detalle!$H:$H,Detalle!$A:$A,$B$3,Detalle!$B:$B,$A7,Detalle!$D:$D,F$4)&lt;=0,IF(F7&gt;0,"▲ nuevo","="),IF(F7&gt;SUMIFS(Detalle!$H:$H,Detalle!$A:$A,$B$3,Detalle!$B:$B,$A7,Detalle!$D:$D,F$4),"▲",IF(F7&lt;SUMIFS(Detalle!$H:$H,Detalle!$A:$A,$B$3,Detalle!$B:$B,$A7,Detalle!$D:$D,F$4),"▼","="))&amp;" "&amp;TEXT((F7-SUMIFS(Detalle!$H:$H,Detalle!$A:$A,$B$3,Detalle!$B:$B,$A7,Detalle!$D:$D,F$4))/SUMIFS(Detalle!$H:$H,Detalle!$A:$A,$B$3,Detalle!$B:$B,$A7,Detalle!$D:$D,F$4),"0.0%"))</f>
        <v>▲ 13.4%</v>
      </c>
      <c r="H7" s="10">
        <f>SUMIFS(Detalle!$G:$G,Detalle!$A:$A,$B$3,Detalle!$B:$B,$A7,Detalle!$D:$D,H$4)</f>
        <v>5684983.7199999997</v>
      </c>
      <c r="I7" s="11" t="str">
        <f>IF(SUMIFS(Detalle!$H:$H,Detalle!$A:$A,$B$3,Detalle!$B:$B,$A7,Detalle!$D:$D,H$4)&lt;=0,IF(H7&gt;0,"▲ nuevo","="),IF(H7&gt;SUMIFS(Detalle!$H:$H,Detalle!$A:$A,$B$3,Detalle!$B:$B,$A7,Detalle!$D:$D,H$4),"▲",IF(H7&lt;SUMIFS(Detalle!$H:$H,Detalle!$A:$A,$B$3,Detalle!$B:$B,$A7,Detalle!$D:$D,H$4),"▼","="))&amp;" "&amp;TEXT((H7-SUMIFS(Detalle!$H:$H,Detalle!$A:$A,$B$3,Detalle!$B:$B,$A7,Detalle!$D:$D,H$4))/SUMIFS(Detalle!$H:$H,Detalle!$A:$A,$B$3,Detalle!$B:$B,$A7,Detalle!$D:$D,H$4),"0.0%"))</f>
        <v>▼ -7.5%</v>
      </c>
      <c r="J7" s="10">
        <f>SUMIFS(Detalle!$G:$G,Detalle!$A:$A,$B$3,Detalle!$B:$B,$A7,Detalle!$D:$D,J$4)</f>
        <v>5953575.0099999998</v>
      </c>
      <c r="K7" s="11" t="str">
        <f>IF(SUMIFS(Detalle!$H:$H,Detalle!$A:$A,$B$3,Detalle!$B:$B,$A7,Detalle!$D:$D,J$4)&lt;=0,IF(J7&gt;0,"▲ nuevo","="),IF(J7&gt;SUMIFS(Detalle!$H:$H,Detalle!$A:$A,$B$3,Detalle!$B:$B,$A7,Detalle!$D:$D,J$4),"▲",IF(J7&lt;SUMIFS(Detalle!$H:$H,Detalle!$A:$A,$B$3,Detalle!$B:$B,$A7,Detalle!$D:$D,J$4),"▼","="))&amp;" "&amp;TEXT((J7-SUMIFS(Detalle!$H:$H,Detalle!$A:$A,$B$3,Detalle!$B:$B,$A7,Detalle!$D:$D,J$4))/SUMIFS(Detalle!$H:$H,Detalle!$A:$A,$B$3,Detalle!$B:$B,$A7,Detalle!$D:$D,J$4),"0.0%"))</f>
        <v>▲ 4.7%</v>
      </c>
      <c r="L7" s="10">
        <f>SUMIFS(Detalle!$G:$G,Detalle!$A:$A,$B$3,Detalle!$B:$B,$A7,Detalle!$D:$D,L$4)</f>
        <v>5658529.3399999999</v>
      </c>
      <c r="M7" s="11" t="str">
        <f>IF(SUMIFS(Detalle!$H:$H,Detalle!$A:$A,$B$3,Detalle!$B:$B,$A7,Detalle!$D:$D,L$4)&lt;=0,IF(L7&gt;0,"▲ nuevo","="),IF(L7&gt;SUMIFS(Detalle!$H:$H,Detalle!$A:$A,$B$3,Detalle!$B:$B,$A7,Detalle!$D:$D,L$4),"▲",IF(L7&lt;SUMIFS(Detalle!$H:$H,Detalle!$A:$A,$B$3,Detalle!$B:$B,$A7,Detalle!$D:$D,L$4),"▼","="))&amp;" "&amp;TEXT((L7-SUMIFS(Detalle!$H:$H,Detalle!$A:$A,$B$3,Detalle!$B:$B,$A7,Detalle!$D:$D,L$4))/SUMIFS(Detalle!$H:$H,Detalle!$A:$A,$B$3,Detalle!$B:$B,$A7,Detalle!$D:$D,L$4),"0.0%"))</f>
        <v>▼ -5.0%</v>
      </c>
      <c r="N7" s="10">
        <f>SUMIFS(Detalle!$G:$G,Detalle!$A:$A,$B$3,Detalle!$B:$B,$A7,Detalle!$D:$D,N$4)</f>
        <v>5557605.8799999999</v>
      </c>
      <c r="O7" s="11" t="str">
        <f>IF(SUMIFS(Detalle!$H:$H,Detalle!$A:$A,$B$3,Detalle!$B:$B,$A7,Detalle!$D:$D,N$4)&lt;=0,IF(N7&gt;0,"▲ nuevo","="),IF(N7&gt;SUMIFS(Detalle!$H:$H,Detalle!$A:$A,$B$3,Detalle!$B:$B,$A7,Detalle!$D:$D,N$4),"▲",IF(N7&lt;SUMIFS(Detalle!$H:$H,Detalle!$A:$A,$B$3,Detalle!$B:$B,$A7,Detalle!$D:$D,N$4),"▼","="))&amp;" "&amp;TEXT((N7-SUMIFS(Detalle!$H:$H,Detalle!$A:$A,$B$3,Detalle!$B:$B,$A7,Detalle!$D:$D,N$4))/SUMIFS(Detalle!$H:$H,Detalle!$A:$A,$B$3,Detalle!$B:$B,$A7,Detalle!$D:$D,N$4),"0.0%"))</f>
        <v>▼ -1.8%</v>
      </c>
      <c r="P7" s="12">
        <f>SUMIFS(Detalle!$G:$G,Detalle!$A:$A,$B$3,Detalle!$B:$B,$A7,Detalle!$D:$D,P$4)</f>
        <v>5611001.5499999998</v>
      </c>
      <c r="Q7" s="13" t="str">
        <f>IF(SUMIFS(Detalle!$H:$H,Detalle!$A:$A,$B$3,Detalle!$B:$B,$A7,Detalle!$D:$D,P$4)&lt;=0,IF(P7&gt;0,"▲ nuevo","="),IF(P7&gt;SUMIFS(Detalle!$H:$H,Detalle!$A:$A,$B$3,Detalle!$B:$B,$A7,Detalle!$D:$D,P$4),"▲",IF(P7&lt;SUMIFS(Detalle!$H:$H,Detalle!$A:$A,$B$3,Detalle!$B:$B,$A7,Detalle!$D:$D,P$4),"▼","="))&amp;" "&amp;TEXT((P7-SUMIFS(Detalle!$H:$H,Detalle!$A:$A,$B$3,Detalle!$B:$B,$A7,Detalle!$D:$D,P$4))/SUMIFS(Detalle!$H:$H,Detalle!$A:$A,$B$3,Detalle!$B:$B,$A7,Detalle!$D:$D,P$4),"0.0%"))</f>
        <v>▲ 1.0%</v>
      </c>
    </row>
    <row r="8" spans="1:17" x14ac:dyDescent="0.3">
      <c r="A8" s="14" t="s">
        <v>16</v>
      </c>
      <c r="B8" s="15">
        <f>SUMIFS(Detalle!$G:$G,Detalle!$A:$A,"Total",Detalle!$B:$B,"Minorista",Detalle!$D:$D,B$4)</f>
        <v>11227031.439999999</v>
      </c>
      <c r="C8" s="16" t="str">
        <f>IF(SUMIFS(Detalle!$H:$H,Detalle!$A:$A,"Total",Detalle!$B:$B,"Minorista",Detalle!$D:$D,B$4)&lt;=0,IF(B8&gt;0,"▲ nuevo","="),IF(B8&gt;SUMIFS(Detalle!$H:$H,Detalle!$A:$A,"Total",Detalle!$B:$B,"Minorista",Detalle!$D:$D,B$4),"▲",IF(B8&lt;SUMIFS(Detalle!$H:$H,Detalle!$A:$A,"Total",Detalle!$B:$B,"Minorista",Detalle!$D:$D,B$4),"▼","="))&amp;" "&amp;TEXT((B8-SUMIFS(Detalle!$H:$H,Detalle!$A:$A,"Total",Detalle!$B:$B,"Minorista",Detalle!$D:$D,B$4))/SUMIFS(Detalle!$H:$H,Detalle!$A:$A,"Total",Detalle!$B:$B,"Minorista",Detalle!$D:$D,B$4),"0.0%"))</f>
        <v>▼ -3.3%</v>
      </c>
      <c r="D8" s="15">
        <f>SUMIFS(Detalle!$G:$G,Detalle!$A:$A,"Total",Detalle!$B:$B,"Minorista",Detalle!$D:$D,D$4)</f>
        <v>11920827.390000001</v>
      </c>
      <c r="E8" s="16" t="str">
        <f>IF(SUMIFS(Detalle!$H:$H,Detalle!$A:$A,"Total",Detalle!$B:$B,"Minorista",Detalle!$D:$D,D$4)&lt;=0,IF(D8&gt;0,"▲ nuevo","="),IF(D8&gt;SUMIFS(Detalle!$H:$H,Detalle!$A:$A,"Total",Detalle!$B:$B,"Minorista",Detalle!$D:$D,D$4),"▲",IF(D8&lt;SUMIFS(Detalle!$H:$H,Detalle!$A:$A,"Total",Detalle!$B:$B,"Minorista",Detalle!$D:$D,D$4),"▼","="))&amp;" "&amp;TEXT((D8-SUMIFS(Detalle!$H:$H,Detalle!$A:$A,"Total",Detalle!$B:$B,"Minorista",Detalle!$D:$D,D$4))/SUMIFS(Detalle!$H:$H,Detalle!$A:$A,"Total",Detalle!$B:$B,"Minorista",Detalle!$D:$D,D$4),"0.0%"))</f>
        <v>▲ 6.2%</v>
      </c>
      <c r="F8" s="15">
        <f>SUMIFS(Detalle!$G:$G,Detalle!$A:$A,"Total",Detalle!$B:$B,"Minorista",Detalle!$D:$D,F$4)</f>
        <v>13229333.52</v>
      </c>
      <c r="G8" s="16" t="str">
        <f>IF(SUMIFS(Detalle!$H:$H,Detalle!$A:$A,"Total",Detalle!$B:$B,"Minorista",Detalle!$D:$D,F$4)&lt;=0,IF(F8&gt;0,"▲ nuevo","="),IF(F8&gt;SUMIFS(Detalle!$H:$H,Detalle!$A:$A,"Total",Detalle!$B:$B,"Minorista",Detalle!$D:$D,F$4),"▲",IF(F8&lt;SUMIFS(Detalle!$H:$H,Detalle!$A:$A,"Total",Detalle!$B:$B,"Minorista",Detalle!$D:$D,F$4),"▼","="))&amp;" "&amp;TEXT((F8-SUMIFS(Detalle!$H:$H,Detalle!$A:$A,"Total",Detalle!$B:$B,"Minorista",Detalle!$D:$D,F$4))/SUMIFS(Detalle!$H:$H,Detalle!$A:$A,"Total",Detalle!$B:$B,"Minorista",Detalle!$D:$D,F$4),"0.0%"))</f>
        <v>▲ 11.0%</v>
      </c>
      <c r="H8" s="15">
        <f>SUMIFS(Detalle!$G:$G,Detalle!$A:$A,"Total",Detalle!$B:$B,"Minorista",Detalle!$D:$D,H$4)</f>
        <v>11923421</v>
      </c>
      <c r="I8" s="16" t="str">
        <f>IF(SUMIFS(Detalle!$H:$H,Detalle!$A:$A,"Total",Detalle!$B:$B,"Minorista",Detalle!$D:$D,H$4)&lt;=0,IF(H8&gt;0,"▲ nuevo","="),IF(H8&gt;SUMIFS(Detalle!$H:$H,Detalle!$A:$A,"Total",Detalle!$B:$B,"Minorista",Detalle!$D:$D,H$4),"▲",IF(H8&lt;SUMIFS(Detalle!$H:$H,Detalle!$A:$A,"Total",Detalle!$B:$B,"Minorista",Detalle!$D:$D,H$4),"▼","="))&amp;" "&amp;TEXT((H8-SUMIFS(Detalle!$H:$H,Detalle!$A:$A,"Total",Detalle!$B:$B,"Minorista",Detalle!$D:$D,H$4))/SUMIFS(Detalle!$H:$H,Detalle!$A:$A,"Total",Detalle!$B:$B,"Minorista",Detalle!$D:$D,H$4),"0.0%"))</f>
        <v>▼ -9.9%</v>
      </c>
      <c r="J8" s="15">
        <f>SUMIFS(Detalle!$G:$G,Detalle!$A:$A,"Total",Detalle!$B:$B,"Minorista",Detalle!$D:$D,J$4)</f>
        <v>12320135.65</v>
      </c>
      <c r="K8" s="16" t="str">
        <f>IF(SUMIFS(Detalle!$H:$H,Detalle!$A:$A,"Total",Detalle!$B:$B,"Minorista",Detalle!$D:$D,J$4)&lt;=0,IF(J8&gt;0,"▲ nuevo","="),IF(J8&gt;SUMIFS(Detalle!$H:$H,Detalle!$A:$A,"Total",Detalle!$B:$B,"Minorista",Detalle!$D:$D,J$4),"▲",IF(J8&lt;SUMIFS(Detalle!$H:$H,Detalle!$A:$A,"Total",Detalle!$B:$B,"Minorista",Detalle!$D:$D,J$4),"▼","="))&amp;" "&amp;TEXT((J8-SUMIFS(Detalle!$H:$H,Detalle!$A:$A,"Total",Detalle!$B:$B,"Minorista",Detalle!$D:$D,J$4))/SUMIFS(Detalle!$H:$H,Detalle!$A:$A,"Total",Detalle!$B:$B,"Minorista",Detalle!$D:$D,J$4),"0.0%"))</f>
        <v>▲ 3.3%</v>
      </c>
      <c r="L8" s="15">
        <f>SUMIFS(Detalle!$G:$G,Detalle!$A:$A,"Total",Detalle!$B:$B,"Minorista",Detalle!$D:$D,L$4)</f>
        <v>11367429.75</v>
      </c>
      <c r="M8" s="16" t="str">
        <f>IF(SUMIFS(Detalle!$H:$H,Detalle!$A:$A,"Total",Detalle!$B:$B,"Minorista",Detalle!$D:$D,L$4)&lt;=0,IF(L8&gt;0,"▲ nuevo","="),IF(L8&gt;SUMIFS(Detalle!$H:$H,Detalle!$A:$A,"Total",Detalle!$B:$B,"Minorista",Detalle!$D:$D,L$4),"▲",IF(L8&lt;SUMIFS(Detalle!$H:$H,Detalle!$A:$A,"Total",Detalle!$B:$B,"Minorista",Detalle!$D:$D,L$4),"▼","="))&amp;" "&amp;TEXT((L8-SUMIFS(Detalle!$H:$H,Detalle!$A:$A,"Total",Detalle!$B:$B,"Minorista",Detalle!$D:$D,L$4))/SUMIFS(Detalle!$H:$H,Detalle!$A:$A,"Total",Detalle!$B:$B,"Minorista",Detalle!$D:$D,L$4),"0.0%"))</f>
        <v>▼ -7.7%</v>
      </c>
      <c r="N8" s="15">
        <f>SUMIFS(Detalle!$G:$G,Detalle!$A:$A,"Total",Detalle!$B:$B,"Minorista",Detalle!$D:$D,N$4)</f>
        <v>11290560.25</v>
      </c>
      <c r="O8" s="16" t="str">
        <f>IF(SUMIFS(Detalle!$H:$H,Detalle!$A:$A,"Total",Detalle!$B:$B,"Minorista",Detalle!$D:$D,N$4)&lt;=0,IF(N8&gt;0,"▲ nuevo","="),IF(N8&gt;SUMIFS(Detalle!$H:$H,Detalle!$A:$A,"Total",Detalle!$B:$B,"Minorista",Detalle!$D:$D,N$4),"▲",IF(N8&lt;SUMIFS(Detalle!$H:$H,Detalle!$A:$A,"Total",Detalle!$B:$B,"Minorista",Detalle!$D:$D,N$4),"▼","="))&amp;" "&amp;TEXT((N8-SUMIFS(Detalle!$H:$H,Detalle!$A:$A,"Total",Detalle!$B:$B,"Minorista",Detalle!$D:$D,N$4))/SUMIFS(Detalle!$H:$H,Detalle!$A:$A,"Total",Detalle!$B:$B,"Minorista",Detalle!$D:$D,N$4),"0.0%"))</f>
        <v>▼ -0.7%</v>
      </c>
      <c r="P8" s="15">
        <f>SUMIFS(Detalle!$G:$G,Detalle!$A:$A,"Total",Detalle!$B:$B,"Minorista",Detalle!$D:$D,P$4)</f>
        <v>11477013.210000001</v>
      </c>
      <c r="Q8" s="16" t="str">
        <f>IF(SUMIFS(Detalle!$H:$H,Detalle!$A:$A,"Total",Detalle!$B:$B,"Minorista",Detalle!$D:$D,P$4)&lt;=0,IF(P8&gt;0,"▲ nuevo","="),IF(P8&gt;SUMIFS(Detalle!$H:$H,Detalle!$A:$A,"Total",Detalle!$B:$B,"Minorista",Detalle!$D:$D,P$4),"▲",IF(P8&lt;SUMIFS(Detalle!$H:$H,Detalle!$A:$A,"Total",Detalle!$B:$B,"Minorista",Detalle!$D:$D,P$4),"▼","="))&amp;" "&amp;TEXT((P8-SUMIFS(Detalle!$H:$H,Detalle!$A:$A,"Total",Detalle!$B:$B,"Minorista",Detalle!$D:$D,P$4))/SUMIFS(Detalle!$H:$H,Detalle!$A:$A,"Total",Detalle!$B:$B,"Minorista",Detalle!$D:$D,P$4),"0.0%"))</f>
        <v>▲ 1.7%</v>
      </c>
    </row>
    <row r="9" spans="1:17" x14ac:dyDescent="0.3">
      <c r="A9" s="3" t="s">
        <v>17</v>
      </c>
      <c r="B9" s="17">
        <f>ROUND(SUM(B6:B7)-B8,0)</f>
        <v>0</v>
      </c>
      <c r="D9" s="17">
        <f>ROUND(SUM(D6:D7)-D8,0)</f>
        <v>0</v>
      </c>
      <c r="F9" s="17">
        <f>ROUND(SUM(F6:F7)-F8,0)</f>
        <v>0</v>
      </c>
      <c r="H9" s="17">
        <f>ROUND(SUM(H6:H7)-H8,0)</f>
        <v>0</v>
      </c>
      <c r="J9" s="17">
        <f>ROUND(SUM(J6:J7)-J8,0)</f>
        <v>0</v>
      </c>
      <c r="L9" s="17">
        <f>ROUND(SUM(L6:L7)-L8,0)</f>
        <v>0</v>
      </c>
      <c r="N9" s="17">
        <f>ROUND(SUM(N6:N7)-N8,0)</f>
        <v>0</v>
      </c>
      <c r="P9" s="17">
        <f>ROUND(SUM(P6:P7)-P8,0)</f>
        <v>0</v>
      </c>
    </row>
  </sheetData>
  <conditionalFormatting sqref="B6:Q8">
    <cfRule type="expression" dxfId="7" priority="1">
      <formula>LEFT(B6,1)="▲"</formula>
    </cfRule>
    <cfRule type="expression" dxfId="6" priority="2">
      <formula>LEFT(B6,1)="▼"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4"/>
  <sheetViews>
    <sheetView showGridLines="0" workbookViewId="0">
      <pane xSplit="1" ySplit="5" topLeftCell="B6" activePane="bottomRight" state="frozen"/>
      <selection pane="topRight"/>
      <selection pane="bottomLeft"/>
      <selection pane="bottomRight"/>
    </sheetView>
  </sheetViews>
  <sheetFormatPr baseColWidth="10" defaultColWidth="8.88671875" defaultRowHeight="14.4" x14ac:dyDescent="0.3"/>
  <cols>
    <col min="1" max="1" width="34" customWidth="1"/>
    <col min="2" max="2" width="15" customWidth="1"/>
    <col min="3" max="3" width="13" customWidth="1"/>
    <col min="4" max="4" width="15" customWidth="1"/>
    <col min="5" max="5" width="13" customWidth="1"/>
    <col min="6" max="6" width="15" customWidth="1"/>
    <col min="7" max="7" width="13" customWidth="1"/>
    <col min="8" max="8" width="15" customWidth="1"/>
    <col min="9" max="9" width="13" customWidth="1"/>
    <col min="10" max="10" width="15" customWidth="1"/>
    <col min="11" max="11" width="13" customWidth="1"/>
    <col min="12" max="12" width="15" customWidth="1"/>
    <col min="13" max="13" width="13" customWidth="1"/>
    <col min="14" max="14" width="15" customWidth="1"/>
    <col min="15" max="15" width="13" customWidth="1"/>
    <col min="16" max="16" width="15" customWidth="1"/>
    <col min="17" max="17" width="13" customWidth="1"/>
  </cols>
  <sheetData>
    <row r="1" spans="1:17" ht="17.399999999999999" x14ac:dyDescent="0.3">
      <c r="A1" s="1" t="s">
        <v>18</v>
      </c>
    </row>
    <row r="2" spans="1:17" x14ac:dyDescent="0.3">
      <c r="A2" s="2" t="s">
        <v>1</v>
      </c>
    </row>
    <row r="3" spans="1:17" x14ac:dyDescent="0.3">
      <c r="A3" s="3" t="s">
        <v>2</v>
      </c>
      <c r="B3" s="4" t="s">
        <v>19</v>
      </c>
    </row>
    <row r="4" spans="1:17" x14ac:dyDescent="0.3">
      <c r="A4" s="3" t="s">
        <v>4</v>
      </c>
      <c r="B4" s="5">
        <v>46258</v>
      </c>
      <c r="D4" s="5">
        <v>46265</v>
      </c>
      <c r="F4" s="5">
        <v>46272</v>
      </c>
      <c r="H4" s="5">
        <v>46279</v>
      </c>
      <c r="J4" s="5">
        <v>46286</v>
      </c>
      <c r="L4" s="5">
        <v>46293</v>
      </c>
      <c r="N4" s="5">
        <v>46300</v>
      </c>
      <c r="P4" s="5">
        <v>46307</v>
      </c>
    </row>
    <row r="5" spans="1:17" ht="30" customHeight="1" x14ac:dyDescent="0.3">
      <c r="A5" s="6" t="s">
        <v>19</v>
      </c>
      <c r="B5" s="7" t="s">
        <v>5</v>
      </c>
      <c r="C5" s="7" t="s">
        <v>6</v>
      </c>
      <c r="D5" s="7" t="s">
        <v>7</v>
      </c>
      <c r="E5" s="7" t="s">
        <v>6</v>
      </c>
      <c r="F5" s="7" t="s">
        <v>8</v>
      </c>
      <c r="G5" s="7" t="s">
        <v>6</v>
      </c>
      <c r="H5" s="7" t="s">
        <v>9</v>
      </c>
      <c r="I5" s="7" t="s">
        <v>6</v>
      </c>
      <c r="J5" s="7" t="s">
        <v>10</v>
      </c>
      <c r="K5" s="7" t="s">
        <v>6</v>
      </c>
      <c r="L5" s="7" t="s">
        <v>11</v>
      </c>
      <c r="M5" s="7" t="s">
        <v>6</v>
      </c>
      <c r="N5" s="7" t="s">
        <v>12</v>
      </c>
      <c r="O5" s="7" t="s">
        <v>6</v>
      </c>
      <c r="P5" s="8" t="s">
        <v>13</v>
      </c>
      <c r="Q5" s="8" t="s">
        <v>6</v>
      </c>
    </row>
    <row r="6" spans="1:17" x14ac:dyDescent="0.3">
      <c r="A6" s="9" t="s">
        <v>20</v>
      </c>
      <c r="B6" s="10">
        <f>SUMIFS(Detalle!$G:$G,Detalle!$A:$A,$B$3,Detalle!$B:$B,$A6,Detalle!$D:$D,B$4)</f>
        <v>3233954.95</v>
      </c>
      <c r="C6" s="11" t="str">
        <f>IF(SUMIFS(Detalle!$H:$H,Detalle!$A:$A,$B$3,Detalle!$B:$B,$A6,Detalle!$D:$D,B$4)&lt;=0,IF(B6&gt;0,"▲ nuevo","="),IF(B6&gt;SUMIFS(Detalle!$H:$H,Detalle!$A:$A,$B$3,Detalle!$B:$B,$A6,Detalle!$D:$D,B$4),"▲",IF(B6&lt;SUMIFS(Detalle!$H:$H,Detalle!$A:$A,$B$3,Detalle!$B:$B,$A6,Detalle!$D:$D,B$4),"▼","="))&amp;" "&amp;TEXT((B6-SUMIFS(Detalle!$H:$H,Detalle!$A:$A,$B$3,Detalle!$B:$B,$A6,Detalle!$D:$D,B$4))/SUMIFS(Detalle!$H:$H,Detalle!$A:$A,$B$3,Detalle!$B:$B,$A6,Detalle!$D:$D,B$4),"0.0%"))</f>
        <v>▲ 0.9%</v>
      </c>
      <c r="D6" s="10">
        <f>SUMIFS(Detalle!$G:$G,Detalle!$A:$A,$B$3,Detalle!$B:$B,$A6,Detalle!$D:$D,D$4)</f>
        <v>3477033.54</v>
      </c>
      <c r="E6" s="11" t="str">
        <f>IF(SUMIFS(Detalle!$H:$H,Detalle!$A:$A,$B$3,Detalle!$B:$B,$A6,Detalle!$D:$D,D$4)&lt;=0,IF(D6&gt;0,"▲ nuevo","="),IF(D6&gt;SUMIFS(Detalle!$H:$H,Detalle!$A:$A,$B$3,Detalle!$B:$B,$A6,Detalle!$D:$D,D$4),"▲",IF(D6&lt;SUMIFS(Detalle!$H:$H,Detalle!$A:$A,$B$3,Detalle!$B:$B,$A6,Detalle!$D:$D,D$4),"▼","="))&amp;" "&amp;TEXT((D6-SUMIFS(Detalle!$H:$H,Detalle!$A:$A,$B$3,Detalle!$B:$B,$A6,Detalle!$D:$D,D$4))/SUMIFS(Detalle!$H:$H,Detalle!$A:$A,$B$3,Detalle!$B:$B,$A6,Detalle!$D:$D,D$4),"0.0%"))</f>
        <v>▲ 7.5%</v>
      </c>
      <c r="F6" s="10">
        <f>SUMIFS(Detalle!$G:$G,Detalle!$A:$A,$B$3,Detalle!$B:$B,$A6,Detalle!$D:$D,F$4)</f>
        <v>4140482.7</v>
      </c>
      <c r="G6" s="11" t="str">
        <f>IF(SUMIFS(Detalle!$H:$H,Detalle!$A:$A,$B$3,Detalle!$B:$B,$A6,Detalle!$D:$D,F$4)&lt;=0,IF(F6&gt;0,"▲ nuevo","="),IF(F6&gt;SUMIFS(Detalle!$H:$H,Detalle!$A:$A,$B$3,Detalle!$B:$B,$A6,Detalle!$D:$D,F$4),"▲",IF(F6&lt;SUMIFS(Detalle!$H:$H,Detalle!$A:$A,$B$3,Detalle!$B:$B,$A6,Detalle!$D:$D,F$4),"▼","="))&amp;" "&amp;TEXT((F6-SUMIFS(Detalle!$H:$H,Detalle!$A:$A,$B$3,Detalle!$B:$B,$A6,Detalle!$D:$D,F$4))/SUMIFS(Detalle!$H:$H,Detalle!$A:$A,$B$3,Detalle!$B:$B,$A6,Detalle!$D:$D,F$4),"0.0%"))</f>
        <v>▲ 19.1%</v>
      </c>
      <c r="H6" s="10">
        <f>SUMIFS(Detalle!$G:$G,Detalle!$A:$A,$B$3,Detalle!$B:$B,$A6,Detalle!$D:$D,H$4)</f>
        <v>3188592.89</v>
      </c>
      <c r="I6" s="11" t="str">
        <f>IF(SUMIFS(Detalle!$H:$H,Detalle!$A:$A,$B$3,Detalle!$B:$B,$A6,Detalle!$D:$D,H$4)&lt;=0,IF(H6&gt;0,"▲ nuevo","="),IF(H6&gt;SUMIFS(Detalle!$H:$H,Detalle!$A:$A,$B$3,Detalle!$B:$B,$A6,Detalle!$D:$D,H$4),"▲",IF(H6&lt;SUMIFS(Detalle!$H:$H,Detalle!$A:$A,$B$3,Detalle!$B:$B,$A6,Detalle!$D:$D,H$4),"▼","="))&amp;" "&amp;TEXT((H6-SUMIFS(Detalle!$H:$H,Detalle!$A:$A,$B$3,Detalle!$B:$B,$A6,Detalle!$D:$D,H$4))/SUMIFS(Detalle!$H:$H,Detalle!$A:$A,$B$3,Detalle!$B:$B,$A6,Detalle!$D:$D,H$4),"0.0%"))</f>
        <v>▼ -23.0%</v>
      </c>
      <c r="J6" s="10">
        <f>SUMIFS(Detalle!$G:$G,Detalle!$A:$A,$B$3,Detalle!$B:$B,$A6,Detalle!$D:$D,J$4)</f>
        <v>3408123.83</v>
      </c>
      <c r="K6" s="11" t="str">
        <f>IF(SUMIFS(Detalle!$H:$H,Detalle!$A:$A,$B$3,Detalle!$B:$B,$A6,Detalle!$D:$D,J$4)&lt;=0,IF(J6&gt;0,"▲ nuevo","="),IF(J6&gt;SUMIFS(Detalle!$H:$H,Detalle!$A:$A,$B$3,Detalle!$B:$B,$A6,Detalle!$D:$D,J$4),"▲",IF(J6&lt;SUMIFS(Detalle!$H:$H,Detalle!$A:$A,$B$3,Detalle!$B:$B,$A6,Detalle!$D:$D,J$4),"▼","="))&amp;" "&amp;TEXT((J6-SUMIFS(Detalle!$H:$H,Detalle!$A:$A,$B$3,Detalle!$B:$B,$A6,Detalle!$D:$D,J$4))/SUMIFS(Detalle!$H:$H,Detalle!$A:$A,$B$3,Detalle!$B:$B,$A6,Detalle!$D:$D,J$4),"0.0%"))</f>
        <v>▲ 6.9%</v>
      </c>
      <c r="L6" s="10">
        <f>SUMIFS(Detalle!$G:$G,Detalle!$A:$A,$B$3,Detalle!$B:$B,$A6,Detalle!$D:$D,L$4)</f>
        <v>3199580.47</v>
      </c>
      <c r="M6" s="11" t="str">
        <f>IF(SUMIFS(Detalle!$H:$H,Detalle!$A:$A,$B$3,Detalle!$B:$B,$A6,Detalle!$D:$D,L$4)&lt;=0,IF(L6&gt;0,"▲ nuevo","="),IF(L6&gt;SUMIFS(Detalle!$H:$H,Detalle!$A:$A,$B$3,Detalle!$B:$B,$A6,Detalle!$D:$D,L$4),"▲",IF(L6&lt;SUMIFS(Detalle!$H:$H,Detalle!$A:$A,$B$3,Detalle!$B:$B,$A6,Detalle!$D:$D,L$4),"▼","="))&amp;" "&amp;TEXT((L6-SUMIFS(Detalle!$H:$H,Detalle!$A:$A,$B$3,Detalle!$B:$B,$A6,Detalle!$D:$D,L$4))/SUMIFS(Detalle!$H:$H,Detalle!$A:$A,$B$3,Detalle!$B:$B,$A6,Detalle!$D:$D,L$4),"0.0%"))</f>
        <v>▼ -6.1%</v>
      </c>
      <c r="N6" s="10">
        <f>SUMIFS(Detalle!$G:$G,Detalle!$A:$A,$B$3,Detalle!$B:$B,$A6,Detalle!$D:$D,N$4)</f>
        <v>3048153.01</v>
      </c>
      <c r="O6" s="11" t="str">
        <f>IF(SUMIFS(Detalle!$H:$H,Detalle!$A:$A,$B$3,Detalle!$B:$B,$A6,Detalle!$D:$D,N$4)&lt;=0,IF(N6&gt;0,"▲ nuevo","="),IF(N6&gt;SUMIFS(Detalle!$H:$H,Detalle!$A:$A,$B$3,Detalle!$B:$B,$A6,Detalle!$D:$D,N$4),"▲",IF(N6&lt;SUMIFS(Detalle!$H:$H,Detalle!$A:$A,$B$3,Detalle!$B:$B,$A6,Detalle!$D:$D,N$4),"▼","="))&amp;" "&amp;TEXT((N6-SUMIFS(Detalle!$H:$H,Detalle!$A:$A,$B$3,Detalle!$B:$B,$A6,Detalle!$D:$D,N$4))/SUMIFS(Detalle!$H:$H,Detalle!$A:$A,$B$3,Detalle!$B:$B,$A6,Detalle!$D:$D,N$4),"0.0%"))</f>
        <v>▼ -4.7%</v>
      </c>
      <c r="P6" s="12">
        <f>SUMIFS(Detalle!$G:$G,Detalle!$A:$A,$B$3,Detalle!$B:$B,$A6,Detalle!$D:$D,P$4)</f>
        <v>3142549.01</v>
      </c>
      <c r="Q6" s="13" t="str">
        <f>IF(SUMIFS(Detalle!$H:$H,Detalle!$A:$A,$B$3,Detalle!$B:$B,$A6,Detalle!$D:$D,P$4)&lt;=0,IF(P6&gt;0,"▲ nuevo","="),IF(P6&gt;SUMIFS(Detalle!$H:$H,Detalle!$A:$A,$B$3,Detalle!$B:$B,$A6,Detalle!$D:$D,P$4),"▲",IF(P6&lt;SUMIFS(Detalle!$H:$H,Detalle!$A:$A,$B$3,Detalle!$B:$B,$A6,Detalle!$D:$D,P$4),"▼","="))&amp;" "&amp;TEXT((P6-SUMIFS(Detalle!$H:$H,Detalle!$A:$A,$B$3,Detalle!$B:$B,$A6,Detalle!$D:$D,P$4))/SUMIFS(Detalle!$H:$H,Detalle!$A:$A,$B$3,Detalle!$B:$B,$A6,Detalle!$D:$D,P$4),"0.0%"))</f>
        <v>▲ 3.1%</v>
      </c>
    </row>
    <row r="7" spans="1:17" x14ac:dyDescent="0.3">
      <c r="A7" s="9" t="s">
        <v>21</v>
      </c>
      <c r="B7" s="10">
        <f>SUMIFS(Detalle!$G:$G,Detalle!$A:$A,$B$3,Detalle!$B:$B,$A7,Detalle!$D:$D,B$4)</f>
        <v>2811391.17</v>
      </c>
      <c r="C7" s="11" t="str">
        <f>IF(SUMIFS(Detalle!$H:$H,Detalle!$A:$A,$B$3,Detalle!$B:$B,$A7,Detalle!$D:$D,B$4)&lt;=0,IF(B7&gt;0,"▲ nuevo","="),IF(B7&gt;SUMIFS(Detalle!$H:$H,Detalle!$A:$A,$B$3,Detalle!$B:$B,$A7,Detalle!$D:$D,B$4),"▲",IF(B7&lt;SUMIFS(Detalle!$H:$H,Detalle!$A:$A,$B$3,Detalle!$B:$B,$A7,Detalle!$D:$D,B$4),"▼","="))&amp;" "&amp;TEXT((B7-SUMIFS(Detalle!$H:$H,Detalle!$A:$A,$B$3,Detalle!$B:$B,$A7,Detalle!$D:$D,B$4))/SUMIFS(Detalle!$H:$H,Detalle!$A:$A,$B$3,Detalle!$B:$B,$A7,Detalle!$D:$D,B$4),"0.0%"))</f>
        <v>▼ -6.9%</v>
      </c>
      <c r="D7" s="10">
        <f>SUMIFS(Detalle!$G:$G,Detalle!$A:$A,$B$3,Detalle!$B:$B,$A7,Detalle!$D:$D,D$4)</f>
        <v>3023329.86</v>
      </c>
      <c r="E7" s="11" t="str">
        <f>IF(SUMIFS(Detalle!$H:$H,Detalle!$A:$A,$B$3,Detalle!$B:$B,$A7,Detalle!$D:$D,D$4)&lt;=0,IF(D7&gt;0,"▲ nuevo","="),IF(D7&gt;SUMIFS(Detalle!$H:$H,Detalle!$A:$A,$B$3,Detalle!$B:$B,$A7,Detalle!$D:$D,D$4),"▲",IF(D7&lt;SUMIFS(Detalle!$H:$H,Detalle!$A:$A,$B$3,Detalle!$B:$B,$A7,Detalle!$D:$D,D$4),"▼","="))&amp;" "&amp;TEXT((D7-SUMIFS(Detalle!$H:$H,Detalle!$A:$A,$B$3,Detalle!$B:$B,$A7,Detalle!$D:$D,D$4))/SUMIFS(Detalle!$H:$H,Detalle!$A:$A,$B$3,Detalle!$B:$B,$A7,Detalle!$D:$D,D$4),"0.0%"))</f>
        <v>▲ 7.5%</v>
      </c>
      <c r="F7" s="10">
        <f>SUMIFS(Detalle!$G:$G,Detalle!$A:$A,$B$3,Detalle!$B:$B,$A7,Detalle!$D:$D,F$4)</f>
        <v>2942853.67</v>
      </c>
      <c r="G7" s="11" t="str">
        <f>IF(SUMIFS(Detalle!$H:$H,Detalle!$A:$A,$B$3,Detalle!$B:$B,$A7,Detalle!$D:$D,F$4)&lt;=0,IF(F7&gt;0,"▲ nuevo","="),IF(F7&gt;SUMIFS(Detalle!$H:$H,Detalle!$A:$A,$B$3,Detalle!$B:$B,$A7,Detalle!$D:$D,F$4),"▲",IF(F7&lt;SUMIFS(Detalle!$H:$H,Detalle!$A:$A,$B$3,Detalle!$B:$B,$A7,Detalle!$D:$D,F$4),"▼","="))&amp;" "&amp;TEXT((F7-SUMIFS(Detalle!$H:$H,Detalle!$A:$A,$B$3,Detalle!$B:$B,$A7,Detalle!$D:$D,F$4))/SUMIFS(Detalle!$H:$H,Detalle!$A:$A,$B$3,Detalle!$B:$B,$A7,Detalle!$D:$D,F$4),"0.0%"))</f>
        <v>▼ -2.7%</v>
      </c>
      <c r="H7" s="10">
        <f>SUMIFS(Detalle!$G:$G,Detalle!$A:$A,$B$3,Detalle!$B:$B,$A7,Detalle!$D:$D,H$4)</f>
        <v>3049844.39</v>
      </c>
      <c r="I7" s="11" t="str">
        <f>IF(SUMIFS(Detalle!$H:$H,Detalle!$A:$A,$B$3,Detalle!$B:$B,$A7,Detalle!$D:$D,H$4)&lt;=0,IF(H7&gt;0,"▲ nuevo","="),IF(H7&gt;SUMIFS(Detalle!$H:$H,Detalle!$A:$A,$B$3,Detalle!$B:$B,$A7,Detalle!$D:$D,H$4),"▲",IF(H7&lt;SUMIFS(Detalle!$H:$H,Detalle!$A:$A,$B$3,Detalle!$B:$B,$A7,Detalle!$D:$D,H$4),"▼","="))&amp;" "&amp;TEXT((H7-SUMIFS(Detalle!$H:$H,Detalle!$A:$A,$B$3,Detalle!$B:$B,$A7,Detalle!$D:$D,H$4))/SUMIFS(Detalle!$H:$H,Detalle!$A:$A,$B$3,Detalle!$B:$B,$A7,Detalle!$D:$D,H$4),"0.0%"))</f>
        <v>▲ 3.6%</v>
      </c>
      <c r="J7" s="10">
        <f>SUMIFS(Detalle!$G:$G,Detalle!$A:$A,$B$3,Detalle!$B:$B,$A7,Detalle!$D:$D,J$4)</f>
        <v>2958436.81</v>
      </c>
      <c r="K7" s="11" t="str">
        <f>IF(SUMIFS(Detalle!$H:$H,Detalle!$A:$A,$B$3,Detalle!$B:$B,$A7,Detalle!$D:$D,J$4)&lt;=0,IF(J7&gt;0,"▲ nuevo","="),IF(J7&gt;SUMIFS(Detalle!$H:$H,Detalle!$A:$A,$B$3,Detalle!$B:$B,$A7,Detalle!$D:$D,J$4),"▲",IF(J7&lt;SUMIFS(Detalle!$H:$H,Detalle!$A:$A,$B$3,Detalle!$B:$B,$A7,Detalle!$D:$D,J$4),"▼","="))&amp;" "&amp;TEXT((J7-SUMIFS(Detalle!$H:$H,Detalle!$A:$A,$B$3,Detalle!$B:$B,$A7,Detalle!$D:$D,J$4))/SUMIFS(Detalle!$H:$H,Detalle!$A:$A,$B$3,Detalle!$B:$B,$A7,Detalle!$D:$D,J$4),"0.0%"))</f>
        <v>▼ -3.0%</v>
      </c>
      <c r="L7" s="10">
        <f>SUMIFS(Detalle!$G:$G,Detalle!$A:$A,$B$3,Detalle!$B:$B,$A7,Detalle!$D:$D,L$4)</f>
        <v>2509319.94</v>
      </c>
      <c r="M7" s="11" t="str">
        <f>IF(SUMIFS(Detalle!$H:$H,Detalle!$A:$A,$B$3,Detalle!$B:$B,$A7,Detalle!$D:$D,L$4)&lt;=0,IF(L7&gt;0,"▲ nuevo","="),IF(L7&gt;SUMIFS(Detalle!$H:$H,Detalle!$A:$A,$B$3,Detalle!$B:$B,$A7,Detalle!$D:$D,L$4),"▲",IF(L7&lt;SUMIFS(Detalle!$H:$H,Detalle!$A:$A,$B$3,Detalle!$B:$B,$A7,Detalle!$D:$D,L$4),"▼","="))&amp;" "&amp;TEXT((L7-SUMIFS(Detalle!$H:$H,Detalle!$A:$A,$B$3,Detalle!$B:$B,$A7,Detalle!$D:$D,L$4))/SUMIFS(Detalle!$H:$H,Detalle!$A:$A,$B$3,Detalle!$B:$B,$A7,Detalle!$D:$D,L$4),"0.0%"))</f>
        <v>▼ -15.2%</v>
      </c>
      <c r="N7" s="10">
        <f>SUMIFS(Detalle!$G:$G,Detalle!$A:$A,$B$3,Detalle!$B:$B,$A7,Detalle!$D:$D,N$4)</f>
        <v>2684801.36</v>
      </c>
      <c r="O7" s="11" t="str">
        <f>IF(SUMIFS(Detalle!$H:$H,Detalle!$A:$A,$B$3,Detalle!$B:$B,$A7,Detalle!$D:$D,N$4)&lt;=0,IF(N7&gt;0,"▲ nuevo","="),IF(N7&gt;SUMIFS(Detalle!$H:$H,Detalle!$A:$A,$B$3,Detalle!$B:$B,$A7,Detalle!$D:$D,N$4),"▲",IF(N7&lt;SUMIFS(Detalle!$H:$H,Detalle!$A:$A,$B$3,Detalle!$B:$B,$A7,Detalle!$D:$D,N$4),"▼","="))&amp;" "&amp;TEXT((N7-SUMIFS(Detalle!$H:$H,Detalle!$A:$A,$B$3,Detalle!$B:$B,$A7,Detalle!$D:$D,N$4))/SUMIFS(Detalle!$H:$H,Detalle!$A:$A,$B$3,Detalle!$B:$B,$A7,Detalle!$D:$D,N$4),"0.0%"))</f>
        <v>▲ 7.0%</v>
      </c>
      <c r="P7" s="12">
        <f>SUMIFS(Detalle!$G:$G,Detalle!$A:$A,$B$3,Detalle!$B:$B,$A7,Detalle!$D:$D,P$4)</f>
        <v>2723462.6399999997</v>
      </c>
      <c r="Q7" s="13" t="str">
        <f>IF(SUMIFS(Detalle!$H:$H,Detalle!$A:$A,$B$3,Detalle!$B:$B,$A7,Detalle!$D:$D,P$4)&lt;=0,IF(P7&gt;0,"▲ nuevo","="),IF(P7&gt;SUMIFS(Detalle!$H:$H,Detalle!$A:$A,$B$3,Detalle!$B:$B,$A7,Detalle!$D:$D,P$4),"▲",IF(P7&lt;SUMIFS(Detalle!$H:$H,Detalle!$A:$A,$B$3,Detalle!$B:$B,$A7,Detalle!$D:$D,P$4),"▼","="))&amp;" "&amp;TEXT((P7-SUMIFS(Detalle!$H:$H,Detalle!$A:$A,$B$3,Detalle!$B:$B,$A7,Detalle!$D:$D,P$4))/SUMIFS(Detalle!$H:$H,Detalle!$A:$A,$B$3,Detalle!$B:$B,$A7,Detalle!$D:$D,P$4),"0.0%"))</f>
        <v>▲ 1.4%</v>
      </c>
    </row>
    <row r="8" spans="1:17" x14ac:dyDescent="0.3">
      <c r="A8" s="9" t="s">
        <v>22</v>
      </c>
      <c r="B8" s="10">
        <f>SUMIFS(Detalle!$G:$G,Detalle!$A:$A,$B$3,Detalle!$B:$B,$A8,Detalle!$D:$D,B$4)</f>
        <v>1872870.77</v>
      </c>
      <c r="C8" s="11" t="str">
        <f>IF(SUMIFS(Detalle!$H:$H,Detalle!$A:$A,$B$3,Detalle!$B:$B,$A8,Detalle!$D:$D,B$4)&lt;=0,IF(B8&gt;0,"▲ nuevo","="),IF(B8&gt;SUMIFS(Detalle!$H:$H,Detalle!$A:$A,$B$3,Detalle!$B:$B,$A8,Detalle!$D:$D,B$4),"▲",IF(B8&lt;SUMIFS(Detalle!$H:$H,Detalle!$A:$A,$B$3,Detalle!$B:$B,$A8,Detalle!$D:$D,B$4),"▼","="))&amp;" "&amp;TEXT((B8-SUMIFS(Detalle!$H:$H,Detalle!$A:$A,$B$3,Detalle!$B:$B,$A8,Detalle!$D:$D,B$4))/SUMIFS(Detalle!$H:$H,Detalle!$A:$A,$B$3,Detalle!$B:$B,$A8,Detalle!$D:$D,B$4),"0.0%"))</f>
        <v>▼ -5.2%</v>
      </c>
      <c r="D8" s="10">
        <f>SUMIFS(Detalle!$G:$G,Detalle!$A:$A,$B$3,Detalle!$B:$B,$A8,Detalle!$D:$D,D$4)</f>
        <v>2122344.4300000002</v>
      </c>
      <c r="E8" s="11" t="str">
        <f>IF(SUMIFS(Detalle!$H:$H,Detalle!$A:$A,$B$3,Detalle!$B:$B,$A8,Detalle!$D:$D,D$4)&lt;=0,IF(D8&gt;0,"▲ nuevo","="),IF(D8&gt;SUMIFS(Detalle!$H:$H,Detalle!$A:$A,$B$3,Detalle!$B:$B,$A8,Detalle!$D:$D,D$4),"▲",IF(D8&lt;SUMIFS(Detalle!$H:$H,Detalle!$A:$A,$B$3,Detalle!$B:$B,$A8,Detalle!$D:$D,D$4),"▼","="))&amp;" "&amp;TEXT((D8-SUMIFS(Detalle!$H:$H,Detalle!$A:$A,$B$3,Detalle!$B:$B,$A8,Detalle!$D:$D,D$4))/SUMIFS(Detalle!$H:$H,Detalle!$A:$A,$B$3,Detalle!$B:$B,$A8,Detalle!$D:$D,D$4),"0.0%"))</f>
        <v>▲ 13.3%</v>
      </c>
      <c r="F8" s="10">
        <f>SUMIFS(Detalle!$G:$G,Detalle!$A:$A,$B$3,Detalle!$B:$B,$A8,Detalle!$D:$D,F$4)</f>
        <v>2234177.58</v>
      </c>
      <c r="G8" s="11" t="str">
        <f>IF(SUMIFS(Detalle!$H:$H,Detalle!$A:$A,$B$3,Detalle!$B:$B,$A8,Detalle!$D:$D,F$4)&lt;=0,IF(F8&gt;0,"▲ nuevo","="),IF(F8&gt;SUMIFS(Detalle!$H:$H,Detalle!$A:$A,$B$3,Detalle!$B:$B,$A8,Detalle!$D:$D,F$4),"▲",IF(F8&lt;SUMIFS(Detalle!$H:$H,Detalle!$A:$A,$B$3,Detalle!$B:$B,$A8,Detalle!$D:$D,F$4),"▼","="))&amp;" "&amp;TEXT((F8-SUMIFS(Detalle!$H:$H,Detalle!$A:$A,$B$3,Detalle!$B:$B,$A8,Detalle!$D:$D,F$4))/SUMIFS(Detalle!$H:$H,Detalle!$A:$A,$B$3,Detalle!$B:$B,$A8,Detalle!$D:$D,F$4),"0.0%"))</f>
        <v>▲ 5.3%</v>
      </c>
      <c r="H8" s="10">
        <f>SUMIFS(Detalle!$G:$G,Detalle!$A:$A,$B$3,Detalle!$B:$B,$A8,Detalle!$D:$D,H$4)</f>
        <v>2145553.7400000002</v>
      </c>
      <c r="I8" s="11" t="str">
        <f>IF(SUMIFS(Detalle!$H:$H,Detalle!$A:$A,$B$3,Detalle!$B:$B,$A8,Detalle!$D:$D,H$4)&lt;=0,IF(H8&gt;0,"▲ nuevo","="),IF(H8&gt;SUMIFS(Detalle!$H:$H,Detalle!$A:$A,$B$3,Detalle!$B:$B,$A8,Detalle!$D:$D,H$4),"▲",IF(H8&lt;SUMIFS(Detalle!$H:$H,Detalle!$A:$A,$B$3,Detalle!$B:$B,$A8,Detalle!$D:$D,H$4),"▼","="))&amp;" "&amp;TEXT((H8-SUMIFS(Detalle!$H:$H,Detalle!$A:$A,$B$3,Detalle!$B:$B,$A8,Detalle!$D:$D,H$4))/SUMIFS(Detalle!$H:$H,Detalle!$A:$A,$B$3,Detalle!$B:$B,$A8,Detalle!$D:$D,H$4),"0.0%"))</f>
        <v>▼ -4.0%</v>
      </c>
      <c r="J8" s="10">
        <f>SUMIFS(Detalle!$G:$G,Detalle!$A:$A,$B$3,Detalle!$B:$B,$A8,Detalle!$D:$D,J$4)</f>
        <v>2180763.4900000002</v>
      </c>
      <c r="K8" s="11" t="str">
        <f>IF(SUMIFS(Detalle!$H:$H,Detalle!$A:$A,$B$3,Detalle!$B:$B,$A8,Detalle!$D:$D,J$4)&lt;=0,IF(J8&gt;0,"▲ nuevo","="),IF(J8&gt;SUMIFS(Detalle!$H:$H,Detalle!$A:$A,$B$3,Detalle!$B:$B,$A8,Detalle!$D:$D,J$4),"▲",IF(J8&lt;SUMIFS(Detalle!$H:$H,Detalle!$A:$A,$B$3,Detalle!$B:$B,$A8,Detalle!$D:$D,J$4),"▼","="))&amp;" "&amp;TEXT((J8-SUMIFS(Detalle!$H:$H,Detalle!$A:$A,$B$3,Detalle!$B:$B,$A8,Detalle!$D:$D,J$4))/SUMIFS(Detalle!$H:$H,Detalle!$A:$A,$B$3,Detalle!$B:$B,$A8,Detalle!$D:$D,J$4),"0.0%"))</f>
        <v>▲ 1.6%</v>
      </c>
      <c r="L8" s="10">
        <f>SUMIFS(Detalle!$G:$G,Detalle!$A:$A,$B$3,Detalle!$B:$B,$A8,Detalle!$D:$D,L$4)</f>
        <v>2048327.53</v>
      </c>
      <c r="M8" s="11" t="str">
        <f>IF(SUMIFS(Detalle!$H:$H,Detalle!$A:$A,$B$3,Detalle!$B:$B,$A8,Detalle!$D:$D,L$4)&lt;=0,IF(L8&gt;0,"▲ nuevo","="),IF(L8&gt;SUMIFS(Detalle!$H:$H,Detalle!$A:$A,$B$3,Detalle!$B:$B,$A8,Detalle!$D:$D,L$4),"▲",IF(L8&lt;SUMIFS(Detalle!$H:$H,Detalle!$A:$A,$B$3,Detalle!$B:$B,$A8,Detalle!$D:$D,L$4),"▼","="))&amp;" "&amp;TEXT((L8-SUMIFS(Detalle!$H:$H,Detalle!$A:$A,$B$3,Detalle!$B:$B,$A8,Detalle!$D:$D,L$4))/SUMIFS(Detalle!$H:$H,Detalle!$A:$A,$B$3,Detalle!$B:$B,$A8,Detalle!$D:$D,L$4),"0.0%"))</f>
        <v>▼ -6.1%</v>
      </c>
      <c r="N8" s="10">
        <f>SUMIFS(Detalle!$G:$G,Detalle!$A:$A,$B$3,Detalle!$B:$B,$A8,Detalle!$D:$D,N$4)</f>
        <v>2077098.23</v>
      </c>
      <c r="O8" s="11" t="str">
        <f>IF(SUMIFS(Detalle!$H:$H,Detalle!$A:$A,$B$3,Detalle!$B:$B,$A8,Detalle!$D:$D,N$4)&lt;=0,IF(N8&gt;0,"▲ nuevo","="),IF(N8&gt;SUMIFS(Detalle!$H:$H,Detalle!$A:$A,$B$3,Detalle!$B:$B,$A8,Detalle!$D:$D,N$4),"▲",IF(N8&lt;SUMIFS(Detalle!$H:$H,Detalle!$A:$A,$B$3,Detalle!$B:$B,$A8,Detalle!$D:$D,N$4),"▼","="))&amp;" "&amp;TEXT((N8-SUMIFS(Detalle!$H:$H,Detalle!$A:$A,$B$3,Detalle!$B:$B,$A8,Detalle!$D:$D,N$4))/SUMIFS(Detalle!$H:$H,Detalle!$A:$A,$B$3,Detalle!$B:$B,$A8,Detalle!$D:$D,N$4),"0.0%"))</f>
        <v>▲ 1.4%</v>
      </c>
      <c r="P8" s="12">
        <f>SUMIFS(Detalle!$G:$G,Detalle!$A:$A,$B$3,Detalle!$B:$B,$A8,Detalle!$D:$D,P$4)</f>
        <v>2048504.7599999998</v>
      </c>
      <c r="Q8" s="13" t="str">
        <f>IF(SUMIFS(Detalle!$H:$H,Detalle!$A:$A,$B$3,Detalle!$B:$B,$A8,Detalle!$D:$D,P$4)&lt;=0,IF(P8&gt;0,"▲ nuevo","="),IF(P8&gt;SUMIFS(Detalle!$H:$H,Detalle!$A:$A,$B$3,Detalle!$B:$B,$A8,Detalle!$D:$D,P$4),"▲",IF(P8&lt;SUMIFS(Detalle!$H:$H,Detalle!$A:$A,$B$3,Detalle!$B:$B,$A8,Detalle!$D:$D,P$4),"▼","="))&amp;" "&amp;TEXT((P8-SUMIFS(Detalle!$H:$H,Detalle!$A:$A,$B$3,Detalle!$B:$B,$A8,Detalle!$D:$D,P$4))/SUMIFS(Detalle!$H:$H,Detalle!$A:$A,$B$3,Detalle!$B:$B,$A8,Detalle!$D:$D,P$4),"0.0%"))</f>
        <v>▼ -1.4%</v>
      </c>
    </row>
    <row r="9" spans="1:17" x14ac:dyDescent="0.3">
      <c r="A9" s="9" t="s">
        <v>23</v>
      </c>
      <c r="B9" s="10">
        <f>SUMIFS(Detalle!$G:$G,Detalle!$A:$A,$B$3,Detalle!$B:$B,$A9,Detalle!$D:$D,B$4)</f>
        <v>1298175.28</v>
      </c>
      <c r="C9" s="11" t="str">
        <f>IF(SUMIFS(Detalle!$H:$H,Detalle!$A:$A,$B$3,Detalle!$B:$B,$A9,Detalle!$D:$D,B$4)&lt;=0,IF(B9&gt;0,"▲ nuevo","="),IF(B9&gt;SUMIFS(Detalle!$H:$H,Detalle!$A:$A,$B$3,Detalle!$B:$B,$A9,Detalle!$D:$D,B$4),"▲",IF(B9&lt;SUMIFS(Detalle!$H:$H,Detalle!$A:$A,$B$3,Detalle!$B:$B,$A9,Detalle!$D:$D,B$4),"▼","="))&amp;" "&amp;TEXT((B9-SUMIFS(Detalle!$H:$H,Detalle!$A:$A,$B$3,Detalle!$B:$B,$A9,Detalle!$D:$D,B$4))/SUMIFS(Detalle!$H:$H,Detalle!$A:$A,$B$3,Detalle!$B:$B,$A9,Detalle!$D:$D,B$4),"0.0%"))</f>
        <v>▲ 0.5%</v>
      </c>
      <c r="D9" s="10">
        <f>SUMIFS(Detalle!$G:$G,Detalle!$A:$A,$B$3,Detalle!$B:$B,$A9,Detalle!$D:$D,D$4)</f>
        <v>1188190.54</v>
      </c>
      <c r="E9" s="11" t="str">
        <f>IF(SUMIFS(Detalle!$H:$H,Detalle!$A:$A,$B$3,Detalle!$B:$B,$A9,Detalle!$D:$D,D$4)&lt;=0,IF(D9&gt;0,"▲ nuevo","="),IF(D9&gt;SUMIFS(Detalle!$H:$H,Detalle!$A:$A,$B$3,Detalle!$B:$B,$A9,Detalle!$D:$D,D$4),"▲",IF(D9&lt;SUMIFS(Detalle!$H:$H,Detalle!$A:$A,$B$3,Detalle!$B:$B,$A9,Detalle!$D:$D,D$4),"▼","="))&amp;" "&amp;TEXT((D9-SUMIFS(Detalle!$H:$H,Detalle!$A:$A,$B$3,Detalle!$B:$B,$A9,Detalle!$D:$D,D$4))/SUMIFS(Detalle!$H:$H,Detalle!$A:$A,$B$3,Detalle!$B:$B,$A9,Detalle!$D:$D,D$4),"0.0%"))</f>
        <v>▼ -8.5%</v>
      </c>
      <c r="F9" s="10">
        <f>SUMIFS(Detalle!$G:$G,Detalle!$A:$A,$B$3,Detalle!$B:$B,$A9,Detalle!$D:$D,F$4)</f>
        <v>1516934.89</v>
      </c>
      <c r="G9" s="11" t="str">
        <f>IF(SUMIFS(Detalle!$H:$H,Detalle!$A:$A,$B$3,Detalle!$B:$B,$A9,Detalle!$D:$D,F$4)&lt;=0,IF(F9&gt;0,"▲ nuevo","="),IF(F9&gt;SUMIFS(Detalle!$H:$H,Detalle!$A:$A,$B$3,Detalle!$B:$B,$A9,Detalle!$D:$D,F$4),"▲",IF(F9&lt;SUMIFS(Detalle!$H:$H,Detalle!$A:$A,$B$3,Detalle!$B:$B,$A9,Detalle!$D:$D,F$4),"▼","="))&amp;" "&amp;TEXT((F9-SUMIFS(Detalle!$H:$H,Detalle!$A:$A,$B$3,Detalle!$B:$B,$A9,Detalle!$D:$D,F$4))/SUMIFS(Detalle!$H:$H,Detalle!$A:$A,$B$3,Detalle!$B:$B,$A9,Detalle!$D:$D,F$4),"0.0%"))</f>
        <v>▲ 27.7%</v>
      </c>
      <c r="H9" s="10">
        <f>SUMIFS(Detalle!$G:$G,Detalle!$A:$A,$B$3,Detalle!$B:$B,$A9,Detalle!$D:$D,H$4)</f>
        <v>1330074.82</v>
      </c>
      <c r="I9" s="11" t="str">
        <f>IF(SUMIFS(Detalle!$H:$H,Detalle!$A:$A,$B$3,Detalle!$B:$B,$A9,Detalle!$D:$D,H$4)&lt;=0,IF(H9&gt;0,"▲ nuevo","="),IF(H9&gt;SUMIFS(Detalle!$H:$H,Detalle!$A:$A,$B$3,Detalle!$B:$B,$A9,Detalle!$D:$D,H$4),"▲",IF(H9&lt;SUMIFS(Detalle!$H:$H,Detalle!$A:$A,$B$3,Detalle!$B:$B,$A9,Detalle!$D:$D,H$4),"▼","="))&amp;" "&amp;TEXT((H9-SUMIFS(Detalle!$H:$H,Detalle!$A:$A,$B$3,Detalle!$B:$B,$A9,Detalle!$D:$D,H$4))/SUMIFS(Detalle!$H:$H,Detalle!$A:$A,$B$3,Detalle!$B:$B,$A9,Detalle!$D:$D,H$4),"0.0%"))</f>
        <v>▼ -12.3%</v>
      </c>
      <c r="J9" s="10">
        <f>SUMIFS(Detalle!$G:$G,Detalle!$A:$A,$B$3,Detalle!$B:$B,$A9,Detalle!$D:$D,J$4)</f>
        <v>1488330.99</v>
      </c>
      <c r="K9" s="11" t="str">
        <f>IF(SUMIFS(Detalle!$H:$H,Detalle!$A:$A,$B$3,Detalle!$B:$B,$A9,Detalle!$D:$D,J$4)&lt;=0,IF(J9&gt;0,"▲ nuevo","="),IF(J9&gt;SUMIFS(Detalle!$H:$H,Detalle!$A:$A,$B$3,Detalle!$B:$B,$A9,Detalle!$D:$D,J$4),"▲",IF(J9&lt;SUMIFS(Detalle!$H:$H,Detalle!$A:$A,$B$3,Detalle!$B:$B,$A9,Detalle!$D:$D,J$4),"▼","="))&amp;" "&amp;TEXT((J9-SUMIFS(Detalle!$H:$H,Detalle!$A:$A,$B$3,Detalle!$B:$B,$A9,Detalle!$D:$D,J$4))/SUMIFS(Detalle!$H:$H,Detalle!$A:$A,$B$3,Detalle!$B:$B,$A9,Detalle!$D:$D,J$4),"0.0%"))</f>
        <v>▲ 11.9%</v>
      </c>
      <c r="L9" s="10">
        <f>SUMIFS(Detalle!$G:$G,Detalle!$A:$A,$B$3,Detalle!$B:$B,$A9,Detalle!$D:$D,L$4)</f>
        <v>1463815.47</v>
      </c>
      <c r="M9" s="11" t="str">
        <f>IF(SUMIFS(Detalle!$H:$H,Detalle!$A:$A,$B$3,Detalle!$B:$B,$A9,Detalle!$D:$D,L$4)&lt;=0,IF(L9&gt;0,"▲ nuevo","="),IF(L9&gt;SUMIFS(Detalle!$H:$H,Detalle!$A:$A,$B$3,Detalle!$B:$B,$A9,Detalle!$D:$D,L$4),"▲",IF(L9&lt;SUMIFS(Detalle!$H:$H,Detalle!$A:$A,$B$3,Detalle!$B:$B,$A9,Detalle!$D:$D,L$4),"▼","="))&amp;" "&amp;TEXT((L9-SUMIFS(Detalle!$H:$H,Detalle!$A:$A,$B$3,Detalle!$B:$B,$A9,Detalle!$D:$D,L$4))/SUMIFS(Detalle!$H:$H,Detalle!$A:$A,$B$3,Detalle!$B:$B,$A9,Detalle!$D:$D,L$4),"0.0%"))</f>
        <v>▼ -1.6%</v>
      </c>
      <c r="N9" s="10">
        <f>SUMIFS(Detalle!$G:$G,Detalle!$A:$A,$B$3,Detalle!$B:$B,$A9,Detalle!$D:$D,N$4)</f>
        <v>1247876.3700000001</v>
      </c>
      <c r="O9" s="11" t="str">
        <f>IF(SUMIFS(Detalle!$H:$H,Detalle!$A:$A,$B$3,Detalle!$B:$B,$A9,Detalle!$D:$D,N$4)&lt;=0,IF(N9&gt;0,"▲ nuevo","="),IF(N9&gt;SUMIFS(Detalle!$H:$H,Detalle!$A:$A,$B$3,Detalle!$B:$B,$A9,Detalle!$D:$D,N$4),"▲",IF(N9&lt;SUMIFS(Detalle!$H:$H,Detalle!$A:$A,$B$3,Detalle!$B:$B,$A9,Detalle!$D:$D,N$4),"▼","="))&amp;" "&amp;TEXT((N9-SUMIFS(Detalle!$H:$H,Detalle!$A:$A,$B$3,Detalle!$B:$B,$A9,Detalle!$D:$D,N$4))/SUMIFS(Detalle!$H:$H,Detalle!$A:$A,$B$3,Detalle!$B:$B,$A9,Detalle!$D:$D,N$4),"0.0%"))</f>
        <v>▼ -14.8%</v>
      </c>
      <c r="P9" s="12">
        <f>SUMIFS(Detalle!$G:$G,Detalle!$A:$A,$B$3,Detalle!$B:$B,$A9,Detalle!$D:$D,P$4)</f>
        <v>1308213.3400000001</v>
      </c>
      <c r="Q9" s="13" t="str">
        <f>IF(SUMIFS(Detalle!$H:$H,Detalle!$A:$A,$B$3,Detalle!$B:$B,$A9,Detalle!$D:$D,P$4)&lt;=0,IF(P9&gt;0,"▲ nuevo","="),IF(P9&gt;SUMIFS(Detalle!$H:$H,Detalle!$A:$A,$B$3,Detalle!$B:$B,$A9,Detalle!$D:$D,P$4),"▲",IF(P9&lt;SUMIFS(Detalle!$H:$H,Detalle!$A:$A,$B$3,Detalle!$B:$B,$A9,Detalle!$D:$D,P$4),"▼","="))&amp;" "&amp;TEXT((P9-SUMIFS(Detalle!$H:$H,Detalle!$A:$A,$B$3,Detalle!$B:$B,$A9,Detalle!$D:$D,P$4))/SUMIFS(Detalle!$H:$H,Detalle!$A:$A,$B$3,Detalle!$B:$B,$A9,Detalle!$D:$D,P$4),"0.0%"))</f>
        <v>▲ 4.8%</v>
      </c>
    </row>
    <row r="10" spans="1:17" x14ac:dyDescent="0.3">
      <c r="A10" s="9" t="s">
        <v>24</v>
      </c>
      <c r="B10" s="10">
        <f>SUMIFS(Detalle!$G:$G,Detalle!$A:$A,$B$3,Detalle!$B:$B,$A10,Detalle!$D:$D,B$4)</f>
        <v>1008709.61</v>
      </c>
      <c r="C10" s="11" t="str">
        <f>IF(SUMIFS(Detalle!$H:$H,Detalle!$A:$A,$B$3,Detalle!$B:$B,$A10,Detalle!$D:$D,B$4)&lt;=0,IF(B10&gt;0,"▲ nuevo","="),IF(B10&gt;SUMIFS(Detalle!$H:$H,Detalle!$A:$A,$B$3,Detalle!$B:$B,$A10,Detalle!$D:$D,B$4),"▲",IF(B10&lt;SUMIFS(Detalle!$H:$H,Detalle!$A:$A,$B$3,Detalle!$B:$B,$A10,Detalle!$D:$D,B$4),"▼","="))&amp;" "&amp;TEXT((B10-SUMIFS(Detalle!$H:$H,Detalle!$A:$A,$B$3,Detalle!$B:$B,$A10,Detalle!$D:$D,B$4))/SUMIFS(Detalle!$H:$H,Detalle!$A:$A,$B$3,Detalle!$B:$B,$A10,Detalle!$D:$D,B$4),"0.0%"))</f>
        <v>▼ -2.6%</v>
      </c>
      <c r="D10" s="10">
        <f>SUMIFS(Detalle!$G:$G,Detalle!$A:$A,$B$3,Detalle!$B:$B,$A10,Detalle!$D:$D,D$4)</f>
        <v>977627.2</v>
      </c>
      <c r="E10" s="11" t="str">
        <f>IF(SUMIFS(Detalle!$H:$H,Detalle!$A:$A,$B$3,Detalle!$B:$B,$A10,Detalle!$D:$D,D$4)&lt;=0,IF(D10&gt;0,"▲ nuevo","="),IF(D10&gt;SUMIFS(Detalle!$H:$H,Detalle!$A:$A,$B$3,Detalle!$B:$B,$A10,Detalle!$D:$D,D$4),"▲",IF(D10&lt;SUMIFS(Detalle!$H:$H,Detalle!$A:$A,$B$3,Detalle!$B:$B,$A10,Detalle!$D:$D,D$4),"▼","="))&amp;" "&amp;TEXT((D10-SUMIFS(Detalle!$H:$H,Detalle!$A:$A,$B$3,Detalle!$B:$B,$A10,Detalle!$D:$D,D$4))/SUMIFS(Detalle!$H:$H,Detalle!$A:$A,$B$3,Detalle!$B:$B,$A10,Detalle!$D:$D,D$4),"0.0%"))</f>
        <v>▼ -3.1%</v>
      </c>
      <c r="F10" s="10">
        <f>SUMIFS(Detalle!$G:$G,Detalle!$A:$A,$B$3,Detalle!$B:$B,$A10,Detalle!$D:$D,F$4)</f>
        <v>1181904.7</v>
      </c>
      <c r="G10" s="11" t="str">
        <f>IF(SUMIFS(Detalle!$H:$H,Detalle!$A:$A,$B$3,Detalle!$B:$B,$A10,Detalle!$D:$D,F$4)&lt;=0,IF(F10&gt;0,"▲ nuevo","="),IF(F10&gt;SUMIFS(Detalle!$H:$H,Detalle!$A:$A,$B$3,Detalle!$B:$B,$A10,Detalle!$D:$D,F$4),"▲",IF(F10&lt;SUMIFS(Detalle!$H:$H,Detalle!$A:$A,$B$3,Detalle!$B:$B,$A10,Detalle!$D:$D,F$4),"▼","="))&amp;" "&amp;TEXT((F10-SUMIFS(Detalle!$H:$H,Detalle!$A:$A,$B$3,Detalle!$B:$B,$A10,Detalle!$D:$D,F$4))/SUMIFS(Detalle!$H:$H,Detalle!$A:$A,$B$3,Detalle!$B:$B,$A10,Detalle!$D:$D,F$4),"0.0%"))</f>
        <v>▲ 20.9%</v>
      </c>
      <c r="H10" s="10">
        <f>SUMIFS(Detalle!$G:$G,Detalle!$A:$A,$B$3,Detalle!$B:$B,$A10,Detalle!$D:$D,H$4)</f>
        <v>1060551.19</v>
      </c>
      <c r="I10" s="11" t="str">
        <f>IF(SUMIFS(Detalle!$H:$H,Detalle!$A:$A,$B$3,Detalle!$B:$B,$A10,Detalle!$D:$D,H$4)&lt;=0,IF(H10&gt;0,"▲ nuevo","="),IF(H10&gt;SUMIFS(Detalle!$H:$H,Detalle!$A:$A,$B$3,Detalle!$B:$B,$A10,Detalle!$D:$D,H$4),"▲",IF(H10&lt;SUMIFS(Detalle!$H:$H,Detalle!$A:$A,$B$3,Detalle!$B:$B,$A10,Detalle!$D:$D,H$4),"▼","="))&amp;" "&amp;TEXT((H10-SUMIFS(Detalle!$H:$H,Detalle!$A:$A,$B$3,Detalle!$B:$B,$A10,Detalle!$D:$D,H$4))/SUMIFS(Detalle!$H:$H,Detalle!$A:$A,$B$3,Detalle!$B:$B,$A10,Detalle!$D:$D,H$4),"0.0%"))</f>
        <v>▼ -10.3%</v>
      </c>
      <c r="J10" s="10">
        <f>SUMIFS(Detalle!$G:$G,Detalle!$A:$A,$B$3,Detalle!$B:$B,$A10,Detalle!$D:$D,J$4)</f>
        <v>1223088.05</v>
      </c>
      <c r="K10" s="11" t="str">
        <f>IF(SUMIFS(Detalle!$H:$H,Detalle!$A:$A,$B$3,Detalle!$B:$B,$A10,Detalle!$D:$D,J$4)&lt;=0,IF(J10&gt;0,"▲ nuevo","="),IF(J10&gt;SUMIFS(Detalle!$H:$H,Detalle!$A:$A,$B$3,Detalle!$B:$B,$A10,Detalle!$D:$D,J$4),"▲",IF(J10&lt;SUMIFS(Detalle!$H:$H,Detalle!$A:$A,$B$3,Detalle!$B:$B,$A10,Detalle!$D:$D,J$4),"▼","="))&amp;" "&amp;TEXT((J10-SUMIFS(Detalle!$H:$H,Detalle!$A:$A,$B$3,Detalle!$B:$B,$A10,Detalle!$D:$D,J$4))/SUMIFS(Detalle!$H:$H,Detalle!$A:$A,$B$3,Detalle!$B:$B,$A10,Detalle!$D:$D,J$4),"0.0%"))</f>
        <v>▲ 15.3%</v>
      </c>
      <c r="L10" s="10">
        <f>SUMIFS(Detalle!$G:$G,Detalle!$A:$A,$B$3,Detalle!$B:$B,$A10,Detalle!$D:$D,L$4)</f>
        <v>1098779.1599999999</v>
      </c>
      <c r="M10" s="11" t="str">
        <f>IF(SUMIFS(Detalle!$H:$H,Detalle!$A:$A,$B$3,Detalle!$B:$B,$A10,Detalle!$D:$D,L$4)&lt;=0,IF(L10&gt;0,"▲ nuevo","="),IF(L10&gt;SUMIFS(Detalle!$H:$H,Detalle!$A:$A,$B$3,Detalle!$B:$B,$A10,Detalle!$D:$D,L$4),"▲",IF(L10&lt;SUMIFS(Detalle!$H:$H,Detalle!$A:$A,$B$3,Detalle!$B:$B,$A10,Detalle!$D:$D,L$4),"▼","="))&amp;" "&amp;TEXT((L10-SUMIFS(Detalle!$H:$H,Detalle!$A:$A,$B$3,Detalle!$B:$B,$A10,Detalle!$D:$D,L$4))/SUMIFS(Detalle!$H:$H,Detalle!$A:$A,$B$3,Detalle!$B:$B,$A10,Detalle!$D:$D,L$4),"0.0%"))</f>
        <v>▼ -10.2%</v>
      </c>
      <c r="N10" s="10">
        <f>SUMIFS(Detalle!$G:$G,Detalle!$A:$A,$B$3,Detalle!$B:$B,$A10,Detalle!$D:$D,N$4)</f>
        <v>1141700.07</v>
      </c>
      <c r="O10" s="11" t="str">
        <f>IF(SUMIFS(Detalle!$H:$H,Detalle!$A:$A,$B$3,Detalle!$B:$B,$A10,Detalle!$D:$D,N$4)&lt;=0,IF(N10&gt;0,"▲ nuevo","="),IF(N10&gt;SUMIFS(Detalle!$H:$H,Detalle!$A:$A,$B$3,Detalle!$B:$B,$A10,Detalle!$D:$D,N$4),"▲",IF(N10&lt;SUMIFS(Detalle!$H:$H,Detalle!$A:$A,$B$3,Detalle!$B:$B,$A10,Detalle!$D:$D,N$4),"▼","="))&amp;" "&amp;TEXT((N10-SUMIFS(Detalle!$H:$H,Detalle!$A:$A,$B$3,Detalle!$B:$B,$A10,Detalle!$D:$D,N$4))/SUMIFS(Detalle!$H:$H,Detalle!$A:$A,$B$3,Detalle!$B:$B,$A10,Detalle!$D:$D,N$4),"0.0%"))</f>
        <v>▲ 3.9%</v>
      </c>
      <c r="P10" s="12">
        <f>SUMIFS(Detalle!$G:$G,Detalle!$A:$A,$B$3,Detalle!$B:$B,$A10,Detalle!$D:$D,P$4)</f>
        <v>1121146.1000000001</v>
      </c>
      <c r="Q10" s="13" t="str">
        <f>IF(SUMIFS(Detalle!$H:$H,Detalle!$A:$A,$B$3,Detalle!$B:$B,$A10,Detalle!$D:$D,P$4)&lt;=0,IF(P10&gt;0,"▲ nuevo","="),IF(P10&gt;SUMIFS(Detalle!$H:$H,Detalle!$A:$A,$B$3,Detalle!$B:$B,$A10,Detalle!$D:$D,P$4),"▲",IF(P10&lt;SUMIFS(Detalle!$H:$H,Detalle!$A:$A,$B$3,Detalle!$B:$B,$A10,Detalle!$D:$D,P$4),"▼","="))&amp;" "&amp;TEXT((P10-SUMIFS(Detalle!$H:$H,Detalle!$A:$A,$B$3,Detalle!$B:$B,$A10,Detalle!$D:$D,P$4))/SUMIFS(Detalle!$H:$H,Detalle!$A:$A,$B$3,Detalle!$B:$B,$A10,Detalle!$D:$D,P$4),"0.0%"))</f>
        <v>▼ -1.8%</v>
      </c>
    </row>
    <row r="11" spans="1:17" x14ac:dyDescent="0.3">
      <c r="A11" s="9" t="s">
        <v>25</v>
      </c>
      <c r="B11" s="10">
        <f>SUMIFS(Detalle!$G:$G,Detalle!$A:$A,$B$3,Detalle!$B:$B,$A11,Detalle!$D:$D,B$4)</f>
        <v>914462.93</v>
      </c>
      <c r="C11" s="11" t="str">
        <f>IF(SUMIFS(Detalle!$H:$H,Detalle!$A:$A,$B$3,Detalle!$B:$B,$A11,Detalle!$D:$D,B$4)&lt;=0,IF(B11&gt;0,"▲ nuevo","="),IF(B11&gt;SUMIFS(Detalle!$H:$H,Detalle!$A:$A,$B$3,Detalle!$B:$B,$A11,Detalle!$D:$D,B$4),"▲",IF(B11&lt;SUMIFS(Detalle!$H:$H,Detalle!$A:$A,$B$3,Detalle!$B:$B,$A11,Detalle!$D:$D,B$4),"▼","="))&amp;" "&amp;TEXT((B11-SUMIFS(Detalle!$H:$H,Detalle!$A:$A,$B$3,Detalle!$B:$B,$A11,Detalle!$D:$D,B$4))/SUMIFS(Detalle!$H:$H,Detalle!$A:$A,$B$3,Detalle!$B:$B,$A11,Detalle!$D:$D,B$4),"0.0%"))</f>
        <v>▼ -6.8%</v>
      </c>
      <c r="D11" s="10">
        <f>SUMIFS(Detalle!$G:$G,Detalle!$A:$A,$B$3,Detalle!$B:$B,$A11,Detalle!$D:$D,D$4)</f>
        <v>1003470.91</v>
      </c>
      <c r="E11" s="11" t="str">
        <f>IF(SUMIFS(Detalle!$H:$H,Detalle!$A:$A,$B$3,Detalle!$B:$B,$A11,Detalle!$D:$D,D$4)&lt;=0,IF(D11&gt;0,"▲ nuevo","="),IF(D11&gt;SUMIFS(Detalle!$H:$H,Detalle!$A:$A,$B$3,Detalle!$B:$B,$A11,Detalle!$D:$D,D$4),"▲",IF(D11&lt;SUMIFS(Detalle!$H:$H,Detalle!$A:$A,$B$3,Detalle!$B:$B,$A11,Detalle!$D:$D,D$4),"▼","="))&amp;" "&amp;TEXT((D11-SUMIFS(Detalle!$H:$H,Detalle!$A:$A,$B$3,Detalle!$B:$B,$A11,Detalle!$D:$D,D$4))/SUMIFS(Detalle!$H:$H,Detalle!$A:$A,$B$3,Detalle!$B:$B,$A11,Detalle!$D:$D,D$4),"0.0%"))</f>
        <v>▲ 9.7%</v>
      </c>
      <c r="F11" s="10">
        <f>SUMIFS(Detalle!$G:$G,Detalle!$A:$A,$B$3,Detalle!$B:$B,$A11,Detalle!$D:$D,F$4)</f>
        <v>1019085.52</v>
      </c>
      <c r="G11" s="11" t="str">
        <f>IF(SUMIFS(Detalle!$H:$H,Detalle!$A:$A,$B$3,Detalle!$B:$B,$A11,Detalle!$D:$D,F$4)&lt;=0,IF(F11&gt;0,"▲ nuevo","="),IF(F11&gt;SUMIFS(Detalle!$H:$H,Detalle!$A:$A,$B$3,Detalle!$B:$B,$A11,Detalle!$D:$D,F$4),"▲",IF(F11&lt;SUMIFS(Detalle!$H:$H,Detalle!$A:$A,$B$3,Detalle!$B:$B,$A11,Detalle!$D:$D,F$4),"▼","="))&amp;" "&amp;TEXT((F11-SUMIFS(Detalle!$H:$H,Detalle!$A:$A,$B$3,Detalle!$B:$B,$A11,Detalle!$D:$D,F$4))/SUMIFS(Detalle!$H:$H,Detalle!$A:$A,$B$3,Detalle!$B:$B,$A11,Detalle!$D:$D,F$4),"0.0%"))</f>
        <v>▲ 1.6%</v>
      </c>
      <c r="H11" s="10">
        <f>SUMIFS(Detalle!$G:$G,Detalle!$A:$A,$B$3,Detalle!$B:$B,$A11,Detalle!$D:$D,H$4)</f>
        <v>1007041.12</v>
      </c>
      <c r="I11" s="11" t="str">
        <f>IF(SUMIFS(Detalle!$H:$H,Detalle!$A:$A,$B$3,Detalle!$B:$B,$A11,Detalle!$D:$D,H$4)&lt;=0,IF(H11&gt;0,"▲ nuevo","="),IF(H11&gt;SUMIFS(Detalle!$H:$H,Detalle!$A:$A,$B$3,Detalle!$B:$B,$A11,Detalle!$D:$D,H$4),"▲",IF(H11&lt;SUMIFS(Detalle!$H:$H,Detalle!$A:$A,$B$3,Detalle!$B:$B,$A11,Detalle!$D:$D,H$4),"▼","="))&amp;" "&amp;TEXT((H11-SUMIFS(Detalle!$H:$H,Detalle!$A:$A,$B$3,Detalle!$B:$B,$A11,Detalle!$D:$D,H$4))/SUMIFS(Detalle!$H:$H,Detalle!$A:$A,$B$3,Detalle!$B:$B,$A11,Detalle!$D:$D,H$4),"0.0%"))</f>
        <v>▼ -1.2%</v>
      </c>
      <c r="J11" s="10">
        <f>SUMIFS(Detalle!$G:$G,Detalle!$A:$A,$B$3,Detalle!$B:$B,$A11,Detalle!$D:$D,J$4)</f>
        <v>950019.58</v>
      </c>
      <c r="K11" s="11" t="str">
        <f>IF(SUMIFS(Detalle!$H:$H,Detalle!$A:$A,$B$3,Detalle!$B:$B,$A11,Detalle!$D:$D,J$4)&lt;=0,IF(J11&gt;0,"▲ nuevo","="),IF(J11&gt;SUMIFS(Detalle!$H:$H,Detalle!$A:$A,$B$3,Detalle!$B:$B,$A11,Detalle!$D:$D,J$4),"▲",IF(J11&lt;SUMIFS(Detalle!$H:$H,Detalle!$A:$A,$B$3,Detalle!$B:$B,$A11,Detalle!$D:$D,J$4),"▼","="))&amp;" "&amp;TEXT((J11-SUMIFS(Detalle!$H:$H,Detalle!$A:$A,$B$3,Detalle!$B:$B,$A11,Detalle!$D:$D,J$4))/SUMIFS(Detalle!$H:$H,Detalle!$A:$A,$B$3,Detalle!$B:$B,$A11,Detalle!$D:$D,J$4),"0.0%"))</f>
        <v>▼ -5.7%</v>
      </c>
      <c r="L11" s="10">
        <f>SUMIFS(Detalle!$G:$G,Detalle!$A:$A,$B$3,Detalle!$B:$B,$A11,Detalle!$D:$D,L$4)</f>
        <v>943715.19</v>
      </c>
      <c r="M11" s="11" t="str">
        <f>IF(SUMIFS(Detalle!$H:$H,Detalle!$A:$A,$B$3,Detalle!$B:$B,$A11,Detalle!$D:$D,L$4)&lt;=0,IF(L11&gt;0,"▲ nuevo","="),IF(L11&gt;SUMIFS(Detalle!$H:$H,Detalle!$A:$A,$B$3,Detalle!$B:$B,$A11,Detalle!$D:$D,L$4),"▲",IF(L11&lt;SUMIFS(Detalle!$H:$H,Detalle!$A:$A,$B$3,Detalle!$B:$B,$A11,Detalle!$D:$D,L$4),"▼","="))&amp;" "&amp;TEXT((L11-SUMIFS(Detalle!$H:$H,Detalle!$A:$A,$B$3,Detalle!$B:$B,$A11,Detalle!$D:$D,L$4))/SUMIFS(Detalle!$H:$H,Detalle!$A:$A,$B$3,Detalle!$B:$B,$A11,Detalle!$D:$D,L$4),"0.0%"))</f>
        <v>▼ -0.7%</v>
      </c>
      <c r="N11" s="10">
        <f>SUMIFS(Detalle!$G:$G,Detalle!$A:$A,$B$3,Detalle!$B:$B,$A11,Detalle!$D:$D,N$4)</f>
        <v>950875.27</v>
      </c>
      <c r="O11" s="11" t="str">
        <f>IF(SUMIFS(Detalle!$H:$H,Detalle!$A:$A,$B$3,Detalle!$B:$B,$A11,Detalle!$D:$D,N$4)&lt;=0,IF(N11&gt;0,"▲ nuevo","="),IF(N11&gt;SUMIFS(Detalle!$H:$H,Detalle!$A:$A,$B$3,Detalle!$B:$B,$A11,Detalle!$D:$D,N$4),"▲",IF(N11&lt;SUMIFS(Detalle!$H:$H,Detalle!$A:$A,$B$3,Detalle!$B:$B,$A11,Detalle!$D:$D,N$4),"▼","="))&amp;" "&amp;TEXT((N11-SUMIFS(Detalle!$H:$H,Detalle!$A:$A,$B$3,Detalle!$B:$B,$A11,Detalle!$D:$D,N$4))/SUMIFS(Detalle!$H:$H,Detalle!$A:$A,$B$3,Detalle!$B:$B,$A11,Detalle!$D:$D,N$4),"0.0%"))</f>
        <v>▲ 0.8%</v>
      </c>
      <c r="P11" s="12">
        <f>SUMIFS(Detalle!$G:$G,Detalle!$A:$A,$B$3,Detalle!$B:$B,$A11,Detalle!$D:$D,P$4)</f>
        <v>952276.29999999993</v>
      </c>
      <c r="Q11" s="13" t="str">
        <f>IF(SUMIFS(Detalle!$H:$H,Detalle!$A:$A,$B$3,Detalle!$B:$B,$A11,Detalle!$D:$D,P$4)&lt;=0,IF(P11&gt;0,"▲ nuevo","="),IF(P11&gt;SUMIFS(Detalle!$H:$H,Detalle!$A:$A,$B$3,Detalle!$B:$B,$A11,Detalle!$D:$D,P$4),"▲",IF(P11&lt;SUMIFS(Detalle!$H:$H,Detalle!$A:$A,$B$3,Detalle!$B:$B,$A11,Detalle!$D:$D,P$4),"▼","="))&amp;" "&amp;TEXT((P11-SUMIFS(Detalle!$H:$H,Detalle!$A:$A,$B$3,Detalle!$B:$B,$A11,Detalle!$D:$D,P$4))/SUMIFS(Detalle!$H:$H,Detalle!$A:$A,$B$3,Detalle!$B:$B,$A11,Detalle!$D:$D,P$4),"0.0%"))</f>
        <v>▲ 0.1%</v>
      </c>
    </row>
    <row r="12" spans="1:17" x14ac:dyDescent="0.3">
      <c r="A12" s="9" t="s">
        <v>26</v>
      </c>
      <c r="B12" s="10">
        <f>SUMIFS(Detalle!$G:$G,Detalle!$A:$A,$B$3,Detalle!$B:$B,$A12,Detalle!$D:$D,B$4)</f>
        <v>87466.73</v>
      </c>
      <c r="C12" s="11" t="str">
        <f>IF(SUMIFS(Detalle!$H:$H,Detalle!$A:$A,$B$3,Detalle!$B:$B,$A12,Detalle!$D:$D,B$4)&lt;=0,IF(B12&gt;0,"▲ nuevo","="),IF(B12&gt;SUMIFS(Detalle!$H:$H,Detalle!$A:$A,$B$3,Detalle!$B:$B,$A12,Detalle!$D:$D,B$4),"▲",IF(B12&lt;SUMIFS(Detalle!$H:$H,Detalle!$A:$A,$B$3,Detalle!$B:$B,$A12,Detalle!$D:$D,B$4),"▼","="))&amp;" "&amp;TEXT((B12-SUMIFS(Detalle!$H:$H,Detalle!$A:$A,$B$3,Detalle!$B:$B,$A12,Detalle!$D:$D,B$4))/SUMIFS(Detalle!$H:$H,Detalle!$A:$A,$B$3,Detalle!$B:$B,$A12,Detalle!$D:$D,B$4),"0.0%"))</f>
        <v>▼ -17.2%</v>
      </c>
      <c r="D12" s="10">
        <f>SUMIFS(Detalle!$G:$G,Detalle!$A:$A,$B$3,Detalle!$B:$B,$A12,Detalle!$D:$D,D$4)</f>
        <v>128830.91</v>
      </c>
      <c r="E12" s="11" t="str">
        <f>IF(SUMIFS(Detalle!$H:$H,Detalle!$A:$A,$B$3,Detalle!$B:$B,$A12,Detalle!$D:$D,D$4)&lt;=0,IF(D12&gt;0,"▲ nuevo","="),IF(D12&gt;SUMIFS(Detalle!$H:$H,Detalle!$A:$A,$B$3,Detalle!$B:$B,$A12,Detalle!$D:$D,D$4),"▲",IF(D12&lt;SUMIFS(Detalle!$H:$H,Detalle!$A:$A,$B$3,Detalle!$B:$B,$A12,Detalle!$D:$D,D$4),"▼","="))&amp;" "&amp;TEXT((D12-SUMIFS(Detalle!$H:$H,Detalle!$A:$A,$B$3,Detalle!$B:$B,$A12,Detalle!$D:$D,D$4))/SUMIFS(Detalle!$H:$H,Detalle!$A:$A,$B$3,Detalle!$B:$B,$A12,Detalle!$D:$D,D$4),"0.0%"))</f>
        <v>▲ 47.3%</v>
      </c>
      <c r="F12" s="10">
        <f>SUMIFS(Detalle!$G:$G,Detalle!$A:$A,$B$3,Detalle!$B:$B,$A12,Detalle!$D:$D,F$4)</f>
        <v>193894.46</v>
      </c>
      <c r="G12" s="11" t="str">
        <f>IF(SUMIFS(Detalle!$H:$H,Detalle!$A:$A,$B$3,Detalle!$B:$B,$A12,Detalle!$D:$D,F$4)&lt;=0,IF(F12&gt;0,"▲ nuevo","="),IF(F12&gt;SUMIFS(Detalle!$H:$H,Detalle!$A:$A,$B$3,Detalle!$B:$B,$A12,Detalle!$D:$D,F$4),"▲",IF(F12&lt;SUMIFS(Detalle!$H:$H,Detalle!$A:$A,$B$3,Detalle!$B:$B,$A12,Detalle!$D:$D,F$4),"▼","="))&amp;" "&amp;TEXT((F12-SUMIFS(Detalle!$H:$H,Detalle!$A:$A,$B$3,Detalle!$B:$B,$A12,Detalle!$D:$D,F$4))/SUMIFS(Detalle!$H:$H,Detalle!$A:$A,$B$3,Detalle!$B:$B,$A12,Detalle!$D:$D,F$4),"0.0%"))</f>
        <v>▲ 50.5%</v>
      </c>
      <c r="H12" s="10">
        <f>SUMIFS(Detalle!$G:$G,Detalle!$A:$A,$B$3,Detalle!$B:$B,$A12,Detalle!$D:$D,H$4)</f>
        <v>141762.85</v>
      </c>
      <c r="I12" s="11" t="str">
        <f>IF(SUMIFS(Detalle!$H:$H,Detalle!$A:$A,$B$3,Detalle!$B:$B,$A12,Detalle!$D:$D,H$4)&lt;=0,IF(H12&gt;0,"▲ nuevo","="),IF(H12&gt;SUMIFS(Detalle!$H:$H,Detalle!$A:$A,$B$3,Detalle!$B:$B,$A12,Detalle!$D:$D,H$4),"▲",IF(H12&lt;SUMIFS(Detalle!$H:$H,Detalle!$A:$A,$B$3,Detalle!$B:$B,$A12,Detalle!$D:$D,H$4),"▼","="))&amp;" "&amp;TEXT((H12-SUMIFS(Detalle!$H:$H,Detalle!$A:$A,$B$3,Detalle!$B:$B,$A12,Detalle!$D:$D,H$4))/SUMIFS(Detalle!$H:$H,Detalle!$A:$A,$B$3,Detalle!$B:$B,$A12,Detalle!$D:$D,H$4),"0.0%"))</f>
        <v>▼ -26.9%</v>
      </c>
      <c r="J12" s="10">
        <f>SUMIFS(Detalle!$G:$G,Detalle!$A:$A,$B$3,Detalle!$B:$B,$A12,Detalle!$D:$D,J$4)</f>
        <v>111372.9</v>
      </c>
      <c r="K12" s="11" t="str">
        <f>IF(SUMIFS(Detalle!$H:$H,Detalle!$A:$A,$B$3,Detalle!$B:$B,$A12,Detalle!$D:$D,J$4)&lt;=0,IF(J12&gt;0,"▲ nuevo","="),IF(J12&gt;SUMIFS(Detalle!$H:$H,Detalle!$A:$A,$B$3,Detalle!$B:$B,$A12,Detalle!$D:$D,J$4),"▲",IF(J12&lt;SUMIFS(Detalle!$H:$H,Detalle!$A:$A,$B$3,Detalle!$B:$B,$A12,Detalle!$D:$D,J$4),"▼","="))&amp;" "&amp;TEXT((J12-SUMIFS(Detalle!$H:$H,Detalle!$A:$A,$B$3,Detalle!$B:$B,$A12,Detalle!$D:$D,J$4))/SUMIFS(Detalle!$H:$H,Detalle!$A:$A,$B$3,Detalle!$B:$B,$A12,Detalle!$D:$D,J$4),"0.0%"))</f>
        <v>▼ -21.4%</v>
      </c>
      <c r="L12" s="10">
        <f>SUMIFS(Detalle!$G:$G,Detalle!$A:$A,$B$3,Detalle!$B:$B,$A12,Detalle!$D:$D,L$4)</f>
        <v>103891.99</v>
      </c>
      <c r="M12" s="11" t="str">
        <f>IF(SUMIFS(Detalle!$H:$H,Detalle!$A:$A,$B$3,Detalle!$B:$B,$A12,Detalle!$D:$D,L$4)&lt;=0,IF(L12&gt;0,"▲ nuevo","="),IF(L12&gt;SUMIFS(Detalle!$H:$H,Detalle!$A:$A,$B$3,Detalle!$B:$B,$A12,Detalle!$D:$D,L$4),"▲",IF(L12&lt;SUMIFS(Detalle!$H:$H,Detalle!$A:$A,$B$3,Detalle!$B:$B,$A12,Detalle!$D:$D,L$4),"▼","="))&amp;" "&amp;TEXT((L12-SUMIFS(Detalle!$H:$H,Detalle!$A:$A,$B$3,Detalle!$B:$B,$A12,Detalle!$D:$D,L$4))/SUMIFS(Detalle!$H:$H,Detalle!$A:$A,$B$3,Detalle!$B:$B,$A12,Detalle!$D:$D,L$4),"0.0%"))</f>
        <v>▼ -6.7%</v>
      </c>
      <c r="N12" s="10">
        <f>SUMIFS(Detalle!$G:$G,Detalle!$A:$A,$B$3,Detalle!$B:$B,$A12,Detalle!$D:$D,N$4)</f>
        <v>140055.94</v>
      </c>
      <c r="O12" s="11" t="str">
        <f>IF(SUMIFS(Detalle!$H:$H,Detalle!$A:$A,$B$3,Detalle!$B:$B,$A12,Detalle!$D:$D,N$4)&lt;=0,IF(N12&gt;0,"▲ nuevo","="),IF(N12&gt;SUMIFS(Detalle!$H:$H,Detalle!$A:$A,$B$3,Detalle!$B:$B,$A12,Detalle!$D:$D,N$4),"▲",IF(N12&lt;SUMIFS(Detalle!$H:$H,Detalle!$A:$A,$B$3,Detalle!$B:$B,$A12,Detalle!$D:$D,N$4),"▼","="))&amp;" "&amp;TEXT((N12-SUMIFS(Detalle!$H:$H,Detalle!$A:$A,$B$3,Detalle!$B:$B,$A12,Detalle!$D:$D,N$4))/SUMIFS(Detalle!$H:$H,Detalle!$A:$A,$B$3,Detalle!$B:$B,$A12,Detalle!$D:$D,N$4),"0.0%"))</f>
        <v>▲ 34.8%</v>
      </c>
      <c r="P12" s="12">
        <f>SUMIFS(Detalle!$G:$G,Detalle!$A:$A,$B$3,Detalle!$B:$B,$A12,Detalle!$D:$D,P$4)</f>
        <v>180861.05</v>
      </c>
      <c r="Q12" s="13" t="str">
        <f>IF(SUMIFS(Detalle!$H:$H,Detalle!$A:$A,$B$3,Detalle!$B:$B,$A12,Detalle!$D:$D,P$4)&lt;=0,IF(P12&gt;0,"▲ nuevo","="),IF(P12&gt;SUMIFS(Detalle!$H:$H,Detalle!$A:$A,$B$3,Detalle!$B:$B,$A12,Detalle!$D:$D,P$4),"▲",IF(P12&lt;SUMIFS(Detalle!$H:$H,Detalle!$A:$A,$B$3,Detalle!$B:$B,$A12,Detalle!$D:$D,P$4),"▼","="))&amp;" "&amp;TEXT((P12-SUMIFS(Detalle!$H:$H,Detalle!$A:$A,$B$3,Detalle!$B:$B,$A12,Detalle!$D:$D,P$4))/SUMIFS(Detalle!$H:$H,Detalle!$A:$A,$B$3,Detalle!$B:$B,$A12,Detalle!$D:$D,P$4),"0.0%"))</f>
        <v>▲ 29.1%</v>
      </c>
    </row>
    <row r="13" spans="1:17" x14ac:dyDescent="0.3">
      <c r="A13" s="14" t="s">
        <v>16</v>
      </c>
      <c r="B13" s="15">
        <f>SUMIFS(Detalle!$G:$G,Detalle!$A:$A,"Total",Detalle!$B:$B,"Minorista",Detalle!$D:$D,B$4)</f>
        <v>11227031.439999999</v>
      </c>
      <c r="C13" s="16" t="str">
        <f>IF(SUMIFS(Detalle!$H:$H,Detalle!$A:$A,"Total",Detalle!$B:$B,"Minorista",Detalle!$D:$D,B$4)&lt;=0,IF(B13&gt;0,"▲ nuevo","="),IF(B13&gt;SUMIFS(Detalle!$H:$H,Detalle!$A:$A,"Total",Detalle!$B:$B,"Minorista",Detalle!$D:$D,B$4),"▲",IF(B13&lt;SUMIFS(Detalle!$H:$H,Detalle!$A:$A,"Total",Detalle!$B:$B,"Minorista",Detalle!$D:$D,B$4),"▼","="))&amp;" "&amp;TEXT((B13-SUMIFS(Detalle!$H:$H,Detalle!$A:$A,"Total",Detalle!$B:$B,"Minorista",Detalle!$D:$D,B$4))/SUMIFS(Detalle!$H:$H,Detalle!$A:$A,"Total",Detalle!$B:$B,"Minorista",Detalle!$D:$D,B$4),"0.0%"))</f>
        <v>▼ -3.3%</v>
      </c>
      <c r="D13" s="15">
        <f>SUMIFS(Detalle!$G:$G,Detalle!$A:$A,"Total",Detalle!$B:$B,"Minorista",Detalle!$D:$D,D$4)</f>
        <v>11920827.390000001</v>
      </c>
      <c r="E13" s="16" t="str">
        <f>IF(SUMIFS(Detalle!$H:$H,Detalle!$A:$A,"Total",Detalle!$B:$B,"Minorista",Detalle!$D:$D,D$4)&lt;=0,IF(D13&gt;0,"▲ nuevo","="),IF(D13&gt;SUMIFS(Detalle!$H:$H,Detalle!$A:$A,"Total",Detalle!$B:$B,"Minorista",Detalle!$D:$D,D$4),"▲",IF(D13&lt;SUMIFS(Detalle!$H:$H,Detalle!$A:$A,"Total",Detalle!$B:$B,"Minorista",Detalle!$D:$D,D$4),"▼","="))&amp;" "&amp;TEXT((D13-SUMIFS(Detalle!$H:$H,Detalle!$A:$A,"Total",Detalle!$B:$B,"Minorista",Detalle!$D:$D,D$4))/SUMIFS(Detalle!$H:$H,Detalle!$A:$A,"Total",Detalle!$B:$B,"Minorista",Detalle!$D:$D,D$4),"0.0%"))</f>
        <v>▲ 6.2%</v>
      </c>
      <c r="F13" s="15">
        <f>SUMIFS(Detalle!$G:$G,Detalle!$A:$A,"Total",Detalle!$B:$B,"Minorista",Detalle!$D:$D,F$4)</f>
        <v>13229333.52</v>
      </c>
      <c r="G13" s="16" t="str">
        <f>IF(SUMIFS(Detalle!$H:$H,Detalle!$A:$A,"Total",Detalle!$B:$B,"Minorista",Detalle!$D:$D,F$4)&lt;=0,IF(F13&gt;0,"▲ nuevo","="),IF(F13&gt;SUMIFS(Detalle!$H:$H,Detalle!$A:$A,"Total",Detalle!$B:$B,"Minorista",Detalle!$D:$D,F$4),"▲",IF(F13&lt;SUMIFS(Detalle!$H:$H,Detalle!$A:$A,"Total",Detalle!$B:$B,"Minorista",Detalle!$D:$D,F$4),"▼","="))&amp;" "&amp;TEXT((F13-SUMIFS(Detalle!$H:$H,Detalle!$A:$A,"Total",Detalle!$B:$B,"Minorista",Detalle!$D:$D,F$4))/SUMIFS(Detalle!$H:$H,Detalle!$A:$A,"Total",Detalle!$B:$B,"Minorista",Detalle!$D:$D,F$4),"0.0%"))</f>
        <v>▲ 11.0%</v>
      </c>
      <c r="H13" s="15">
        <f>SUMIFS(Detalle!$G:$G,Detalle!$A:$A,"Total",Detalle!$B:$B,"Minorista",Detalle!$D:$D,H$4)</f>
        <v>11923421</v>
      </c>
      <c r="I13" s="16" t="str">
        <f>IF(SUMIFS(Detalle!$H:$H,Detalle!$A:$A,"Total",Detalle!$B:$B,"Minorista",Detalle!$D:$D,H$4)&lt;=0,IF(H13&gt;0,"▲ nuevo","="),IF(H13&gt;SUMIFS(Detalle!$H:$H,Detalle!$A:$A,"Total",Detalle!$B:$B,"Minorista",Detalle!$D:$D,H$4),"▲",IF(H13&lt;SUMIFS(Detalle!$H:$H,Detalle!$A:$A,"Total",Detalle!$B:$B,"Minorista",Detalle!$D:$D,H$4),"▼","="))&amp;" "&amp;TEXT((H13-SUMIFS(Detalle!$H:$H,Detalle!$A:$A,"Total",Detalle!$B:$B,"Minorista",Detalle!$D:$D,H$4))/SUMIFS(Detalle!$H:$H,Detalle!$A:$A,"Total",Detalle!$B:$B,"Minorista",Detalle!$D:$D,H$4),"0.0%"))</f>
        <v>▼ -9.9%</v>
      </c>
      <c r="J13" s="15">
        <f>SUMIFS(Detalle!$G:$G,Detalle!$A:$A,"Total",Detalle!$B:$B,"Minorista",Detalle!$D:$D,J$4)</f>
        <v>12320135.65</v>
      </c>
      <c r="K13" s="16" t="str">
        <f>IF(SUMIFS(Detalle!$H:$H,Detalle!$A:$A,"Total",Detalle!$B:$B,"Minorista",Detalle!$D:$D,J$4)&lt;=0,IF(J13&gt;0,"▲ nuevo","="),IF(J13&gt;SUMIFS(Detalle!$H:$H,Detalle!$A:$A,"Total",Detalle!$B:$B,"Minorista",Detalle!$D:$D,J$4),"▲",IF(J13&lt;SUMIFS(Detalle!$H:$H,Detalle!$A:$A,"Total",Detalle!$B:$B,"Minorista",Detalle!$D:$D,J$4),"▼","="))&amp;" "&amp;TEXT((J13-SUMIFS(Detalle!$H:$H,Detalle!$A:$A,"Total",Detalle!$B:$B,"Minorista",Detalle!$D:$D,J$4))/SUMIFS(Detalle!$H:$H,Detalle!$A:$A,"Total",Detalle!$B:$B,"Minorista",Detalle!$D:$D,J$4),"0.0%"))</f>
        <v>▲ 3.3%</v>
      </c>
      <c r="L13" s="15">
        <f>SUMIFS(Detalle!$G:$G,Detalle!$A:$A,"Total",Detalle!$B:$B,"Minorista",Detalle!$D:$D,L$4)</f>
        <v>11367429.75</v>
      </c>
      <c r="M13" s="16" t="str">
        <f>IF(SUMIFS(Detalle!$H:$H,Detalle!$A:$A,"Total",Detalle!$B:$B,"Minorista",Detalle!$D:$D,L$4)&lt;=0,IF(L13&gt;0,"▲ nuevo","="),IF(L13&gt;SUMIFS(Detalle!$H:$H,Detalle!$A:$A,"Total",Detalle!$B:$B,"Minorista",Detalle!$D:$D,L$4),"▲",IF(L13&lt;SUMIFS(Detalle!$H:$H,Detalle!$A:$A,"Total",Detalle!$B:$B,"Minorista",Detalle!$D:$D,L$4),"▼","="))&amp;" "&amp;TEXT((L13-SUMIFS(Detalle!$H:$H,Detalle!$A:$A,"Total",Detalle!$B:$B,"Minorista",Detalle!$D:$D,L$4))/SUMIFS(Detalle!$H:$H,Detalle!$A:$A,"Total",Detalle!$B:$B,"Minorista",Detalle!$D:$D,L$4),"0.0%"))</f>
        <v>▼ -7.7%</v>
      </c>
      <c r="N13" s="15">
        <f>SUMIFS(Detalle!$G:$G,Detalle!$A:$A,"Total",Detalle!$B:$B,"Minorista",Detalle!$D:$D,N$4)</f>
        <v>11290560.25</v>
      </c>
      <c r="O13" s="16" t="str">
        <f>IF(SUMIFS(Detalle!$H:$H,Detalle!$A:$A,"Total",Detalle!$B:$B,"Minorista",Detalle!$D:$D,N$4)&lt;=0,IF(N13&gt;0,"▲ nuevo","="),IF(N13&gt;SUMIFS(Detalle!$H:$H,Detalle!$A:$A,"Total",Detalle!$B:$B,"Minorista",Detalle!$D:$D,N$4),"▲",IF(N13&lt;SUMIFS(Detalle!$H:$H,Detalle!$A:$A,"Total",Detalle!$B:$B,"Minorista",Detalle!$D:$D,N$4),"▼","="))&amp;" "&amp;TEXT((N13-SUMIFS(Detalle!$H:$H,Detalle!$A:$A,"Total",Detalle!$B:$B,"Minorista",Detalle!$D:$D,N$4))/SUMIFS(Detalle!$H:$H,Detalle!$A:$A,"Total",Detalle!$B:$B,"Minorista",Detalle!$D:$D,N$4),"0.0%"))</f>
        <v>▼ -0.7%</v>
      </c>
      <c r="P13" s="15">
        <f>SUMIFS(Detalle!$G:$G,Detalle!$A:$A,"Total",Detalle!$B:$B,"Minorista",Detalle!$D:$D,P$4)</f>
        <v>11477013.210000001</v>
      </c>
      <c r="Q13" s="16" t="str">
        <f>IF(SUMIFS(Detalle!$H:$H,Detalle!$A:$A,"Total",Detalle!$B:$B,"Minorista",Detalle!$D:$D,P$4)&lt;=0,IF(P13&gt;0,"▲ nuevo","="),IF(P13&gt;SUMIFS(Detalle!$H:$H,Detalle!$A:$A,"Total",Detalle!$B:$B,"Minorista",Detalle!$D:$D,P$4),"▲",IF(P13&lt;SUMIFS(Detalle!$H:$H,Detalle!$A:$A,"Total",Detalle!$B:$B,"Minorista",Detalle!$D:$D,P$4),"▼","="))&amp;" "&amp;TEXT((P13-SUMIFS(Detalle!$H:$H,Detalle!$A:$A,"Total",Detalle!$B:$B,"Minorista",Detalle!$D:$D,P$4))/SUMIFS(Detalle!$H:$H,Detalle!$A:$A,"Total",Detalle!$B:$B,"Minorista",Detalle!$D:$D,P$4),"0.0%"))</f>
        <v>▲ 1.7%</v>
      </c>
    </row>
    <row r="14" spans="1:17" x14ac:dyDescent="0.3">
      <c r="A14" s="3" t="s">
        <v>17</v>
      </c>
      <c r="B14" s="17">
        <f>ROUND(SUM(B6:B12)-B13,0)</f>
        <v>0</v>
      </c>
      <c r="D14" s="17">
        <f>ROUND(SUM(D6:D12)-D13,0)</f>
        <v>0</v>
      </c>
      <c r="F14" s="17">
        <f>ROUND(SUM(F6:F12)-F13,0)</f>
        <v>0</v>
      </c>
      <c r="H14" s="17">
        <f>ROUND(SUM(H6:H12)-H13,0)</f>
        <v>0</v>
      </c>
      <c r="J14" s="17">
        <f>ROUND(SUM(J6:J12)-J13,0)</f>
        <v>0</v>
      </c>
      <c r="L14" s="17">
        <f>ROUND(SUM(L6:L12)-L13,0)</f>
        <v>0</v>
      </c>
      <c r="N14" s="17">
        <f>ROUND(SUM(N6:N12)-N13,0)</f>
        <v>0</v>
      </c>
      <c r="P14" s="17">
        <f>ROUND(SUM(P6:P12)-P13,0)</f>
        <v>0</v>
      </c>
    </row>
  </sheetData>
  <conditionalFormatting sqref="B6:Q13">
    <cfRule type="expression" dxfId="5" priority="1">
      <formula>LEFT(B6,1)="▲"</formula>
    </cfRule>
    <cfRule type="expression" dxfId="4" priority="2">
      <formula>LEFT(B6,1)="▼"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4"/>
  <sheetViews>
    <sheetView showGridLines="0" workbookViewId="0">
      <pane xSplit="1" ySplit="5" topLeftCell="B6" activePane="bottomRight" state="frozen"/>
      <selection pane="topRight"/>
      <selection pane="bottomLeft"/>
      <selection pane="bottomRight"/>
    </sheetView>
  </sheetViews>
  <sheetFormatPr baseColWidth="10" defaultColWidth="8.88671875" defaultRowHeight="14.4" x14ac:dyDescent="0.3"/>
  <cols>
    <col min="1" max="1" width="34" customWidth="1"/>
    <col min="2" max="2" width="15" customWidth="1"/>
    <col min="3" max="3" width="13" customWidth="1"/>
    <col min="4" max="4" width="15" customWidth="1"/>
    <col min="5" max="5" width="13" customWidth="1"/>
    <col min="6" max="6" width="15" customWidth="1"/>
    <col min="7" max="7" width="13" customWidth="1"/>
    <col min="8" max="8" width="15" customWidth="1"/>
    <col min="9" max="9" width="13" customWidth="1"/>
    <col min="10" max="10" width="15" customWidth="1"/>
    <col min="11" max="11" width="13" customWidth="1"/>
    <col min="12" max="12" width="15" customWidth="1"/>
    <col min="13" max="13" width="13" customWidth="1"/>
    <col min="14" max="14" width="15" customWidth="1"/>
    <col min="15" max="15" width="13" customWidth="1"/>
    <col min="16" max="16" width="15" customWidth="1"/>
    <col min="17" max="17" width="13" customWidth="1"/>
  </cols>
  <sheetData>
    <row r="1" spans="1:17" ht="17.399999999999999" x14ac:dyDescent="0.3">
      <c r="A1" s="1" t="s">
        <v>27</v>
      </c>
    </row>
    <row r="2" spans="1:17" x14ac:dyDescent="0.3">
      <c r="A2" s="2" t="s">
        <v>1</v>
      </c>
    </row>
    <row r="3" spans="1:17" x14ac:dyDescent="0.3">
      <c r="A3" s="3" t="s">
        <v>2</v>
      </c>
      <c r="B3" s="4" t="s">
        <v>28</v>
      </c>
    </row>
    <row r="4" spans="1:17" x14ac:dyDescent="0.3">
      <c r="A4" s="3" t="s">
        <v>4</v>
      </c>
      <c r="B4" s="5">
        <v>46258</v>
      </c>
      <c r="D4" s="5">
        <v>46265</v>
      </c>
      <c r="F4" s="5">
        <v>46272</v>
      </c>
      <c r="H4" s="5">
        <v>46279</v>
      </c>
      <c r="J4" s="5">
        <v>46286</v>
      </c>
      <c r="L4" s="5">
        <v>46293</v>
      </c>
      <c r="N4" s="5">
        <v>46300</v>
      </c>
      <c r="P4" s="5">
        <v>46307</v>
      </c>
    </row>
    <row r="5" spans="1:17" ht="30" customHeight="1" x14ac:dyDescent="0.3">
      <c r="A5" s="6" t="s">
        <v>28</v>
      </c>
      <c r="B5" s="7" t="s">
        <v>5</v>
      </c>
      <c r="C5" s="7" t="s">
        <v>6</v>
      </c>
      <c r="D5" s="7" t="s">
        <v>7</v>
      </c>
      <c r="E5" s="7" t="s">
        <v>6</v>
      </c>
      <c r="F5" s="7" t="s">
        <v>8</v>
      </c>
      <c r="G5" s="7" t="s">
        <v>6</v>
      </c>
      <c r="H5" s="7" t="s">
        <v>9</v>
      </c>
      <c r="I5" s="7" t="s">
        <v>6</v>
      </c>
      <c r="J5" s="7" t="s">
        <v>10</v>
      </c>
      <c r="K5" s="7" t="s">
        <v>6</v>
      </c>
      <c r="L5" s="7" t="s">
        <v>11</v>
      </c>
      <c r="M5" s="7" t="s">
        <v>6</v>
      </c>
      <c r="N5" s="7" t="s">
        <v>12</v>
      </c>
      <c r="O5" s="7" t="s">
        <v>6</v>
      </c>
      <c r="P5" s="8" t="s">
        <v>13</v>
      </c>
      <c r="Q5" s="8" t="s">
        <v>6</v>
      </c>
    </row>
    <row r="6" spans="1:17" x14ac:dyDescent="0.3">
      <c r="A6" s="9" t="s">
        <v>29</v>
      </c>
      <c r="B6" s="10">
        <f>SUMIFS(Detalle!$G:$G,Detalle!$A:$A,$B$3,Detalle!$B:$B,$A6,Detalle!$D:$D,B$4)</f>
        <v>3629995.12</v>
      </c>
      <c r="C6" s="11" t="str">
        <f>IF(SUMIFS(Detalle!$H:$H,Detalle!$A:$A,$B$3,Detalle!$B:$B,$A6,Detalle!$D:$D,B$4)&lt;=0,IF(B6&gt;0,"▲ nuevo","="),IF(B6&gt;SUMIFS(Detalle!$H:$H,Detalle!$A:$A,$B$3,Detalle!$B:$B,$A6,Detalle!$D:$D,B$4),"▲",IF(B6&lt;SUMIFS(Detalle!$H:$H,Detalle!$A:$A,$B$3,Detalle!$B:$B,$A6,Detalle!$D:$D,B$4),"▼","="))&amp;" "&amp;TEXT((B6-SUMIFS(Detalle!$H:$H,Detalle!$A:$A,$B$3,Detalle!$B:$B,$A6,Detalle!$D:$D,B$4))/SUMIFS(Detalle!$H:$H,Detalle!$A:$A,$B$3,Detalle!$B:$B,$A6,Detalle!$D:$D,B$4),"0.0%"))</f>
        <v>▼ -1.4%</v>
      </c>
      <c r="D6" s="10">
        <f>SUMIFS(Detalle!$G:$G,Detalle!$A:$A,$B$3,Detalle!$B:$B,$A6,Detalle!$D:$D,D$4)</f>
        <v>4053951.75</v>
      </c>
      <c r="E6" s="11" t="str">
        <f>IF(SUMIFS(Detalle!$H:$H,Detalle!$A:$A,$B$3,Detalle!$B:$B,$A6,Detalle!$D:$D,D$4)&lt;=0,IF(D6&gt;0,"▲ nuevo","="),IF(D6&gt;SUMIFS(Detalle!$H:$H,Detalle!$A:$A,$B$3,Detalle!$B:$B,$A6,Detalle!$D:$D,D$4),"▲",IF(D6&lt;SUMIFS(Detalle!$H:$H,Detalle!$A:$A,$B$3,Detalle!$B:$B,$A6,Detalle!$D:$D,D$4),"▼","="))&amp;" "&amp;TEXT((D6-SUMIFS(Detalle!$H:$H,Detalle!$A:$A,$B$3,Detalle!$B:$B,$A6,Detalle!$D:$D,D$4))/SUMIFS(Detalle!$H:$H,Detalle!$A:$A,$B$3,Detalle!$B:$B,$A6,Detalle!$D:$D,D$4),"0.0%"))</f>
        <v>▲ 11.7%</v>
      </c>
      <c r="F6" s="10">
        <f>SUMIFS(Detalle!$G:$G,Detalle!$A:$A,$B$3,Detalle!$B:$B,$A6,Detalle!$D:$D,F$4)</f>
        <v>4639612.3499999996</v>
      </c>
      <c r="G6" s="11" t="str">
        <f>IF(SUMIFS(Detalle!$H:$H,Detalle!$A:$A,$B$3,Detalle!$B:$B,$A6,Detalle!$D:$D,F$4)&lt;=0,IF(F6&gt;0,"▲ nuevo","="),IF(F6&gt;SUMIFS(Detalle!$H:$H,Detalle!$A:$A,$B$3,Detalle!$B:$B,$A6,Detalle!$D:$D,F$4),"▲",IF(F6&lt;SUMIFS(Detalle!$H:$H,Detalle!$A:$A,$B$3,Detalle!$B:$B,$A6,Detalle!$D:$D,F$4),"▼","="))&amp;" "&amp;TEXT((F6-SUMIFS(Detalle!$H:$H,Detalle!$A:$A,$B$3,Detalle!$B:$B,$A6,Detalle!$D:$D,F$4))/SUMIFS(Detalle!$H:$H,Detalle!$A:$A,$B$3,Detalle!$B:$B,$A6,Detalle!$D:$D,F$4),"0.0%"))</f>
        <v>▲ 14.4%</v>
      </c>
      <c r="H6" s="10">
        <f>SUMIFS(Detalle!$G:$G,Detalle!$A:$A,$B$3,Detalle!$B:$B,$A6,Detalle!$D:$D,H$4)</f>
        <v>3674509.32</v>
      </c>
      <c r="I6" s="11" t="str">
        <f>IF(SUMIFS(Detalle!$H:$H,Detalle!$A:$A,$B$3,Detalle!$B:$B,$A6,Detalle!$D:$D,H$4)&lt;=0,IF(H6&gt;0,"▲ nuevo","="),IF(H6&gt;SUMIFS(Detalle!$H:$H,Detalle!$A:$A,$B$3,Detalle!$B:$B,$A6,Detalle!$D:$D,H$4),"▲",IF(H6&lt;SUMIFS(Detalle!$H:$H,Detalle!$A:$A,$B$3,Detalle!$B:$B,$A6,Detalle!$D:$D,H$4),"▼","="))&amp;" "&amp;TEXT((H6-SUMIFS(Detalle!$H:$H,Detalle!$A:$A,$B$3,Detalle!$B:$B,$A6,Detalle!$D:$D,H$4))/SUMIFS(Detalle!$H:$H,Detalle!$A:$A,$B$3,Detalle!$B:$B,$A6,Detalle!$D:$D,H$4),"0.0%"))</f>
        <v>▼ -20.8%</v>
      </c>
      <c r="J6" s="10">
        <f>SUMIFS(Detalle!$G:$G,Detalle!$A:$A,$B$3,Detalle!$B:$B,$A6,Detalle!$D:$D,J$4)</f>
        <v>3868852.55</v>
      </c>
      <c r="K6" s="11" t="str">
        <f>IF(SUMIFS(Detalle!$H:$H,Detalle!$A:$A,$B$3,Detalle!$B:$B,$A6,Detalle!$D:$D,J$4)&lt;=0,IF(J6&gt;0,"▲ nuevo","="),IF(J6&gt;SUMIFS(Detalle!$H:$H,Detalle!$A:$A,$B$3,Detalle!$B:$B,$A6,Detalle!$D:$D,J$4),"▲",IF(J6&lt;SUMIFS(Detalle!$H:$H,Detalle!$A:$A,$B$3,Detalle!$B:$B,$A6,Detalle!$D:$D,J$4),"▼","="))&amp;" "&amp;TEXT((J6-SUMIFS(Detalle!$H:$H,Detalle!$A:$A,$B$3,Detalle!$B:$B,$A6,Detalle!$D:$D,J$4))/SUMIFS(Detalle!$H:$H,Detalle!$A:$A,$B$3,Detalle!$B:$B,$A6,Detalle!$D:$D,J$4),"0.0%"))</f>
        <v>▲ 5.3%</v>
      </c>
      <c r="L6" s="10">
        <f>SUMIFS(Detalle!$G:$G,Detalle!$A:$A,$B$3,Detalle!$B:$B,$A6,Detalle!$D:$D,L$4)</f>
        <v>3463006.27</v>
      </c>
      <c r="M6" s="11" t="str">
        <f>IF(SUMIFS(Detalle!$H:$H,Detalle!$A:$A,$B$3,Detalle!$B:$B,$A6,Detalle!$D:$D,L$4)&lt;=0,IF(L6&gt;0,"▲ nuevo","="),IF(L6&gt;SUMIFS(Detalle!$H:$H,Detalle!$A:$A,$B$3,Detalle!$B:$B,$A6,Detalle!$D:$D,L$4),"▲",IF(L6&lt;SUMIFS(Detalle!$H:$H,Detalle!$A:$A,$B$3,Detalle!$B:$B,$A6,Detalle!$D:$D,L$4),"▼","="))&amp;" "&amp;TEXT((L6-SUMIFS(Detalle!$H:$H,Detalle!$A:$A,$B$3,Detalle!$B:$B,$A6,Detalle!$D:$D,L$4))/SUMIFS(Detalle!$H:$H,Detalle!$A:$A,$B$3,Detalle!$B:$B,$A6,Detalle!$D:$D,L$4),"0.0%"))</f>
        <v>▼ -10.5%</v>
      </c>
      <c r="N6" s="10">
        <f>SUMIFS(Detalle!$G:$G,Detalle!$A:$A,$B$3,Detalle!$B:$B,$A6,Detalle!$D:$D,N$4)</f>
        <v>3489262.57</v>
      </c>
      <c r="O6" s="11" t="str">
        <f>IF(SUMIFS(Detalle!$H:$H,Detalle!$A:$A,$B$3,Detalle!$B:$B,$A6,Detalle!$D:$D,N$4)&lt;=0,IF(N6&gt;0,"▲ nuevo","="),IF(N6&gt;SUMIFS(Detalle!$H:$H,Detalle!$A:$A,$B$3,Detalle!$B:$B,$A6,Detalle!$D:$D,N$4),"▲",IF(N6&lt;SUMIFS(Detalle!$H:$H,Detalle!$A:$A,$B$3,Detalle!$B:$B,$A6,Detalle!$D:$D,N$4),"▼","="))&amp;" "&amp;TEXT((N6-SUMIFS(Detalle!$H:$H,Detalle!$A:$A,$B$3,Detalle!$B:$B,$A6,Detalle!$D:$D,N$4))/SUMIFS(Detalle!$H:$H,Detalle!$A:$A,$B$3,Detalle!$B:$B,$A6,Detalle!$D:$D,N$4),"0.0%"))</f>
        <v>▲ 0.8%</v>
      </c>
      <c r="P6" s="12">
        <f>SUMIFS(Detalle!$G:$G,Detalle!$A:$A,$B$3,Detalle!$B:$B,$A6,Detalle!$D:$D,P$4)</f>
        <v>3539640.47</v>
      </c>
      <c r="Q6" s="13" t="str">
        <f>IF(SUMIFS(Detalle!$H:$H,Detalle!$A:$A,$B$3,Detalle!$B:$B,$A6,Detalle!$D:$D,P$4)&lt;=0,IF(P6&gt;0,"▲ nuevo","="),IF(P6&gt;SUMIFS(Detalle!$H:$H,Detalle!$A:$A,$B$3,Detalle!$B:$B,$A6,Detalle!$D:$D,P$4),"▲",IF(P6&lt;SUMIFS(Detalle!$H:$H,Detalle!$A:$A,$B$3,Detalle!$B:$B,$A6,Detalle!$D:$D,P$4),"▼","="))&amp;" "&amp;TEXT((P6-SUMIFS(Detalle!$H:$H,Detalle!$A:$A,$B$3,Detalle!$B:$B,$A6,Detalle!$D:$D,P$4))/SUMIFS(Detalle!$H:$H,Detalle!$A:$A,$B$3,Detalle!$B:$B,$A6,Detalle!$D:$D,P$4),"0.0%"))</f>
        <v>▲ 1.4%</v>
      </c>
    </row>
    <row r="7" spans="1:17" x14ac:dyDescent="0.3">
      <c r="A7" s="9" t="s">
        <v>30</v>
      </c>
      <c r="B7" s="10">
        <f>SUMIFS(Detalle!$G:$G,Detalle!$A:$A,$B$3,Detalle!$B:$B,$A7,Detalle!$D:$D,B$4)</f>
        <v>3063991.34</v>
      </c>
      <c r="C7" s="11" t="str">
        <f>IF(SUMIFS(Detalle!$H:$H,Detalle!$A:$A,$B$3,Detalle!$B:$B,$A7,Detalle!$D:$D,B$4)&lt;=0,IF(B7&gt;0,"▲ nuevo","="),IF(B7&gt;SUMIFS(Detalle!$H:$H,Detalle!$A:$A,$B$3,Detalle!$B:$B,$A7,Detalle!$D:$D,B$4),"▲",IF(B7&lt;SUMIFS(Detalle!$H:$H,Detalle!$A:$A,$B$3,Detalle!$B:$B,$A7,Detalle!$D:$D,B$4),"▼","="))&amp;" "&amp;TEXT((B7-SUMIFS(Detalle!$H:$H,Detalle!$A:$A,$B$3,Detalle!$B:$B,$A7,Detalle!$D:$D,B$4))/SUMIFS(Detalle!$H:$H,Detalle!$A:$A,$B$3,Detalle!$B:$B,$A7,Detalle!$D:$D,B$4),"0.0%"))</f>
        <v>▲ 5.0%</v>
      </c>
      <c r="D7" s="10">
        <f>SUMIFS(Detalle!$G:$G,Detalle!$A:$A,$B$3,Detalle!$B:$B,$A7,Detalle!$D:$D,D$4)</f>
        <v>3015517.88</v>
      </c>
      <c r="E7" s="11" t="str">
        <f>IF(SUMIFS(Detalle!$H:$H,Detalle!$A:$A,$B$3,Detalle!$B:$B,$A7,Detalle!$D:$D,D$4)&lt;=0,IF(D7&gt;0,"▲ nuevo","="),IF(D7&gt;SUMIFS(Detalle!$H:$H,Detalle!$A:$A,$B$3,Detalle!$B:$B,$A7,Detalle!$D:$D,D$4),"▲",IF(D7&lt;SUMIFS(Detalle!$H:$H,Detalle!$A:$A,$B$3,Detalle!$B:$B,$A7,Detalle!$D:$D,D$4),"▼","="))&amp;" "&amp;TEXT((D7-SUMIFS(Detalle!$H:$H,Detalle!$A:$A,$B$3,Detalle!$B:$B,$A7,Detalle!$D:$D,D$4))/SUMIFS(Detalle!$H:$H,Detalle!$A:$A,$B$3,Detalle!$B:$B,$A7,Detalle!$D:$D,D$4),"0.0%"))</f>
        <v>▼ -1.6%</v>
      </c>
      <c r="F7" s="10">
        <f>SUMIFS(Detalle!$G:$G,Detalle!$A:$A,$B$3,Detalle!$B:$B,$A7,Detalle!$D:$D,F$4)</f>
        <v>3406802.69</v>
      </c>
      <c r="G7" s="11" t="str">
        <f>IF(SUMIFS(Detalle!$H:$H,Detalle!$A:$A,$B$3,Detalle!$B:$B,$A7,Detalle!$D:$D,F$4)&lt;=0,IF(F7&gt;0,"▲ nuevo","="),IF(F7&gt;SUMIFS(Detalle!$H:$H,Detalle!$A:$A,$B$3,Detalle!$B:$B,$A7,Detalle!$D:$D,F$4),"▲",IF(F7&lt;SUMIFS(Detalle!$H:$H,Detalle!$A:$A,$B$3,Detalle!$B:$B,$A7,Detalle!$D:$D,F$4),"▼","="))&amp;" "&amp;TEXT((F7-SUMIFS(Detalle!$H:$H,Detalle!$A:$A,$B$3,Detalle!$B:$B,$A7,Detalle!$D:$D,F$4))/SUMIFS(Detalle!$H:$H,Detalle!$A:$A,$B$3,Detalle!$B:$B,$A7,Detalle!$D:$D,F$4),"0.0%"))</f>
        <v>▲ 13.0%</v>
      </c>
      <c r="H7" s="10">
        <f>SUMIFS(Detalle!$G:$G,Detalle!$A:$A,$B$3,Detalle!$B:$B,$A7,Detalle!$D:$D,H$4)</f>
        <v>3306385.39</v>
      </c>
      <c r="I7" s="11" t="str">
        <f>IF(SUMIFS(Detalle!$H:$H,Detalle!$A:$A,$B$3,Detalle!$B:$B,$A7,Detalle!$D:$D,H$4)&lt;=0,IF(H7&gt;0,"▲ nuevo","="),IF(H7&gt;SUMIFS(Detalle!$H:$H,Detalle!$A:$A,$B$3,Detalle!$B:$B,$A7,Detalle!$D:$D,H$4),"▲",IF(H7&lt;SUMIFS(Detalle!$H:$H,Detalle!$A:$A,$B$3,Detalle!$B:$B,$A7,Detalle!$D:$D,H$4),"▼","="))&amp;" "&amp;TEXT((H7-SUMIFS(Detalle!$H:$H,Detalle!$A:$A,$B$3,Detalle!$B:$B,$A7,Detalle!$D:$D,H$4))/SUMIFS(Detalle!$H:$H,Detalle!$A:$A,$B$3,Detalle!$B:$B,$A7,Detalle!$D:$D,H$4),"0.0%"))</f>
        <v>▼ -2.9%</v>
      </c>
      <c r="J7" s="10">
        <f>SUMIFS(Detalle!$G:$G,Detalle!$A:$A,$B$3,Detalle!$B:$B,$A7,Detalle!$D:$D,J$4)</f>
        <v>3600451.01</v>
      </c>
      <c r="K7" s="11" t="str">
        <f>IF(SUMIFS(Detalle!$H:$H,Detalle!$A:$A,$B$3,Detalle!$B:$B,$A7,Detalle!$D:$D,J$4)&lt;=0,IF(J7&gt;0,"▲ nuevo","="),IF(J7&gt;SUMIFS(Detalle!$H:$H,Detalle!$A:$A,$B$3,Detalle!$B:$B,$A7,Detalle!$D:$D,J$4),"▲",IF(J7&lt;SUMIFS(Detalle!$H:$H,Detalle!$A:$A,$B$3,Detalle!$B:$B,$A7,Detalle!$D:$D,J$4),"▼","="))&amp;" "&amp;TEXT((J7-SUMIFS(Detalle!$H:$H,Detalle!$A:$A,$B$3,Detalle!$B:$B,$A7,Detalle!$D:$D,J$4))/SUMIFS(Detalle!$H:$H,Detalle!$A:$A,$B$3,Detalle!$B:$B,$A7,Detalle!$D:$D,J$4),"0.0%"))</f>
        <v>▲ 8.9%</v>
      </c>
      <c r="L7" s="10">
        <f>SUMIFS(Detalle!$G:$G,Detalle!$A:$A,$B$3,Detalle!$B:$B,$A7,Detalle!$D:$D,L$4)</f>
        <v>3258031.98</v>
      </c>
      <c r="M7" s="11" t="str">
        <f>IF(SUMIFS(Detalle!$H:$H,Detalle!$A:$A,$B$3,Detalle!$B:$B,$A7,Detalle!$D:$D,L$4)&lt;=0,IF(L7&gt;0,"▲ nuevo","="),IF(L7&gt;SUMIFS(Detalle!$H:$H,Detalle!$A:$A,$B$3,Detalle!$B:$B,$A7,Detalle!$D:$D,L$4),"▲",IF(L7&lt;SUMIFS(Detalle!$H:$H,Detalle!$A:$A,$B$3,Detalle!$B:$B,$A7,Detalle!$D:$D,L$4),"▼","="))&amp;" "&amp;TEXT((L7-SUMIFS(Detalle!$H:$H,Detalle!$A:$A,$B$3,Detalle!$B:$B,$A7,Detalle!$D:$D,L$4))/SUMIFS(Detalle!$H:$H,Detalle!$A:$A,$B$3,Detalle!$B:$B,$A7,Detalle!$D:$D,L$4),"0.0%"))</f>
        <v>▼ -9.5%</v>
      </c>
      <c r="N7" s="10">
        <f>SUMIFS(Detalle!$G:$G,Detalle!$A:$A,$B$3,Detalle!$B:$B,$A7,Detalle!$D:$D,N$4)</f>
        <v>3007381.38</v>
      </c>
      <c r="O7" s="11" t="str">
        <f>IF(SUMIFS(Detalle!$H:$H,Detalle!$A:$A,$B$3,Detalle!$B:$B,$A7,Detalle!$D:$D,N$4)&lt;=0,IF(N7&gt;0,"▲ nuevo","="),IF(N7&gt;SUMIFS(Detalle!$H:$H,Detalle!$A:$A,$B$3,Detalle!$B:$B,$A7,Detalle!$D:$D,N$4),"▲",IF(N7&lt;SUMIFS(Detalle!$H:$H,Detalle!$A:$A,$B$3,Detalle!$B:$B,$A7,Detalle!$D:$D,N$4),"▼","="))&amp;" "&amp;TEXT((N7-SUMIFS(Detalle!$H:$H,Detalle!$A:$A,$B$3,Detalle!$B:$B,$A7,Detalle!$D:$D,N$4))/SUMIFS(Detalle!$H:$H,Detalle!$A:$A,$B$3,Detalle!$B:$B,$A7,Detalle!$D:$D,N$4),"0.0%"))</f>
        <v>▼ -7.7%</v>
      </c>
      <c r="P7" s="12">
        <f>SUMIFS(Detalle!$G:$G,Detalle!$A:$A,$B$3,Detalle!$B:$B,$A7,Detalle!$D:$D,P$4)</f>
        <v>3197845</v>
      </c>
      <c r="Q7" s="13" t="str">
        <f>IF(SUMIFS(Detalle!$H:$H,Detalle!$A:$A,$B$3,Detalle!$B:$B,$A7,Detalle!$D:$D,P$4)&lt;=0,IF(P7&gt;0,"▲ nuevo","="),IF(P7&gt;SUMIFS(Detalle!$H:$H,Detalle!$A:$A,$B$3,Detalle!$B:$B,$A7,Detalle!$D:$D,P$4),"▲",IF(P7&lt;SUMIFS(Detalle!$H:$H,Detalle!$A:$A,$B$3,Detalle!$B:$B,$A7,Detalle!$D:$D,P$4),"▼","="))&amp;" "&amp;TEXT((P7-SUMIFS(Detalle!$H:$H,Detalle!$A:$A,$B$3,Detalle!$B:$B,$A7,Detalle!$D:$D,P$4))/SUMIFS(Detalle!$H:$H,Detalle!$A:$A,$B$3,Detalle!$B:$B,$A7,Detalle!$D:$D,P$4),"0.0%"))</f>
        <v>▲ 6.3%</v>
      </c>
    </row>
    <row r="8" spans="1:17" x14ac:dyDescent="0.3">
      <c r="A8" s="9" t="s">
        <v>31</v>
      </c>
      <c r="B8" s="10">
        <f>SUMIFS(Detalle!$G:$G,Detalle!$A:$A,$B$3,Detalle!$B:$B,$A8,Detalle!$D:$D,B$4)</f>
        <v>1407495.81</v>
      </c>
      <c r="C8" s="11" t="str">
        <f>IF(SUMIFS(Detalle!$H:$H,Detalle!$A:$A,$B$3,Detalle!$B:$B,$A8,Detalle!$D:$D,B$4)&lt;=0,IF(B8&gt;0,"▲ nuevo","="),IF(B8&gt;SUMIFS(Detalle!$H:$H,Detalle!$A:$A,$B$3,Detalle!$B:$B,$A8,Detalle!$D:$D,B$4),"▲",IF(B8&lt;SUMIFS(Detalle!$H:$H,Detalle!$A:$A,$B$3,Detalle!$B:$B,$A8,Detalle!$D:$D,B$4),"▼","="))&amp;" "&amp;TEXT((B8-SUMIFS(Detalle!$H:$H,Detalle!$A:$A,$B$3,Detalle!$B:$B,$A8,Detalle!$D:$D,B$4))/SUMIFS(Detalle!$H:$H,Detalle!$A:$A,$B$3,Detalle!$B:$B,$A8,Detalle!$D:$D,B$4),"0.0%"))</f>
        <v>▼ -10.2%</v>
      </c>
      <c r="D8" s="10">
        <f>SUMIFS(Detalle!$G:$G,Detalle!$A:$A,$B$3,Detalle!$B:$B,$A8,Detalle!$D:$D,D$4)</f>
        <v>1435803.23</v>
      </c>
      <c r="E8" s="11" t="str">
        <f>IF(SUMIFS(Detalle!$H:$H,Detalle!$A:$A,$B$3,Detalle!$B:$B,$A8,Detalle!$D:$D,D$4)&lt;=0,IF(D8&gt;0,"▲ nuevo","="),IF(D8&gt;SUMIFS(Detalle!$H:$H,Detalle!$A:$A,$B$3,Detalle!$B:$B,$A8,Detalle!$D:$D,D$4),"▲",IF(D8&lt;SUMIFS(Detalle!$H:$H,Detalle!$A:$A,$B$3,Detalle!$B:$B,$A8,Detalle!$D:$D,D$4),"▼","="))&amp;" "&amp;TEXT((D8-SUMIFS(Detalle!$H:$H,Detalle!$A:$A,$B$3,Detalle!$B:$B,$A8,Detalle!$D:$D,D$4))/SUMIFS(Detalle!$H:$H,Detalle!$A:$A,$B$3,Detalle!$B:$B,$A8,Detalle!$D:$D,D$4),"0.0%"))</f>
        <v>▲ 2.0%</v>
      </c>
      <c r="F8" s="10">
        <f>SUMIFS(Detalle!$G:$G,Detalle!$A:$A,$B$3,Detalle!$B:$B,$A8,Detalle!$D:$D,F$4)</f>
        <v>1553876.72</v>
      </c>
      <c r="G8" s="11" t="str">
        <f>IF(SUMIFS(Detalle!$H:$H,Detalle!$A:$A,$B$3,Detalle!$B:$B,$A8,Detalle!$D:$D,F$4)&lt;=0,IF(F8&gt;0,"▲ nuevo","="),IF(F8&gt;SUMIFS(Detalle!$H:$H,Detalle!$A:$A,$B$3,Detalle!$B:$B,$A8,Detalle!$D:$D,F$4),"▲",IF(F8&lt;SUMIFS(Detalle!$H:$H,Detalle!$A:$A,$B$3,Detalle!$B:$B,$A8,Detalle!$D:$D,F$4),"▼","="))&amp;" "&amp;TEXT((F8-SUMIFS(Detalle!$H:$H,Detalle!$A:$A,$B$3,Detalle!$B:$B,$A8,Detalle!$D:$D,F$4))/SUMIFS(Detalle!$H:$H,Detalle!$A:$A,$B$3,Detalle!$B:$B,$A8,Detalle!$D:$D,F$4),"0.0%"))</f>
        <v>▲ 8.2%</v>
      </c>
      <c r="H8" s="10">
        <f>SUMIFS(Detalle!$G:$G,Detalle!$A:$A,$B$3,Detalle!$B:$B,$A8,Detalle!$D:$D,H$4)</f>
        <v>1456983.18</v>
      </c>
      <c r="I8" s="11" t="str">
        <f>IF(SUMIFS(Detalle!$H:$H,Detalle!$A:$A,$B$3,Detalle!$B:$B,$A8,Detalle!$D:$D,H$4)&lt;=0,IF(H8&gt;0,"▲ nuevo","="),IF(H8&gt;SUMIFS(Detalle!$H:$H,Detalle!$A:$A,$B$3,Detalle!$B:$B,$A8,Detalle!$D:$D,H$4),"▲",IF(H8&lt;SUMIFS(Detalle!$H:$H,Detalle!$A:$A,$B$3,Detalle!$B:$B,$A8,Detalle!$D:$D,H$4),"▼","="))&amp;" "&amp;TEXT((H8-SUMIFS(Detalle!$H:$H,Detalle!$A:$A,$B$3,Detalle!$B:$B,$A8,Detalle!$D:$D,H$4))/SUMIFS(Detalle!$H:$H,Detalle!$A:$A,$B$3,Detalle!$B:$B,$A8,Detalle!$D:$D,H$4),"0.0%"))</f>
        <v>▼ -6.2%</v>
      </c>
      <c r="J8" s="10">
        <f>SUMIFS(Detalle!$G:$G,Detalle!$A:$A,$B$3,Detalle!$B:$B,$A8,Detalle!$D:$D,J$4)</f>
        <v>1334457.6000000001</v>
      </c>
      <c r="K8" s="11" t="str">
        <f>IF(SUMIFS(Detalle!$H:$H,Detalle!$A:$A,$B$3,Detalle!$B:$B,$A8,Detalle!$D:$D,J$4)&lt;=0,IF(J8&gt;0,"▲ nuevo","="),IF(J8&gt;SUMIFS(Detalle!$H:$H,Detalle!$A:$A,$B$3,Detalle!$B:$B,$A8,Detalle!$D:$D,J$4),"▲",IF(J8&lt;SUMIFS(Detalle!$H:$H,Detalle!$A:$A,$B$3,Detalle!$B:$B,$A8,Detalle!$D:$D,J$4),"▼","="))&amp;" "&amp;TEXT((J8-SUMIFS(Detalle!$H:$H,Detalle!$A:$A,$B$3,Detalle!$B:$B,$A8,Detalle!$D:$D,J$4))/SUMIFS(Detalle!$H:$H,Detalle!$A:$A,$B$3,Detalle!$B:$B,$A8,Detalle!$D:$D,J$4),"0.0%"))</f>
        <v>▼ -8.4%</v>
      </c>
      <c r="L8" s="10">
        <f>SUMIFS(Detalle!$G:$G,Detalle!$A:$A,$B$3,Detalle!$B:$B,$A8,Detalle!$D:$D,L$4)</f>
        <v>1282812.92</v>
      </c>
      <c r="M8" s="11" t="str">
        <f>IF(SUMIFS(Detalle!$H:$H,Detalle!$A:$A,$B$3,Detalle!$B:$B,$A8,Detalle!$D:$D,L$4)&lt;=0,IF(L8&gt;0,"▲ nuevo","="),IF(L8&gt;SUMIFS(Detalle!$H:$H,Detalle!$A:$A,$B$3,Detalle!$B:$B,$A8,Detalle!$D:$D,L$4),"▲",IF(L8&lt;SUMIFS(Detalle!$H:$H,Detalle!$A:$A,$B$3,Detalle!$B:$B,$A8,Detalle!$D:$D,L$4),"▼","="))&amp;" "&amp;TEXT((L8-SUMIFS(Detalle!$H:$H,Detalle!$A:$A,$B$3,Detalle!$B:$B,$A8,Detalle!$D:$D,L$4))/SUMIFS(Detalle!$H:$H,Detalle!$A:$A,$B$3,Detalle!$B:$B,$A8,Detalle!$D:$D,L$4),"0.0%"))</f>
        <v>▼ -3.9%</v>
      </c>
      <c r="N8" s="10">
        <f>SUMIFS(Detalle!$G:$G,Detalle!$A:$A,$B$3,Detalle!$B:$B,$A8,Detalle!$D:$D,N$4)</f>
        <v>1227939.54</v>
      </c>
      <c r="O8" s="11" t="str">
        <f>IF(SUMIFS(Detalle!$H:$H,Detalle!$A:$A,$B$3,Detalle!$B:$B,$A8,Detalle!$D:$D,N$4)&lt;=0,IF(N8&gt;0,"▲ nuevo","="),IF(N8&gt;SUMIFS(Detalle!$H:$H,Detalle!$A:$A,$B$3,Detalle!$B:$B,$A8,Detalle!$D:$D,N$4),"▲",IF(N8&lt;SUMIFS(Detalle!$H:$H,Detalle!$A:$A,$B$3,Detalle!$B:$B,$A8,Detalle!$D:$D,N$4),"▼","="))&amp;" "&amp;TEXT((N8-SUMIFS(Detalle!$H:$H,Detalle!$A:$A,$B$3,Detalle!$B:$B,$A8,Detalle!$D:$D,N$4))/SUMIFS(Detalle!$H:$H,Detalle!$A:$A,$B$3,Detalle!$B:$B,$A8,Detalle!$D:$D,N$4),"0.0%"))</f>
        <v>▼ -4.3%</v>
      </c>
      <c r="P8" s="12">
        <f>SUMIFS(Detalle!$G:$G,Detalle!$A:$A,$B$3,Detalle!$B:$B,$A8,Detalle!$D:$D,P$4)</f>
        <v>1255224.19</v>
      </c>
      <c r="Q8" s="13" t="str">
        <f>IF(SUMIFS(Detalle!$H:$H,Detalle!$A:$A,$B$3,Detalle!$B:$B,$A8,Detalle!$D:$D,P$4)&lt;=0,IF(P8&gt;0,"▲ nuevo","="),IF(P8&gt;SUMIFS(Detalle!$H:$H,Detalle!$A:$A,$B$3,Detalle!$B:$B,$A8,Detalle!$D:$D,P$4),"▲",IF(P8&lt;SUMIFS(Detalle!$H:$H,Detalle!$A:$A,$B$3,Detalle!$B:$B,$A8,Detalle!$D:$D,P$4),"▼","="))&amp;" "&amp;TEXT((P8-SUMIFS(Detalle!$H:$H,Detalle!$A:$A,$B$3,Detalle!$B:$B,$A8,Detalle!$D:$D,P$4))/SUMIFS(Detalle!$H:$H,Detalle!$A:$A,$B$3,Detalle!$B:$B,$A8,Detalle!$D:$D,P$4),"0.0%"))</f>
        <v>▲ 2.2%</v>
      </c>
    </row>
    <row r="9" spans="1:17" x14ac:dyDescent="0.3">
      <c r="A9" s="9" t="s">
        <v>32</v>
      </c>
      <c r="B9" s="10">
        <f>SUMIFS(Detalle!$G:$G,Detalle!$A:$A,$B$3,Detalle!$B:$B,$A9,Detalle!$D:$D,B$4)</f>
        <v>1255463.95</v>
      </c>
      <c r="C9" s="11" t="str">
        <f>IF(SUMIFS(Detalle!$H:$H,Detalle!$A:$A,$B$3,Detalle!$B:$B,$A9,Detalle!$D:$D,B$4)&lt;=0,IF(B9&gt;0,"▲ nuevo","="),IF(B9&gt;SUMIFS(Detalle!$H:$H,Detalle!$A:$A,$B$3,Detalle!$B:$B,$A9,Detalle!$D:$D,B$4),"▲",IF(B9&lt;SUMIFS(Detalle!$H:$H,Detalle!$A:$A,$B$3,Detalle!$B:$B,$A9,Detalle!$D:$D,B$4),"▼","="))&amp;" "&amp;TEXT((B9-SUMIFS(Detalle!$H:$H,Detalle!$A:$A,$B$3,Detalle!$B:$B,$A9,Detalle!$D:$D,B$4))/SUMIFS(Detalle!$H:$H,Detalle!$A:$A,$B$3,Detalle!$B:$B,$A9,Detalle!$D:$D,B$4),"0.0%"))</f>
        <v>▼ -3.1%</v>
      </c>
      <c r="D9" s="10">
        <f>SUMIFS(Detalle!$G:$G,Detalle!$A:$A,$B$3,Detalle!$B:$B,$A9,Detalle!$D:$D,D$4)</f>
        <v>1238490.18</v>
      </c>
      <c r="E9" s="11" t="str">
        <f>IF(SUMIFS(Detalle!$H:$H,Detalle!$A:$A,$B$3,Detalle!$B:$B,$A9,Detalle!$D:$D,D$4)&lt;=0,IF(D9&gt;0,"▲ nuevo","="),IF(D9&gt;SUMIFS(Detalle!$H:$H,Detalle!$A:$A,$B$3,Detalle!$B:$B,$A9,Detalle!$D:$D,D$4),"▲",IF(D9&lt;SUMIFS(Detalle!$H:$H,Detalle!$A:$A,$B$3,Detalle!$B:$B,$A9,Detalle!$D:$D,D$4),"▼","="))&amp;" "&amp;TEXT((D9-SUMIFS(Detalle!$H:$H,Detalle!$A:$A,$B$3,Detalle!$B:$B,$A9,Detalle!$D:$D,D$4))/SUMIFS(Detalle!$H:$H,Detalle!$A:$A,$B$3,Detalle!$B:$B,$A9,Detalle!$D:$D,D$4),"0.0%"))</f>
        <v>▼ -1.4%</v>
      </c>
      <c r="F9" s="10">
        <f>SUMIFS(Detalle!$G:$G,Detalle!$A:$A,$B$3,Detalle!$B:$B,$A9,Detalle!$D:$D,F$4)</f>
        <v>1327700.8700000001</v>
      </c>
      <c r="G9" s="11" t="str">
        <f>IF(SUMIFS(Detalle!$H:$H,Detalle!$A:$A,$B$3,Detalle!$B:$B,$A9,Detalle!$D:$D,F$4)&lt;=0,IF(F9&gt;0,"▲ nuevo","="),IF(F9&gt;SUMIFS(Detalle!$H:$H,Detalle!$A:$A,$B$3,Detalle!$B:$B,$A9,Detalle!$D:$D,F$4),"▲",IF(F9&lt;SUMIFS(Detalle!$H:$H,Detalle!$A:$A,$B$3,Detalle!$B:$B,$A9,Detalle!$D:$D,F$4),"▼","="))&amp;" "&amp;TEXT((F9-SUMIFS(Detalle!$H:$H,Detalle!$A:$A,$B$3,Detalle!$B:$B,$A9,Detalle!$D:$D,F$4))/SUMIFS(Detalle!$H:$H,Detalle!$A:$A,$B$3,Detalle!$B:$B,$A9,Detalle!$D:$D,F$4),"0.0%"))</f>
        <v>▲ 7.2%</v>
      </c>
      <c r="H9" s="10">
        <f>SUMIFS(Detalle!$G:$G,Detalle!$A:$A,$B$3,Detalle!$B:$B,$A9,Detalle!$D:$D,H$4)</f>
        <v>1341001.51</v>
      </c>
      <c r="I9" s="11" t="str">
        <f>IF(SUMIFS(Detalle!$H:$H,Detalle!$A:$A,$B$3,Detalle!$B:$B,$A9,Detalle!$D:$D,H$4)&lt;=0,IF(H9&gt;0,"▲ nuevo","="),IF(H9&gt;SUMIFS(Detalle!$H:$H,Detalle!$A:$A,$B$3,Detalle!$B:$B,$A9,Detalle!$D:$D,H$4),"▲",IF(H9&lt;SUMIFS(Detalle!$H:$H,Detalle!$A:$A,$B$3,Detalle!$B:$B,$A9,Detalle!$D:$D,H$4),"▼","="))&amp;" "&amp;TEXT((H9-SUMIFS(Detalle!$H:$H,Detalle!$A:$A,$B$3,Detalle!$B:$B,$A9,Detalle!$D:$D,H$4))/SUMIFS(Detalle!$H:$H,Detalle!$A:$A,$B$3,Detalle!$B:$B,$A9,Detalle!$D:$D,H$4),"0.0%"))</f>
        <v>▲ 1.0%</v>
      </c>
      <c r="J9" s="10">
        <f>SUMIFS(Detalle!$G:$G,Detalle!$A:$A,$B$3,Detalle!$B:$B,$A9,Detalle!$D:$D,J$4)</f>
        <v>1339775.1000000001</v>
      </c>
      <c r="K9" s="11" t="str">
        <f>IF(SUMIFS(Detalle!$H:$H,Detalle!$A:$A,$B$3,Detalle!$B:$B,$A9,Detalle!$D:$D,J$4)&lt;=0,IF(J9&gt;0,"▲ nuevo","="),IF(J9&gt;SUMIFS(Detalle!$H:$H,Detalle!$A:$A,$B$3,Detalle!$B:$B,$A9,Detalle!$D:$D,J$4),"▲",IF(J9&lt;SUMIFS(Detalle!$H:$H,Detalle!$A:$A,$B$3,Detalle!$B:$B,$A9,Detalle!$D:$D,J$4),"▼","="))&amp;" "&amp;TEXT((J9-SUMIFS(Detalle!$H:$H,Detalle!$A:$A,$B$3,Detalle!$B:$B,$A9,Detalle!$D:$D,J$4))/SUMIFS(Detalle!$H:$H,Detalle!$A:$A,$B$3,Detalle!$B:$B,$A9,Detalle!$D:$D,J$4),"0.0%"))</f>
        <v>▼ -0.1%</v>
      </c>
      <c r="L9" s="10">
        <f>SUMIFS(Detalle!$G:$G,Detalle!$A:$A,$B$3,Detalle!$B:$B,$A9,Detalle!$D:$D,L$4)</f>
        <v>1346351.02</v>
      </c>
      <c r="M9" s="11" t="str">
        <f>IF(SUMIFS(Detalle!$H:$H,Detalle!$A:$A,$B$3,Detalle!$B:$B,$A9,Detalle!$D:$D,L$4)&lt;=0,IF(L9&gt;0,"▲ nuevo","="),IF(L9&gt;SUMIFS(Detalle!$H:$H,Detalle!$A:$A,$B$3,Detalle!$B:$B,$A9,Detalle!$D:$D,L$4),"▲",IF(L9&lt;SUMIFS(Detalle!$H:$H,Detalle!$A:$A,$B$3,Detalle!$B:$B,$A9,Detalle!$D:$D,L$4),"▼","="))&amp;" "&amp;TEXT((L9-SUMIFS(Detalle!$H:$H,Detalle!$A:$A,$B$3,Detalle!$B:$B,$A9,Detalle!$D:$D,L$4))/SUMIFS(Detalle!$H:$H,Detalle!$A:$A,$B$3,Detalle!$B:$B,$A9,Detalle!$D:$D,L$4),"0.0%"))</f>
        <v>▲ 0.5%</v>
      </c>
      <c r="N9" s="10">
        <f>SUMIFS(Detalle!$G:$G,Detalle!$A:$A,$B$3,Detalle!$B:$B,$A9,Detalle!$D:$D,N$4)</f>
        <v>1337987.48</v>
      </c>
      <c r="O9" s="11" t="str">
        <f>IF(SUMIFS(Detalle!$H:$H,Detalle!$A:$A,$B$3,Detalle!$B:$B,$A9,Detalle!$D:$D,N$4)&lt;=0,IF(N9&gt;0,"▲ nuevo","="),IF(N9&gt;SUMIFS(Detalle!$H:$H,Detalle!$A:$A,$B$3,Detalle!$B:$B,$A9,Detalle!$D:$D,N$4),"▲",IF(N9&lt;SUMIFS(Detalle!$H:$H,Detalle!$A:$A,$B$3,Detalle!$B:$B,$A9,Detalle!$D:$D,N$4),"▼","="))&amp;" "&amp;TEXT((N9-SUMIFS(Detalle!$H:$H,Detalle!$A:$A,$B$3,Detalle!$B:$B,$A9,Detalle!$D:$D,N$4))/SUMIFS(Detalle!$H:$H,Detalle!$A:$A,$B$3,Detalle!$B:$B,$A9,Detalle!$D:$D,N$4),"0.0%"))</f>
        <v>▼ -0.6%</v>
      </c>
      <c r="P9" s="12">
        <f>SUMIFS(Detalle!$G:$G,Detalle!$A:$A,$B$3,Detalle!$B:$B,$A9,Detalle!$D:$D,P$4)</f>
        <v>1397127.76</v>
      </c>
      <c r="Q9" s="13" t="str">
        <f>IF(SUMIFS(Detalle!$H:$H,Detalle!$A:$A,$B$3,Detalle!$B:$B,$A9,Detalle!$D:$D,P$4)&lt;=0,IF(P9&gt;0,"▲ nuevo","="),IF(P9&gt;SUMIFS(Detalle!$H:$H,Detalle!$A:$A,$B$3,Detalle!$B:$B,$A9,Detalle!$D:$D,P$4),"▲",IF(P9&lt;SUMIFS(Detalle!$H:$H,Detalle!$A:$A,$B$3,Detalle!$B:$B,$A9,Detalle!$D:$D,P$4),"▼","="))&amp;" "&amp;TEXT((P9-SUMIFS(Detalle!$H:$H,Detalle!$A:$A,$B$3,Detalle!$B:$B,$A9,Detalle!$D:$D,P$4))/SUMIFS(Detalle!$H:$H,Detalle!$A:$A,$B$3,Detalle!$B:$B,$A9,Detalle!$D:$D,P$4),"0.0%"))</f>
        <v>▲ 4.4%</v>
      </c>
    </row>
    <row r="10" spans="1:17" x14ac:dyDescent="0.3">
      <c r="A10" s="9" t="s">
        <v>33</v>
      </c>
      <c r="B10" s="10">
        <f>SUMIFS(Detalle!$G:$G,Detalle!$A:$A,$B$3,Detalle!$B:$B,$A10,Detalle!$D:$D,B$4)</f>
        <v>510678.7</v>
      </c>
      <c r="C10" s="11" t="str">
        <f>IF(SUMIFS(Detalle!$H:$H,Detalle!$A:$A,$B$3,Detalle!$B:$B,$A10,Detalle!$D:$D,B$4)&lt;=0,IF(B10&gt;0,"▲ nuevo","="),IF(B10&gt;SUMIFS(Detalle!$H:$H,Detalle!$A:$A,$B$3,Detalle!$B:$B,$A10,Detalle!$D:$D,B$4),"▲",IF(B10&lt;SUMIFS(Detalle!$H:$H,Detalle!$A:$A,$B$3,Detalle!$B:$B,$A10,Detalle!$D:$D,B$4),"▼","="))&amp;" "&amp;TEXT((B10-SUMIFS(Detalle!$H:$H,Detalle!$A:$A,$B$3,Detalle!$B:$B,$A10,Detalle!$D:$D,B$4))/SUMIFS(Detalle!$H:$H,Detalle!$A:$A,$B$3,Detalle!$B:$B,$A10,Detalle!$D:$D,B$4),"0.0%"))</f>
        <v>▼ -34.2%</v>
      </c>
      <c r="D10" s="10">
        <f>SUMIFS(Detalle!$G:$G,Detalle!$A:$A,$B$3,Detalle!$B:$B,$A10,Detalle!$D:$D,D$4)</f>
        <v>922448.47</v>
      </c>
      <c r="E10" s="11" t="str">
        <f>IF(SUMIFS(Detalle!$H:$H,Detalle!$A:$A,$B$3,Detalle!$B:$B,$A10,Detalle!$D:$D,D$4)&lt;=0,IF(D10&gt;0,"▲ nuevo","="),IF(D10&gt;SUMIFS(Detalle!$H:$H,Detalle!$A:$A,$B$3,Detalle!$B:$B,$A10,Detalle!$D:$D,D$4),"▲",IF(D10&lt;SUMIFS(Detalle!$H:$H,Detalle!$A:$A,$B$3,Detalle!$B:$B,$A10,Detalle!$D:$D,D$4),"▼","="))&amp;" "&amp;TEXT((D10-SUMIFS(Detalle!$H:$H,Detalle!$A:$A,$B$3,Detalle!$B:$B,$A10,Detalle!$D:$D,D$4))/SUMIFS(Detalle!$H:$H,Detalle!$A:$A,$B$3,Detalle!$B:$B,$A10,Detalle!$D:$D,D$4),"0.0%"))</f>
        <v>▲ 80.6%</v>
      </c>
      <c r="F10" s="10">
        <f>SUMIFS(Detalle!$G:$G,Detalle!$A:$A,$B$3,Detalle!$B:$B,$A10,Detalle!$D:$D,F$4)</f>
        <v>875150.16</v>
      </c>
      <c r="G10" s="11" t="str">
        <f>IF(SUMIFS(Detalle!$H:$H,Detalle!$A:$A,$B$3,Detalle!$B:$B,$A10,Detalle!$D:$D,F$4)&lt;=0,IF(F10&gt;0,"▲ nuevo","="),IF(F10&gt;SUMIFS(Detalle!$H:$H,Detalle!$A:$A,$B$3,Detalle!$B:$B,$A10,Detalle!$D:$D,F$4),"▲",IF(F10&lt;SUMIFS(Detalle!$H:$H,Detalle!$A:$A,$B$3,Detalle!$B:$B,$A10,Detalle!$D:$D,F$4),"▼","="))&amp;" "&amp;TEXT((F10-SUMIFS(Detalle!$H:$H,Detalle!$A:$A,$B$3,Detalle!$B:$B,$A10,Detalle!$D:$D,F$4))/SUMIFS(Detalle!$H:$H,Detalle!$A:$A,$B$3,Detalle!$B:$B,$A10,Detalle!$D:$D,F$4),"0.0%"))</f>
        <v>▼ -5.1%</v>
      </c>
      <c r="H10" s="10">
        <f>SUMIFS(Detalle!$G:$G,Detalle!$A:$A,$B$3,Detalle!$B:$B,$A10,Detalle!$D:$D,H$4)</f>
        <v>728494.96</v>
      </c>
      <c r="I10" s="11" t="str">
        <f>IF(SUMIFS(Detalle!$H:$H,Detalle!$A:$A,$B$3,Detalle!$B:$B,$A10,Detalle!$D:$D,H$4)&lt;=0,IF(H10&gt;0,"▲ nuevo","="),IF(H10&gt;SUMIFS(Detalle!$H:$H,Detalle!$A:$A,$B$3,Detalle!$B:$B,$A10,Detalle!$D:$D,H$4),"▲",IF(H10&lt;SUMIFS(Detalle!$H:$H,Detalle!$A:$A,$B$3,Detalle!$B:$B,$A10,Detalle!$D:$D,H$4),"▼","="))&amp;" "&amp;TEXT((H10-SUMIFS(Detalle!$H:$H,Detalle!$A:$A,$B$3,Detalle!$B:$B,$A10,Detalle!$D:$D,H$4))/SUMIFS(Detalle!$H:$H,Detalle!$A:$A,$B$3,Detalle!$B:$B,$A10,Detalle!$D:$D,H$4),"0.0%"))</f>
        <v>▼ -16.8%</v>
      </c>
      <c r="J10" s="10">
        <f>SUMIFS(Detalle!$G:$G,Detalle!$A:$A,$B$3,Detalle!$B:$B,$A10,Detalle!$D:$D,J$4)</f>
        <v>758991.52</v>
      </c>
      <c r="K10" s="11" t="str">
        <f>IF(SUMIFS(Detalle!$H:$H,Detalle!$A:$A,$B$3,Detalle!$B:$B,$A10,Detalle!$D:$D,J$4)&lt;=0,IF(J10&gt;0,"▲ nuevo","="),IF(J10&gt;SUMIFS(Detalle!$H:$H,Detalle!$A:$A,$B$3,Detalle!$B:$B,$A10,Detalle!$D:$D,J$4),"▲",IF(J10&lt;SUMIFS(Detalle!$H:$H,Detalle!$A:$A,$B$3,Detalle!$B:$B,$A10,Detalle!$D:$D,J$4),"▼","="))&amp;" "&amp;TEXT((J10-SUMIFS(Detalle!$H:$H,Detalle!$A:$A,$B$3,Detalle!$B:$B,$A10,Detalle!$D:$D,J$4))/SUMIFS(Detalle!$H:$H,Detalle!$A:$A,$B$3,Detalle!$B:$B,$A10,Detalle!$D:$D,J$4),"0.0%"))</f>
        <v>▲ 4.2%</v>
      </c>
      <c r="L10" s="10">
        <f>SUMIFS(Detalle!$G:$G,Detalle!$A:$A,$B$3,Detalle!$B:$B,$A10,Detalle!$D:$D,L$4)</f>
        <v>674584.91</v>
      </c>
      <c r="M10" s="11" t="str">
        <f>IF(SUMIFS(Detalle!$H:$H,Detalle!$A:$A,$B$3,Detalle!$B:$B,$A10,Detalle!$D:$D,L$4)&lt;=0,IF(L10&gt;0,"▲ nuevo","="),IF(L10&gt;SUMIFS(Detalle!$H:$H,Detalle!$A:$A,$B$3,Detalle!$B:$B,$A10,Detalle!$D:$D,L$4),"▲",IF(L10&lt;SUMIFS(Detalle!$H:$H,Detalle!$A:$A,$B$3,Detalle!$B:$B,$A10,Detalle!$D:$D,L$4),"▼","="))&amp;" "&amp;TEXT((L10-SUMIFS(Detalle!$H:$H,Detalle!$A:$A,$B$3,Detalle!$B:$B,$A10,Detalle!$D:$D,L$4))/SUMIFS(Detalle!$H:$H,Detalle!$A:$A,$B$3,Detalle!$B:$B,$A10,Detalle!$D:$D,L$4),"0.0%"))</f>
        <v>▼ -11.1%</v>
      </c>
      <c r="N10" s="10">
        <f>SUMIFS(Detalle!$G:$G,Detalle!$A:$A,$B$3,Detalle!$B:$B,$A10,Detalle!$D:$D,N$4)</f>
        <v>830450.03</v>
      </c>
      <c r="O10" s="11" t="str">
        <f>IF(SUMIFS(Detalle!$H:$H,Detalle!$A:$A,$B$3,Detalle!$B:$B,$A10,Detalle!$D:$D,N$4)&lt;=0,IF(N10&gt;0,"▲ nuevo","="),IF(N10&gt;SUMIFS(Detalle!$H:$H,Detalle!$A:$A,$B$3,Detalle!$B:$B,$A10,Detalle!$D:$D,N$4),"▲",IF(N10&lt;SUMIFS(Detalle!$H:$H,Detalle!$A:$A,$B$3,Detalle!$B:$B,$A10,Detalle!$D:$D,N$4),"▼","="))&amp;" "&amp;TEXT((N10-SUMIFS(Detalle!$H:$H,Detalle!$A:$A,$B$3,Detalle!$B:$B,$A10,Detalle!$D:$D,N$4))/SUMIFS(Detalle!$H:$H,Detalle!$A:$A,$B$3,Detalle!$B:$B,$A10,Detalle!$D:$D,N$4),"0.0%"))</f>
        <v>▲ 23.1%</v>
      </c>
      <c r="P10" s="12">
        <f>SUMIFS(Detalle!$G:$G,Detalle!$A:$A,$B$3,Detalle!$B:$B,$A10,Detalle!$D:$D,P$4)</f>
        <v>677868.76</v>
      </c>
      <c r="Q10" s="13" t="str">
        <f>IF(SUMIFS(Detalle!$H:$H,Detalle!$A:$A,$B$3,Detalle!$B:$B,$A10,Detalle!$D:$D,P$4)&lt;=0,IF(P10&gt;0,"▲ nuevo","="),IF(P10&gt;SUMIFS(Detalle!$H:$H,Detalle!$A:$A,$B$3,Detalle!$B:$B,$A10,Detalle!$D:$D,P$4),"▲",IF(P10&lt;SUMIFS(Detalle!$H:$H,Detalle!$A:$A,$B$3,Detalle!$B:$B,$A10,Detalle!$D:$D,P$4),"▼","="))&amp;" "&amp;TEXT((P10-SUMIFS(Detalle!$H:$H,Detalle!$A:$A,$B$3,Detalle!$B:$B,$A10,Detalle!$D:$D,P$4))/SUMIFS(Detalle!$H:$H,Detalle!$A:$A,$B$3,Detalle!$B:$B,$A10,Detalle!$D:$D,P$4),"0.0%"))</f>
        <v>▼ -18.4%</v>
      </c>
    </row>
    <row r="11" spans="1:17" x14ac:dyDescent="0.3">
      <c r="A11" s="9" t="s">
        <v>34</v>
      </c>
      <c r="B11" s="10">
        <f>SUMIFS(Detalle!$G:$G,Detalle!$A:$A,$B$3,Detalle!$B:$B,$A11,Detalle!$D:$D,B$4)</f>
        <v>496267.88</v>
      </c>
      <c r="C11" s="11" t="str">
        <f>IF(SUMIFS(Detalle!$H:$H,Detalle!$A:$A,$B$3,Detalle!$B:$B,$A11,Detalle!$D:$D,B$4)&lt;=0,IF(B11&gt;0,"▲ nuevo","="),IF(B11&gt;SUMIFS(Detalle!$H:$H,Detalle!$A:$A,$B$3,Detalle!$B:$B,$A11,Detalle!$D:$D,B$4),"▲",IF(B11&lt;SUMIFS(Detalle!$H:$H,Detalle!$A:$A,$B$3,Detalle!$B:$B,$A11,Detalle!$D:$D,B$4),"▼","="))&amp;" "&amp;TEXT((B11-SUMIFS(Detalle!$H:$H,Detalle!$A:$A,$B$3,Detalle!$B:$B,$A11,Detalle!$D:$D,B$4))/SUMIFS(Detalle!$H:$H,Detalle!$A:$A,$B$3,Detalle!$B:$B,$A11,Detalle!$D:$D,B$4),"0.0%"))</f>
        <v>▼ -3.2%</v>
      </c>
      <c r="D11" s="10">
        <f>SUMIFS(Detalle!$G:$G,Detalle!$A:$A,$B$3,Detalle!$B:$B,$A11,Detalle!$D:$D,D$4)</f>
        <v>475855.98</v>
      </c>
      <c r="E11" s="11" t="str">
        <f>IF(SUMIFS(Detalle!$H:$H,Detalle!$A:$A,$B$3,Detalle!$B:$B,$A11,Detalle!$D:$D,D$4)&lt;=0,IF(D11&gt;0,"▲ nuevo","="),IF(D11&gt;SUMIFS(Detalle!$H:$H,Detalle!$A:$A,$B$3,Detalle!$B:$B,$A11,Detalle!$D:$D,D$4),"▲",IF(D11&lt;SUMIFS(Detalle!$H:$H,Detalle!$A:$A,$B$3,Detalle!$B:$B,$A11,Detalle!$D:$D,D$4),"▼","="))&amp;" "&amp;TEXT((D11-SUMIFS(Detalle!$H:$H,Detalle!$A:$A,$B$3,Detalle!$B:$B,$A11,Detalle!$D:$D,D$4))/SUMIFS(Detalle!$H:$H,Detalle!$A:$A,$B$3,Detalle!$B:$B,$A11,Detalle!$D:$D,D$4),"0.0%"))</f>
        <v>▼ -4.1%</v>
      </c>
      <c r="F11" s="10">
        <f>SUMIFS(Detalle!$G:$G,Detalle!$A:$A,$B$3,Detalle!$B:$B,$A11,Detalle!$D:$D,F$4)</f>
        <v>581676.89</v>
      </c>
      <c r="G11" s="11" t="str">
        <f>IF(SUMIFS(Detalle!$H:$H,Detalle!$A:$A,$B$3,Detalle!$B:$B,$A11,Detalle!$D:$D,F$4)&lt;=0,IF(F11&gt;0,"▲ nuevo","="),IF(F11&gt;SUMIFS(Detalle!$H:$H,Detalle!$A:$A,$B$3,Detalle!$B:$B,$A11,Detalle!$D:$D,F$4),"▲",IF(F11&lt;SUMIFS(Detalle!$H:$H,Detalle!$A:$A,$B$3,Detalle!$B:$B,$A11,Detalle!$D:$D,F$4),"▼","="))&amp;" "&amp;TEXT((F11-SUMIFS(Detalle!$H:$H,Detalle!$A:$A,$B$3,Detalle!$B:$B,$A11,Detalle!$D:$D,F$4))/SUMIFS(Detalle!$H:$H,Detalle!$A:$A,$B$3,Detalle!$B:$B,$A11,Detalle!$D:$D,F$4),"0.0%"))</f>
        <v>▲ 22.2%</v>
      </c>
      <c r="H11" s="10">
        <f>SUMIFS(Detalle!$G:$G,Detalle!$A:$A,$B$3,Detalle!$B:$B,$A11,Detalle!$D:$D,H$4)</f>
        <v>551254.97</v>
      </c>
      <c r="I11" s="11" t="str">
        <f>IF(SUMIFS(Detalle!$H:$H,Detalle!$A:$A,$B$3,Detalle!$B:$B,$A11,Detalle!$D:$D,H$4)&lt;=0,IF(H11&gt;0,"▲ nuevo","="),IF(H11&gt;SUMIFS(Detalle!$H:$H,Detalle!$A:$A,$B$3,Detalle!$B:$B,$A11,Detalle!$D:$D,H$4),"▲",IF(H11&lt;SUMIFS(Detalle!$H:$H,Detalle!$A:$A,$B$3,Detalle!$B:$B,$A11,Detalle!$D:$D,H$4),"▼","="))&amp;" "&amp;TEXT((H11-SUMIFS(Detalle!$H:$H,Detalle!$A:$A,$B$3,Detalle!$B:$B,$A11,Detalle!$D:$D,H$4))/SUMIFS(Detalle!$H:$H,Detalle!$A:$A,$B$3,Detalle!$B:$B,$A11,Detalle!$D:$D,H$4),"0.0%"))</f>
        <v>▼ -5.2%</v>
      </c>
      <c r="J11" s="10">
        <f>SUMIFS(Detalle!$G:$G,Detalle!$A:$A,$B$3,Detalle!$B:$B,$A11,Detalle!$D:$D,J$4)</f>
        <v>547187.13</v>
      </c>
      <c r="K11" s="11" t="str">
        <f>IF(SUMIFS(Detalle!$H:$H,Detalle!$A:$A,$B$3,Detalle!$B:$B,$A11,Detalle!$D:$D,J$4)&lt;=0,IF(J11&gt;0,"▲ nuevo","="),IF(J11&gt;SUMIFS(Detalle!$H:$H,Detalle!$A:$A,$B$3,Detalle!$B:$B,$A11,Detalle!$D:$D,J$4),"▲",IF(J11&lt;SUMIFS(Detalle!$H:$H,Detalle!$A:$A,$B$3,Detalle!$B:$B,$A11,Detalle!$D:$D,J$4),"▼","="))&amp;" "&amp;TEXT((J11-SUMIFS(Detalle!$H:$H,Detalle!$A:$A,$B$3,Detalle!$B:$B,$A11,Detalle!$D:$D,J$4))/SUMIFS(Detalle!$H:$H,Detalle!$A:$A,$B$3,Detalle!$B:$B,$A11,Detalle!$D:$D,J$4),"0.0%"))</f>
        <v>▼ -0.7%</v>
      </c>
      <c r="L11" s="10">
        <f>SUMIFS(Detalle!$G:$G,Detalle!$A:$A,$B$3,Detalle!$B:$B,$A11,Detalle!$D:$D,L$4)</f>
        <v>550495.21</v>
      </c>
      <c r="M11" s="11" t="str">
        <f>IF(SUMIFS(Detalle!$H:$H,Detalle!$A:$A,$B$3,Detalle!$B:$B,$A11,Detalle!$D:$D,L$4)&lt;=0,IF(L11&gt;0,"▲ nuevo","="),IF(L11&gt;SUMIFS(Detalle!$H:$H,Detalle!$A:$A,$B$3,Detalle!$B:$B,$A11,Detalle!$D:$D,L$4),"▲",IF(L11&lt;SUMIFS(Detalle!$H:$H,Detalle!$A:$A,$B$3,Detalle!$B:$B,$A11,Detalle!$D:$D,L$4),"▼","="))&amp;" "&amp;TEXT((L11-SUMIFS(Detalle!$H:$H,Detalle!$A:$A,$B$3,Detalle!$B:$B,$A11,Detalle!$D:$D,L$4))/SUMIFS(Detalle!$H:$H,Detalle!$A:$A,$B$3,Detalle!$B:$B,$A11,Detalle!$D:$D,L$4),"0.0%"))</f>
        <v>▲ 0.6%</v>
      </c>
      <c r="N11" s="10">
        <f>SUMIFS(Detalle!$G:$G,Detalle!$A:$A,$B$3,Detalle!$B:$B,$A11,Detalle!$D:$D,N$4)</f>
        <v>604093.47</v>
      </c>
      <c r="O11" s="11" t="str">
        <f>IF(SUMIFS(Detalle!$H:$H,Detalle!$A:$A,$B$3,Detalle!$B:$B,$A11,Detalle!$D:$D,N$4)&lt;=0,IF(N11&gt;0,"▲ nuevo","="),IF(N11&gt;SUMIFS(Detalle!$H:$H,Detalle!$A:$A,$B$3,Detalle!$B:$B,$A11,Detalle!$D:$D,N$4),"▲",IF(N11&lt;SUMIFS(Detalle!$H:$H,Detalle!$A:$A,$B$3,Detalle!$B:$B,$A11,Detalle!$D:$D,N$4),"▼","="))&amp;" "&amp;TEXT((N11-SUMIFS(Detalle!$H:$H,Detalle!$A:$A,$B$3,Detalle!$B:$B,$A11,Detalle!$D:$D,N$4))/SUMIFS(Detalle!$H:$H,Detalle!$A:$A,$B$3,Detalle!$B:$B,$A11,Detalle!$D:$D,N$4),"0.0%"))</f>
        <v>▲ 9.7%</v>
      </c>
      <c r="P11" s="12">
        <f>SUMIFS(Detalle!$G:$G,Detalle!$A:$A,$B$3,Detalle!$B:$B,$A11,Detalle!$D:$D,P$4)</f>
        <v>576930.1</v>
      </c>
      <c r="Q11" s="13" t="str">
        <f>IF(SUMIFS(Detalle!$H:$H,Detalle!$A:$A,$B$3,Detalle!$B:$B,$A11,Detalle!$D:$D,P$4)&lt;=0,IF(P11&gt;0,"▲ nuevo","="),IF(P11&gt;SUMIFS(Detalle!$H:$H,Detalle!$A:$A,$B$3,Detalle!$B:$B,$A11,Detalle!$D:$D,P$4),"▲",IF(P11&lt;SUMIFS(Detalle!$H:$H,Detalle!$A:$A,$B$3,Detalle!$B:$B,$A11,Detalle!$D:$D,P$4),"▼","="))&amp;" "&amp;TEXT((P11-SUMIFS(Detalle!$H:$H,Detalle!$A:$A,$B$3,Detalle!$B:$B,$A11,Detalle!$D:$D,P$4))/SUMIFS(Detalle!$H:$H,Detalle!$A:$A,$B$3,Detalle!$B:$B,$A11,Detalle!$D:$D,P$4),"0.0%"))</f>
        <v>▼ -4.5%</v>
      </c>
    </row>
    <row r="12" spans="1:17" x14ac:dyDescent="0.3">
      <c r="A12" s="9" t="s">
        <v>35</v>
      </c>
      <c r="B12" s="10">
        <f>SUMIFS(Detalle!$G:$G,Detalle!$A:$A,$B$3,Detalle!$B:$B,$A12,Detalle!$D:$D,B$4)</f>
        <v>524637.61</v>
      </c>
      <c r="C12" s="11" t="str">
        <f>IF(SUMIFS(Detalle!$H:$H,Detalle!$A:$A,$B$3,Detalle!$B:$B,$A12,Detalle!$D:$D,B$4)&lt;=0,IF(B12&gt;0,"▲ nuevo","="),IF(B12&gt;SUMIFS(Detalle!$H:$H,Detalle!$A:$A,$B$3,Detalle!$B:$B,$A12,Detalle!$D:$D,B$4),"▲",IF(B12&lt;SUMIFS(Detalle!$H:$H,Detalle!$A:$A,$B$3,Detalle!$B:$B,$A12,Detalle!$D:$D,B$4),"▼","="))&amp;" "&amp;TEXT((B12-SUMIFS(Detalle!$H:$H,Detalle!$A:$A,$B$3,Detalle!$B:$B,$A12,Detalle!$D:$D,B$4))/SUMIFS(Detalle!$H:$H,Detalle!$A:$A,$B$3,Detalle!$B:$B,$A12,Detalle!$D:$D,B$4),"0.0%"))</f>
        <v>▼ -1.9%</v>
      </c>
      <c r="D12" s="10">
        <f>SUMIFS(Detalle!$G:$G,Detalle!$A:$A,$B$3,Detalle!$B:$B,$A12,Detalle!$D:$D,D$4)</f>
        <v>462123.28</v>
      </c>
      <c r="E12" s="11" t="str">
        <f>IF(SUMIFS(Detalle!$H:$H,Detalle!$A:$A,$B$3,Detalle!$B:$B,$A12,Detalle!$D:$D,D$4)&lt;=0,IF(D12&gt;0,"▲ nuevo","="),IF(D12&gt;SUMIFS(Detalle!$H:$H,Detalle!$A:$A,$B$3,Detalle!$B:$B,$A12,Detalle!$D:$D,D$4),"▲",IF(D12&lt;SUMIFS(Detalle!$H:$H,Detalle!$A:$A,$B$3,Detalle!$B:$B,$A12,Detalle!$D:$D,D$4),"▼","="))&amp;" "&amp;TEXT((D12-SUMIFS(Detalle!$H:$H,Detalle!$A:$A,$B$3,Detalle!$B:$B,$A12,Detalle!$D:$D,D$4))/SUMIFS(Detalle!$H:$H,Detalle!$A:$A,$B$3,Detalle!$B:$B,$A12,Detalle!$D:$D,D$4),"0.0%"))</f>
        <v>▼ -11.9%</v>
      </c>
      <c r="F12" s="10">
        <f>SUMIFS(Detalle!$G:$G,Detalle!$A:$A,$B$3,Detalle!$B:$B,$A12,Detalle!$D:$D,F$4)</f>
        <v>456813.73</v>
      </c>
      <c r="G12" s="11" t="str">
        <f>IF(SUMIFS(Detalle!$H:$H,Detalle!$A:$A,$B$3,Detalle!$B:$B,$A12,Detalle!$D:$D,F$4)&lt;=0,IF(F12&gt;0,"▲ nuevo","="),IF(F12&gt;SUMIFS(Detalle!$H:$H,Detalle!$A:$A,$B$3,Detalle!$B:$B,$A12,Detalle!$D:$D,F$4),"▲",IF(F12&lt;SUMIFS(Detalle!$H:$H,Detalle!$A:$A,$B$3,Detalle!$B:$B,$A12,Detalle!$D:$D,F$4),"▼","="))&amp;" "&amp;TEXT((F12-SUMIFS(Detalle!$H:$H,Detalle!$A:$A,$B$3,Detalle!$B:$B,$A12,Detalle!$D:$D,F$4))/SUMIFS(Detalle!$H:$H,Detalle!$A:$A,$B$3,Detalle!$B:$B,$A12,Detalle!$D:$D,F$4),"0.0%"))</f>
        <v>▼ -1.1%</v>
      </c>
      <c r="H12" s="10">
        <f>SUMIFS(Detalle!$G:$G,Detalle!$A:$A,$B$3,Detalle!$B:$B,$A12,Detalle!$D:$D,H$4)</f>
        <v>479469.21</v>
      </c>
      <c r="I12" s="11" t="str">
        <f>IF(SUMIFS(Detalle!$H:$H,Detalle!$A:$A,$B$3,Detalle!$B:$B,$A12,Detalle!$D:$D,H$4)&lt;=0,IF(H12&gt;0,"▲ nuevo","="),IF(H12&gt;SUMIFS(Detalle!$H:$H,Detalle!$A:$A,$B$3,Detalle!$B:$B,$A12,Detalle!$D:$D,H$4),"▲",IF(H12&lt;SUMIFS(Detalle!$H:$H,Detalle!$A:$A,$B$3,Detalle!$B:$B,$A12,Detalle!$D:$D,H$4),"▼","="))&amp;" "&amp;TEXT((H12-SUMIFS(Detalle!$H:$H,Detalle!$A:$A,$B$3,Detalle!$B:$B,$A12,Detalle!$D:$D,H$4))/SUMIFS(Detalle!$H:$H,Detalle!$A:$A,$B$3,Detalle!$B:$B,$A12,Detalle!$D:$D,H$4),"0.0%"))</f>
        <v>▲ 5.0%</v>
      </c>
      <c r="J12" s="10">
        <f>SUMIFS(Detalle!$G:$G,Detalle!$A:$A,$B$3,Detalle!$B:$B,$A12,Detalle!$D:$D,J$4)</f>
        <v>550835.24</v>
      </c>
      <c r="K12" s="11" t="str">
        <f>IF(SUMIFS(Detalle!$H:$H,Detalle!$A:$A,$B$3,Detalle!$B:$B,$A12,Detalle!$D:$D,J$4)&lt;=0,IF(J12&gt;0,"▲ nuevo","="),IF(J12&gt;SUMIFS(Detalle!$H:$H,Detalle!$A:$A,$B$3,Detalle!$B:$B,$A12,Detalle!$D:$D,J$4),"▲",IF(J12&lt;SUMIFS(Detalle!$H:$H,Detalle!$A:$A,$B$3,Detalle!$B:$B,$A12,Detalle!$D:$D,J$4),"▼","="))&amp;" "&amp;TEXT((J12-SUMIFS(Detalle!$H:$H,Detalle!$A:$A,$B$3,Detalle!$B:$B,$A12,Detalle!$D:$D,J$4))/SUMIFS(Detalle!$H:$H,Detalle!$A:$A,$B$3,Detalle!$B:$B,$A12,Detalle!$D:$D,J$4),"0.0%"))</f>
        <v>▲ 14.9%</v>
      </c>
      <c r="L12" s="10">
        <f>SUMIFS(Detalle!$G:$G,Detalle!$A:$A,$B$3,Detalle!$B:$B,$A12,Detalle!$D:$D,L$4)</f>
        <v>499739.3</v>
      </c>
      <c r="M12" s="11" t="str">
        <f>IF(SUMIFS(Detalle!$H:$H,Detalle!$A:$A,$B$3,Detalle!$B:$B,$A12,Detalle!$D:$D,L$4)&lt;=0,IF(L12&gt;0,"▲ nuevo","="),IF(L12&gt;SUMIFS(Detalle!$H:$H,Detalle!$A:$A,$B$3,Detalle!$B:$B,$A12,Detalle!$D:$D,L$4),"▲",IF(L12&lt;SUMIFS(Detalle!$H:$H,Detalle!$A:$A,$B$3,Detalle!$B:$B,$A12,Detalle!$D:$D,L$4),"▼","="))&amp;" "&amp;TEXT((L12-SUMIFS(Detalle!$H:$H,Detalle!$A:$A,$B$3,Detalle!$B:$B,$A12,Detalle!$D:$D,L$4))/SUMIFS(Detalle!$H:$H,Detalle!$A:$A,$B$3,Detalle!$B:$B,$A12,Detalle!$D:$D,L$4),"0.0%"))</f>
        <v>▼ -9.3%</v>
      </c>
      <c r="N12" s="10">
        <f>SUMIFS(Detalle!$G:$G,Detalle!$A:$A,$B$3,Detalle!$B:$B,$A12,Detalle!$D:$D,N$4)</f>
        <v>553212.02</v>
      </c>
      <c r="O12" s="11" t="str">
        <f>IF(SUMIFS(Detalle!$H:$H,Detalle!$A:$A,$B$3,Detalle!$B:$B,$A12,Detalle!$D:$D,N$4)&lt;=0,IF(N12&gt;0,"▲ nuevo","="),IF(N12&gt;SUMIFS(Detalle!$H:$H,Detalle!$A:$A,$B$3,Detalle!$B:$B,$A12,Detalle!$D:$D,N$4),"▲",IF(N12&lt;SUMIFS(Detalle!$H:$H,Detalle!$A:$A,$B$3,Detalle!$B:$B,$A12,Detalle!$D:$D,N$4),"▼","="))&amp;" "&amp;TEXT((N12-SUMIFS(Detalle!$H:$H,Detalle!$A:$A,$B$3,Detalle!$B:$B,$A12,Detalle!$D:$D,N$4))/SUMIFS(Detalle!$H:$H,Detalle!$A:$A,$B$3,Detalle!$B:$B,$A12,Detalle!$D:$D,N$4),"0.0%"))</f>
        <v>▲ 10.7%</v>
      </c>
      <c r="P12" s="12">
        <f>SUMIFS(Detalle!$G:$G,Detalle!$A:$A,$B$3,Detalle!$B:$B,$A12,Detalle!$D:$D,P$4)</f>
        <v>549046.73</v>
      </c>
      <c r="Q12" s="13" t="str">
        <f>IF(SUMIFS(Detalle!$H:$H,Detalle!$A:$A,$B$3,Detalle!$B:$B,$A12,Detalle!$D:$D,P$4)&lt;=0,IF(P12&gt;0,"▲ nuevo","="),IF(P12&gt;SUMIFS(Detalle!$H:$H,Detalle!$A:$A,$B$3,Detalle!$B:$B,$A12,Detalle!$D:$D,P$4),"▲",IF(P12&lt;SUMIFS(Detalle!$H:$H,Detalle!$A:$A,$B$3,Detalle!$B:$B,$A12,Detalle!$D:$D,P$4),"▼","="))&amp;" "&amp;TEXT((P12-SUMIFS(Detalle!$H:$H,Detalle!$A:$A,$B$3,Detalle!$B:$B,$A12,Detalle!$D:$D,P$4))/SUMIFS(Detalle!$H:$H,Detalle!$A:$A,$B$3,Detalle!$B:$B,$A12,Detalle!$D:$D,P$4),"0.0%"))</f>
        <v>▼ -0.8%</v>
      </c>
    </row>
    <row r="13" spans="1:17" x14ac:dyDescent="0.3">
      <c r="A13" s="9" t="s">
        <v>36</v>
      </c>
      <c r="B13" s="10">
        <f>SUMIFS(Detalle!$G:$G,Detalle!$A:$A,$B$3,Detalle!$B:$B,$A13,Detalle!$D:$D,B$4)</f>
        <v>94584.33</v>
      </c>
      <c r="C13" s="11" t="str">
        <f>IF(SUMIFS(Detalle!$H:$H,Detalle!$A:$A,$B$3,Detalle!$B:$B,$A13,Detalle!$D:$D,B$4)&lt;=0,IF(B13&gt;0,"▲ nuevo","="),IF(B13&gt;SUMIFS(Detalle!$H:$H,Detalle!$A:$A,$B$3,Detalle!$B:$B,$A13,Detalle!$D:$D,B$4),"▲",IF(B13&lt;SUMIFS(Detalle!$H:$H,Detalle!$A:$A,$B$3,Detalle!$B:$B,$A13,Detalle!$D:$D,B$4),"▼","="))&amp;" "&amp;TEXT((B13-SUMIFS(Detalle!$H:$H,Detalle!$A:$A,$B$3,Detalle!$B:$B,$A13,Detalle!$D:$D,B$4))/SUMIFS(Detalle!$H:$H,Detalle!$A:$A,$B$3,Detalle!$B:$B,$A13,Detalle!$D:$D,B$4),"0.0%"))</f>
        <v>▲ 26.2%</v>
      </c>
      <c r="D13" s="10">
        <f>SUMIFS(Detalle!$G:$G,Detalle!$A:$A,$B$3,Detalle!$B:$B,$A13,Detalle!$D:$D,D$4)</f>
        <v>87776.41</v>
      </c>
      <c r="E13" s="11" t="str">
        <f>IF(SUMIFS(Detalle!$H:$H,Detalle!$A:$A,$B$3,Detalle!$B:$B,$A13,Detalle!$D:$D,D$4)&lt;=0,IF(D13&gt;0,"▲ nuevo","="),IF(D13&gt;SUMIFS(Detalle!$H:$H,Detalle!$A:$A,$B$3,Detalle!$B:$B,$A13,Detalle!$D:$D,D$4),"▲",IF(D13&lt;SUMIFS(Detalle!$H:$H,Detalle!$A:$A,$B$3,Detalle!$B:$B,$A13,Detalle!$D:$D,D$4),"▼","="))&amp;" "&amp;TEXT((D13-SUMIFS(Detalle!$H:$H,Detalle!$A:$A,$B$3,Detalle!$B:$B,$A13,Detalle!$D:$D,D$4))/SUMIFS(Detalle!$H:$H,Detalle!$A:$A,$B$3,Detalle!$B:$B,$A13,Detalle!$D:$D,D$4),"0.0%"))</f>
        <v>▼ -7.2%</v>
      </c>
      <c r="F13" s="10">
        <f>SUMIFS(Detalle!$G:$G,Detalle!$A:$A,$B$3,Detalle!$B:$B,$A13,Detalle!$D:$D,F$4)</f>
        <v>103843</v>
      </c>
      <c r="G13" s="11" t="str">
        <f>IF(SUMIFS(Detalle!$H:$H,Detalle!$A:$A,$B$3,Detalle!$B:$B,$A13,Detalle!$D:$D,F$4)&lt;=0,IF(F13&gt;0,"▲ nuevo","="),IF(F13&gt;SUMIFS(Detalle!$H:$H,Detalle!$A:$A,$B$3,Detalle!$B:$B,$A13,Detalle!$D:$D,F$4),"▲",IF(F13&lt;SUMIFS(Detalle!$H:$H,Detalle!$A:$A,$B$3,Detalle!$B:$B,$A13,Detalle!$D:$D,F$4),"▼","="))&amp;" "&amp;TEXT((F13-SUMIFS(Detalle!$H:$H,Detalle!$A:$A,$B$3,Detalle!$B:$B,$A13,Detalle!$D:$D,F$4))/SUMIFS(Detalle!$H:$H,Detalle!$A:$A,$B$3,Detalle!$B:$B,$A13,Detalle!$D:$D,F$4),"0.0%"))</f>
        <v>▲ 18.3%</v>
      </c>
      <c r="H13" s="10">
        <f>SUMIFS(Detalle!$G:$G,Detalle!$A:$A,$B$3,Detalle!$B:$B,$A13,Detalle!$D:$D,H$4)</f>
        <v>96952.82</v>
      </c>
      <c r="I13" s="11" t="str">
        <f>IF(SUMIFS(Detalle!$H:$H,Detalle!$A:$A,$B$3,Detalle!$B:$B,$A13,Detalle!$D:$D,H$4)&lt;=0,IF(H13&gt;0,"▲ nuevo","="),IF(H13&gt;SUMIFS(Detalle!$H:$H,Detalle!$A:$A,$B$3,Detalle!$B:$B,$A13,Detalle!$D:$D,H$4),"▲",IF(H13&lt;SUMIFS(Detalle!$H:$H,Detalle!$A:$A,$B$3,Detalle!$B:$B,$A13,Detalle!$D:$D,H$4),"▼","="))&amp;" "&amp;TEXT((H13-SUMIFS(Detalle!$H:$H,Detalle!$A:$A,$B$3,Detalle!$B:$B,$A13,Detalle!$D:$D,H$4))/SUMIFS(Detalle!$H:$H,Detalle!$A:$A,$B$3,Detalle!$B:$B,$A13,Detalle!$D:$D,H$4),"0.0%"))</f>
        <v>▼ -6.6%</v>
      </c>
      <c r="J13" s="10">
        <f>SUMIFS(Detalle!$G:$G,Detalle!$A:$A,$B$3,Detalle!$B:$B,$A13,Detalle!$D:$D,J$4)</f>
        <v>81329.149999999994</v>
      </c>
      <c r="K13" s="11" t="str">
        <f>IF(SUMIFS(Detalle!$H:$H,Detalle!$A:$A,$B$3,Detalle!$B:$B,$A13,Detalle!$D:$D,J$4)&lt;=0,IF(J13&gt;0,"▲ nuevo","="),IF(J13&gt;SUMIFS(Detalle!$H:$H,Detalle!$A:$A,$B$3,Detalle!$B:$B,$A13,Detalle!$D:$D,J$4),"▲",IF(J13&lt;SUMIFS(Detalle!$H:$H,Detalle!$A:$A,$B$3,Detalle!$B:$B,$A13,Detalle!$D:$D,J$4),"▼","="))&amp;" "&amp;TEXT((J13-SUMIFS(Detalle!$H:$H,Detalle!$A:$A,$B$3,Detalle!$B:$B,$A13,Detalle!$D:$D,J$4))/SUMIFS(Detalle!$H:$H,Detalle!$A:$A,$B$3,Detalle!$B:$B,$A13,Detalle!$D:$D,J$4),"0.0%"))</f>
        <v>▼ -16.1%</v>
      </c>
      <c r="L13" s="10">
        <f>SUMIFS(Detalle!$G:$G,Detalle!$A:$A,$B$3,Detalle!$B:$B,$A13,Detalle!$D:$D,L$4)</f>
        <v>83340.399999999994</v>
      </c>
      <c r="M13" s="11" t="str">
        <f>IF(SUMIFS(Detalle!$H:$H,Detalle!$A:$A,$B$3,Detalle!$B:$B,$A13,Detalle!$D:$D,L$4)&lt;=0,IF(L13&gt;0,"▲ nuevo","="),IF(L13&gt;SUMIFS(Detalle!$H:$H,Detalle!$A:$A,$B$3,Detalle!$B:$B,$A13,Detalle!$D:$D,L$4),"▲",IF(L13&lt;SUMIFS(Detalle!$H:$H,Detalle!$A:$A,$B$3,Detalle!$B:$B,$A13,Detalle!$D:$D,L$4),"▼","="))&amp;" "&amp;TEXT((L13-SUMIFS(Detalle!$H:$H,Detalle!$A:$A,$B$3,Detalle!$B:$B,$A13,Detalle!$D:$D,L$4))/SUMIFS(Detalle!$H:$H,Detalle!$A:$A,$B$3,Detalle!$B:$B,$A13,Detalle!$D:$D,L$4),"0.0%"))</f>
        <v>▲ 2.5%</v>
      </c>
      <c r="N13" s="10">
        <f>SUMIFS(Detalle!$G:$G,Detalle!$A:$A,$B$3,Detalle!$B:$B,$A13,Detalle!$D:$D,N$4)</f>
        <v>89906.559999999998</v>
      </c>
      <c r="O13" s="11" t="str">
        <f>IF(SUMIFS(Detalle!$H:$H,Detalle!$A:$A,$B$3,Detalle!$B:$B,$A13,Detalle!$D:$D,N$4)&lt;=0,IF(N13&gt;0,"▲ nuevo","="),IF(N13&gt;SUMIFS(Detalle!$H:$H,Detalle!$A:$A,$B$3,Detalle!$B:$B,$A13,Detalle!$D:$D,N$4),"▲",IF(N13&lt;SUMIFS(Detalle!$H:$H,Detalle!$A:$A,$B$3,Detalle!$B:$B,$A13,Detalle!$D:$D,N$4),"▼","="))&amp;" "&amp;TEXT((N13-SUMIFS(Detalle!$H:$H,Detalle!$A:$A,$B$3,Detalle!$B:$B,$A13,Detalle!$D:$D,N$4))/SUMIFS(Detalle!$H:$H,Detalle!$A:$A,$B$3,Detalle!$B:$B,$A13,Detalle!$D:$D,N$4),"0.0%"))</f>
        <v>▲ 7.9%</v>
      </c>
      <c r="P13" s="12">
        <f>SUMIFS(Detalle!$G:$G,Detalle!$A:$A,$B$3,Detalle!$B:$B,$A13,Detalle!$D:$D,P$4)</f>
        <v>82427.199999999997</v>
      </c>
      <c r="Q13" s="13" t="str">
        <f>IF(SUMIFS(Detalle!$H:$H,Detalle!$A:$A,$B$3,Detalle!$B:$B,$A13,Detalle!$D:$D,P$4)&lt;=0,IF(P13&gt;0,"▲ nuevo","="),IF(P13&gt;SUMIFS(Detalle!$H:$H,Detalle!$A:$A,$B$3,Detalle!$B:$B,$A13,Detalle!$D:$D,P$4),"▲",IF(P13&lt;SUMIFS(Detalle!$H:$H,Detalle!$A:$A,$B$3,Detalle!$B:$B,$A13,Detalle!$D:$D,P$4),"▼","="))&amp;" "&amp;TEXT((P13-SUMIFS(Detalle!$H:$H,Detalle!$A:$A,$B$3,Detalle!$B:$B,$A13,Detalle!$D:$D,P$4))/SUMIFS(Detalle!$H:$H,Detalle!$A:$A,$B$3,Detalle!$B:$B,$A13,Detalle!$D:$D,P$4),"0.0%"))</f>
        <v>▼ -8.3%</v>
      </c>
    </row>
    <row r="14" spans="1:17" x14ac:dyDescent="0.3">
      <c r="A14" s="9" t="s">
        <v>37</v>
      </c>
      <c r="B14" s="10">
        <f>SUMIFS(Detalle!$G:$G,Detalle!$A:$A,$B$3,Detalle!$B:$B,$A14,Detalle!$D:$D,B$4)</f>
        <v>100086.18</v>
      </c>
      <c r="C14" s="11" t="str">
        <f>IF(SUMIFS(Detalle!$H:$H,Detalle!$A:$A,$B$3,Detalle!$B:$B,$A14,Detalle!$D:$D,B$4)&lt;=0,IF(B14&gt;0,"▲ nuevo","="),IF(B14&gt;SUMIFS(Detalle!$H:$H,Detalle!$A:$A,$B$3,Detalle!$B:$B,$A14,Detalle!$D:$D,B$4),"▲",IF(B14&lt;SUMIFS(Detalle!$H:$H,Detalle!$A:$A,$B$3,Detalle!$B:$B,$A14,Detalle!$D:$D,B$4),"▼","="))&amp;" "&amp;TEXT((B14-SUMIFS(Detalle!$H:$H,Detalle!$A:$A,$B$3,Detalle!$B:$B,$A14,Detalle!$D:$D,B$4))/SUMIFS(Detalle!$H:$H,Detalle!$A:$A,$B$3,Detalle!$B:$B,$A14,Detalle!$D:$D,B$4),"0.0%"))</f>
        <v>▲ 6.7%</v>
      </c>
      <c r="D14" s="10">
        <f>SUMIFS(Detalle!$G:$G,Detalle!$A:$A,$B$3,Detalle!$B:$B,$A14,Detalle!$D:$D,D$4)</f>
        <v>85923.39</v>
      </c>
      <c r="E14" s="11" t="str">
        <f>IF(SUMIFS(Detalle!$H:$H,Detalle!$A:$A,$B$3,Detalle!$B:$B,$A14,Detalle!$D:$D,D$4)&lt;=0,IF(D14&gt;0,"▲ nuevo","="),IF(D14&gt;SUMIFS(Detalle!$H:$H,Detalle!$A:$A,$B$3,Detalle!$B:$B,$A14,Detalle!$D:$D,D$4),"▲",IF(D14&lt;SUMIFS(Detalle!$H:$H,Detalle!$A:$A,$B$3,Detalle!$B:$B,$A14,Detalle!$D:$D,D$4),"▼","="))&amp;" "&amp;TEXT((D14-SUMIFS(Detalle!$H:$H,Detalle!$A:$A,$B$3,Detalle!$B:$B,$A14,Detalle!$D:$D,D$4))/SUMIFS(Detalle!$H:$H,Detalle!$A:$A,$B$3,Detalle!$B:$B,$A14,Detalle!$D:$D,D$4),"0.0%"))</f>
        <v>▼ -14.2%</v>
      </c>
      <c r="F14" s="10">
        <f>SUMIFS(Detalle!$G:$G,Detalle!$A:$A,$B$3,Detalle!$B:$B,$A14,Detalle!$D:$D,F$4)</f>
        <v>95669.4</v>
      </c>
      <c r="G14" s="11" t="str">
        <f>IF(SUMIFS(Detalle!$H:$H,Detalle!$A:$A,$B$3,Detalle!$B:$B,$A14,Detalle!$D:$D,F$4)&lt;=0,IF(F14&gt;0,"▲ nuevo","="),IF(F14&gt;SUMIFS(Detalle!$H:$H,Detalle!$A:$A,$B$3,Detalle!$B:$B,$A14,Detalle!$D:$D,F$4),"▲",IF(F14&lt;SUMIFS(Detalle!$H:$H,Detalle!$A:$A,$B$3,Detalle!$B:$B,$A14,Detalle!$D:$D,F$4),"▼","="))&amp;" "&amp;TEXT((F14-SUMIFS(Detalle!$H:$H,Detalle!$A:$A,$B$3,Detalle!$B:$B,$A14,Detalle!$D:$D,F$4))/SUMIFS(Detalle!$H:$H,Detalle!$A:$A,$B$3,Detalle!$B:$B,$A14,Detalle!$D:$D,F$4),"0.0%"))</f>
        <v>▲ 11.3%</v>
      </c>
      <c r="H14" s="10">
        <f>SUMIFS(Detalle!$G:$G,Detalle!$A:$A,$B$3,Detalle!$B:$B,$A14,Detalle!$D:$D,H$4)</f>
        <v>112794.28</v>
      </c>
      <c r="I14" s="11" t="str">
        <f>IF(SUMIFS(Detalle!$H:$H,Detalle!$A:$A,$B$3,Detalle!$B:$B,$A14,Detalle!$D:$D,H$4)&lt;=0,IF(H14&gt;0,"▲ nuevo","="),IF(H14&gt;SUMIFS(Detalle!$H:$H,Detalle!$A:$A,$B$3,Detalle!$B:$B,$A14,Detalle!$D:$D,H$4),"▲",IF(H14&lt;SUMIFS(Detalle!$H:$H,Detalle!$A:$A,$B$3,Detalle!$B:$B,$A14,Detalle!$D:$D,H$4),"▼","="))&amp;" "&amp;TEXT((H14-SUMIFS(Detalle!$H:$H,Detalle!$A:$A,$B$3,Detalle!$B:$B,$A14,Detalle!$D:$D,H$4))/SUMIFS(Detalle!$H:$H,Detalle!$A:$A,$B$3,Detalle!$B:$B,$A14,Detalle!$D:$D,H$4),"0.0%"))</f>
        <v>▲ 17.9%</v>
      </c>
      <c r="J14" s="10">
        <f>SUMIFS(Detalle!$G:$G,Detalle!$A:$A,$B$3,Detalle!$B:$B,$A14,Detalle!$D:$D,J$4)</f>
        <v>67066.880000000005</v>
      </c>
      <c r="K14" s="11" t="str">
        <f>IF(SUMIFS(Detalle!$H:$H,Detalle!$A:$A,$B$3,Detalle!$B:$B,$A14,Detalle!$D:$D,J$4)&lt;=0,IF(J14&gt;0,"▲ nuevo","="),IF(J14&gt;SUMIFS(Detalle!$H:$H,Detalle!$A:$A,$B$3,Detalle!$B:$B,$A14,Detalle!$D:$D,J$4),"▲",IF(J14&lt;SUMIFS(Detalle!$H:$H,Detalle!$A:$A,$B$3,Detalle!$B:$B,$A14,Detalle!$D:$D,J$4),"▼","="))&amp;" "&amp;TEXT((J14-SUMIFS(Detalle!$H:$H,Detalle!$A:$A,$B$3,Detalle!$B:$B,$A14,Detalle!$D:$D,J$4))/SUMIFS(Detalle!$H:$H,Detalle!$A:$A,$B$3,Detalle!$B:$B,$A14,Detalle!$D:$D,J$4),"0.0%"))</f>
        <v>▼ -40.5%</v>
      </c>
      <c r="L14" s="10">
        <f>SUMIFS(Detalle!$G:$G,Detalle!$A:$A,$B$3,Detalle!$B:$B,$A14,Detalle!$D:$D,L$4)</f>
        <v>57918.47</v>
      </c>
      <c r="M14" s="11" t="str">
        <f>IF(SUMIFS(Detalle!$H:$H,Detalle!$A:$A,$B$3,Detalle!$B:$B,$A14,Detalle!$D:$D,L$4)&lt;=0,IF(L14&gt;0,"▲ nuevo","="),IF(L14&gt;SUMIFS(Detalle!$H:$H,Detalle!$A:$A,$B$3,Detalle!$B:$B,$A14,Detalle!$D:$D,L$4),"▲",IF(L14&lt;SUMIFS(Detalle!$H:$H,Detalle!$A:$A,$B$3,Detalle!$B:$B,$A14,Detalle!$D:$D,L$4),"▼","="))&amp;" "&amp;TEXT((L14-SUMIFS(Detalle!$H:$H,Detalle!$A:$A,$B$3,Detalle!$B:$B,$A14,Detalle!$D:$D,L$4))/SUMIFS(Detalle!$H:$H,Detalle!$A:$A,$B$3,Detalle!$B:$B,$A14,Detalle!$D:$D,L$4),"0.0%"))</f>
        <v>▼ -13.6%</v>
      </c>
      <c r="N14" s="10">
        <f>SUMIFS(Detalle!$G:$G,Detalle!$A:$A,$B$3,Detalle!$B:$B,$A14,Detalle!$D:$D,N$4)</f>
        <v>28233.74</v>
      </c>
      <c r="O14" s="11" t="str">
        <f>IF(SUMIFS(Detalle!$H:$H,Detalle!$A:$A,$B$3,Detalle!$B:$B,$A14,Detalle!$D:$D,N$4)&lt;=0,IF(N14&gt;0,"▲ nuevo","="),IF(N14&gt;SUMIFS(Detalle!$H:$H,Detalle!$A:$A,$B$3,Detalle!$B:$B,$A14,Detalle!$D:$D,N$4),"▲",IF(N14&lt;SUMIFS(Detalle!$H:$H,Detalle!$A:$A,$B$3,Detalle!$B:$B,$A14,Detalle!$D:$D,N$4),"▼","="))&amp;" "&amp;TEXT((N14-SUMIFS(Detalle!$H:$H,Detalle!$A:$A,$B$3,Detalle!$B:$B,$A14,Detalle!$D:$D,N$4))/SUMIFS(Detalle!$H:$H,Detalle!$A:$A,$B$3,Detalle!$B:$B,$A14,Detalle!$D:$D,N$4),"0.0%"))</f>
        <v>▼ -51.3%</v>
      </c>
      <c r="P14" s="12">
        <f>SUMIFS(Detalle!$G:$G,Detalle!$A:$A,$B$3,Detalle!$B:$B,$A14,Detalle!$D:$D,P$4)</f>
        <v>38723.39</v>
      </c>
      <c r="Q14" s="13" t="str">
        <f>IF(SUMIFS(Detalle!$H:$H,Detalle!$A:$A,$B$3,Detalle!$B:$B,$A14,Detalle!$D:$D,P$4)&lt;=0,IF(P14&gt;0,"▲ nuevo","="),IF(P14&gt;SUMIFS(Detalle!$H:$H,Detalle!$A:$A,$B$3,Detalle!$B:$B,$A14,Detalle!$D:$D,P$4),"▲",IF(P14&lt;SUMIFS(Detalle!$H:$H,Detalle!$A:$A,$B$3,Detalle!$B:$B,$A14,Detalle!$D:$D,P$4),"▼","="))&amp;" "&amp;TEXT((P14-SUMIFS(Detalle!$H:$H,Detalle!$A:$A,$B$3,Detalle!$B:$B,$A14,Detalle!$D:$D,P$4))/SUMIFS(Detalle!$H:$H,Detalle!$A:$A,$B$3,Detalle!$B:$B,$A14,Detalle!$D:$D,P$4),"0.0%"))</f>
        <v>▲ 37.2%</v>
      </c>
    </row>
    <row r="15" spans="1:17" x14ac:dyDescent="0.3">
      <c r="A15" s="9" t="s">
        <v>38</v>
      </c>
      <c r="B15" s="10">
        <f>SUMIFS(Detalle!$G:$G,Detalle!$A:$A,$B$3,Detalle!$B:$B,$A15,Detalle!$D:$D,B$4)</f>
        <v>49324.79</v>
      </c>
      <c r="C15" s="11" t="str">
        <f>IF(SUMIFS(Detalle!$H:$H,Detalle!$A:$A,$B$3,Detalle!$B:$B,$A15,Detalle!$D:$D,B$4)&lt;=0,IF(B15&gt;0,"▲ nuevo","="),IF(B15&gt;SUMIFS(Detalle!$H:$H,Detalle!$A:$A,$B$3,Detalle!$B:$B,$A15,Detalle!$D:$D,B$4),"▲",IF(B15&lt;SUMIFS(Detalle!$H:$H,Detalle!$A:$A,$B$3,Detalle!$B:$B,$A15,Detalle!$D:$D,B$4),"▼","="))&amp;" "&amp;TEXT((B15-SUMIFS(Detalle!$H:$H,Detalle!$A:$A,$B$3,Detalle!$B:$B,$A15,Detalle!$D:$D,B$4))/SUMIFS(Detalle!$H:$H,Detalle!$A:$A,$B$3,Detalle!$B:$B,$A15,Detalle!$D:$D,B$4),"0.0%"))</f>
        <v>▼ -13.2%</v>
      </c>
      <c r="D15" s="10">
        <f>SUMIFS(Detalle!$G:$G,Detalle!$A:$A,$B$3,Detalle!$B:$B,$A15,Detalle!$D:$D,D$4)</f>
        <v>44871.6</v>
      </c>
      <c r="E15" s="11" t="str">
        <f>IF(SUMIFS(Detalle!$H:$H,Detalle!$A:$A,$B$3,Detalle!$B:$B,$A15,Detalle!$D:$D,D$4)&lt;=0,IF(D15&gt;0,"▲ nuevo","="),IF(D15&gt;SUMIFS(Detalle!$H:$H,Detalle!$A:$A,$B$3,Detalle!$B:$B,$A15,Detalle!$D:$D,D$4),"▲",IF(D15&lt;SUMIFS(Detalle!$H:$H,Detalle!$A:$A,$B$3,Detalle!$B:$B,$A15,Detalle!$D:$D,D$4),"▼","="))&amp;" "&amp;TEXT((D15-SUMIFS(Detalle!$H:$H,Detalle!$A:$A,$B$3,Detalle!$B:$B,$A15,Detalle!$D:$D,D$4))/SUMIFS(Detalle!$H:$H,Detalle!$A:$A,$B$3,Detalle!$B:$B,$A15,Detalle!$D:$D,D$4),"0.0%"))</f>
        <v>▼ -9.0%</v>
      </c>
      <c r="F15" s="10">
        <f>SUMIFS(Detalle!$G:$G,Detalle!$A:$A,$B$3,Detalle!$B:$B,$A15,Detalle!$D:$D,F$4)</f>
        <v>70685.3</v>
      </c>
      <c r="G15" s="11" t="str">
        <f>IF(SUMIFS(Detalle!$H:$H,Detalle!$A:$A,$B$3,Detalle!$B:$B,$A15,Detalle!$D:$D,F$4)&lt;=0,IF(F15&gt;0,"▲ nuevo","="),IF(F15&gt;SUMIFS(Detalle!$H:$H,Detalle!$A:$A,$B$3,Detalle!$B:$B,$A15,Detalle!$D:$D,F$4),"▲",IF(F15&lt;SUMIFS(Detalle!$H:$H,Detalle!$A:$A,$B$3,Detalle!$B:$B,$A15,Detalle!$D:$D,F$4),"▼","="))&amp;" "&amp;TEXT((F15-SUMIFS(Detalle!$H:$H,Detalle!$A:$A,$B$3,Detalle!$B:$B,$A15,Detalle!$D:$D,F$4))/SUMIFS(Detalle!$H:$H,Detalle!$A:$A,$B$3,Detalle!$B:$B,$A15,Detalle!$D:$D,F$4),"0.0%"))</f>
        <v>▲ 57.5%</v>
      </c>
      <c r="H15" s="10">
        <f>SUMIFS(Detalle!$G:$G,Detalle!$A:$A,$B$3,Detalle!$B:$B,$A15,Detalle!$D:$D,H$4)</f>
        <v>63516.95</v>
      </c>
      <c r="I15" s="11" t="str">
        <f>IF(SUMIFS(Detalle!$H:$H,Detalle!$A:$A,$B$3,Detalle!$B:$B,$A15,Detalle!$D:$D,H$4)&lt;=0,IF(H15&gt;0,"▲ nuevo","="),IF(H15&gt;SUMIFS(Detalle!$H:$H,Detalle!$A:$A,$B$3,Detalle!$B:$B,$A15,Detalle!$D:$D,H$4),"▲",IF(H15&lt;SUMIFS(Detalle!$H:$H,Detalle!$A:$A,$B$3,Detalle!$B:$B,$A15,Detalle!$D:$D,H$4),"▼","="))&amp;" "&amp;TEXT((H15-SUMIFS(Detalle!$H:$H,Detalle!$A:$A,$B$3,Detalle!$B:$B,$A15,Detalle!$D:$D,H$4))/SUMIFS(Detalle!$H:$H,Detalle!$A:$A,$B$3,Detalle!$B:$B,$A15,Detalle!$D:$D,H$4),"0.0%"))</f>
        <v>▼ -10.1%</v>
      </c>
      <c r="J15" s="10">
        <f>SUMIFS(Detalle!$G:$G,Detalle!$A:$A,$B$3,Detalle!$B:$B,$A15,Detalle!$D:$D,J$4)</f>
        <v>63265.41</v>
      </c>
      <c r="K15" s="11" t="str">
        <f>IF(SUMIFS(Detalle!$H:$H,Detalle!$A:$A,$B$3,Detalle!$B:$B,$A15,Detalle!$D:$D,J$4)&lt;=0,IF(J15&gt;0,"▲ nuevo","="),IF(J15&gt;SUMIFS(Detalle!$H:$H,Detalle!$A:$A,$B$3,Detalle!$B:$B,$A15,Detalle!$D:$D,J$4),"▲",IF(J15&lt;SUMIFS(Detalle!$H:$H,Detalle!$A:$A,$B$3,Detalle!$B:$B,$A15,Detalle!$D:$D,J$4),"▼","="))&amp;" "&amp;TEXT((J15-SUMIFS(Detalle!$H:$H,Detalle!$A:$A,$B$3,Detalle!$B:$B,$A15,Detalle!$D:$D,J$4))/SUMIFS(Detalle!$H:$H,Detalle!$A:$A,$B$3,Detalle!$B:$B,$A15,Detalle!$D:$D,J$4),"0.0%"))</f>
        <v>▼ -0.4%</v>
      </c>
      <c r="L15" s="10">
        <f>SUMIFS(Detalle!$G:$G,Detalle!$A:$A,$B$3,Detalle!$B:$B,$A15,Detalle!$D:$D,L$4)</f>
        <v>59821.69</v>
      </c>
      <c r="M15" s="11" t="str">
        <f>IF(SUMIFS(Detalle!$H:$H,Detalle!$A:$A,$B$3,Detalle!$B:$B,$A15,Detalle!$D:$D,L$4)&lt;=0,IF(L15&gt;0,"▲ nuevo","="),IF(L15&gt;SUMIFS(Detalle!$H:$H,Detalle!$A:$A,$B$3,Detalle!$B:$B,$A15,Detalle!$D:$D,L$4),"▲",IF(L15&lt;SUMIFS(Detalle!$H:$H,Detalle!$A:$A,$B$3,Detalle!$B:$B,$A15,Detalle!$D:$D,L$4),"▼","="))&amp;" "&amp;TEXT((L15-SUMIFS(Detalle!$H:$H,Detalle!$A:$A,$B$3,Detalle!$B:$B,$A15,Detalle!$D:$D,L$4))/SUMIFS(Detalle!$H:$H,Detalle!$A:$A,$B$3,Detalle!$B:$B,$A15,Detalle!$D:$D,L$4),"0.0%"))</f>
        <v>▼ -5.4%</v>
      </c>
      <c r="N15" s="10">
        <f>SUMIFS(Detalle!$G:$G,Detalle!$A:$A,$B$3,Detalle!$B:$B,$A15,Detalle!$D:$D,N$4)</f>
        <v>61029.26</v>
      </c>
      <c r="O15" s="11" t="str">
        <f>IF(SUMIFS(Detalle!$H:$H,Detalle!$A:$A,$B$3,Detalle!$B:$B,$A15,Detalle!$D:$D,N$4)&lt;=0,IF(N15&gt;0,"▲ nuevo","="),IF(N15&gt;SUMIFS(Detalle!$H:$H,Detalle!$A:$A,$B$3,Detalle!$B:$B,$A15,Detalle!$D:$D,N$4),"▲",IF(N15&lt;SUMIFS(Detalle!$H:$H,Detalle!$A:$A,$B$3,Detalle!$B:$B,$A15,Detalle!$D:$D,N$4),"▼","="))&amp;" "&amp;TEXT((N15-SUMIFS(Detalle!$H:$H,Detalle!$A:$A,$B$3,Detalle!$B:$B,$A15,Detalle!$D:$D,N$4))/SUMIFS(Detalle!$H:$H,Detalle!$A:$A,$B$3,Detalle!$B:$B,$A15,Detalle!$D:$D,N$4),"0.0%"))</f>
        <v>▲ 2.0%</v>
      </c>
      <c r="P15" s="12">
        <f>SUMIFS(Detalle!$G:$G,Detalle!$A:$A,$B$3,Detalle!$B:$B,$A15,Detalle!$D:$D,P$4)</f>
        <v>64239.11</v>
      </c>
      <c r="Q15" s="13" t="str">
        <f>IF(SUMIFS(Detalle!$H:$H,Detalle!$A:$A,$B$3,Detalle!$B:$B,$A15,Detalle!$D:$D,P$4)&lt;=0,IF(P15&gt;0,"▲ nuevo","="),IF(P15&gt;SUMIFS(Detalle!$H:$H,Detalle!$A:$A,$B$3,Detalle!$B:$B,$A15,Detalle!$D:$D,P$4),"▲",IF(P15&lt;SUMIFS(Detalle!$H:$H,Detalle!$A:$A,$B$3,Detalle!$B:$B,$A15,Detalle!$D:$D,P$4),"▼","="))&amp;" "&amp;TEXT((P15-SUMIFS(Detalle!$H:$H,Detalle!$A:$A,$B$3,Detalle!$B:$B,$A15,Detalle!$D:$D,P$4))/SUMIFS(Detalle!$H:$H,Detalle!$A:$A,$B$3,Detalle!$B:$B,$A15,Detalle!$D:$D,P$4),"0.0%"))</f>
        <v>▲ 5.3%</v>
      </c>
    </row>
    <row r="16" spans="1:17" x14ac:dyDescent="0.3">
      <c r="A16" s="9" t="s">
        <v>39</v>
      </c>
      <c r="B16" s="10">
        <f>SUMIFS(Detalle!$G:$G,Detalle!$A:$A,$B$3,Detalle!$B:$B,$A16,Detalle!$D:$D,B$4)</f>
        <v>24569.599999999999</v>
      </c>
      <c r="C16" s="11" t="str">
        <f>IF(SUMIFS(Detalle!$H:$H,Detalle!$A:$A,$B$3,Detalle!$B:$B,$A16,Detalle!$D:$D,B$4)&lt;=0,IF(B16&gt;0,"▲ nuevo","="),IF(B16&gt;SUMIFS(Detalle!$H:$H,Detalle!$A:$A,$B$3,Detalle!$B:$B,$A16,Detalle!$D:$D,B$4),"▲",IF(B16&lt;SUMIFS(Detalle!$H:$H,Detalle!$A:$A,$B$3,Detalle!$B:$B,$A16,Detalle!$D:$D,B$4),"▼","="))&amp;" "&amp;TEXT((B16-SUMIFS(Detalle!$H:$H,Detalle!$A:$A,$B$3,Detalle!$B:$B,$A16,Detalle!$D:$D,B$4))/SUMIFS(Detalle!$H:$H,Detalle!$A:$A,$B$3,Detalle!$B:$B,$A16,Detalle!$D:$D,B$4),"0.0%"))</f>
        <v>▲ 18.3%</v>
      </c>
      <c r="D16" s="10">
        <f>SUMIFS(Detalle!$G:$G,Detalle!$A:$A,$B$3,Detalle!$B:$B,$A16,Detalle!$D:$D,D$4)</f>
        <v>34531.199999999997</v>
      </c>
      <c r="E16" s="11" t="str">
        <f>IF(SUMIFS(Detalle!$H:$H,Detalle!$A:$A,$B$3,Detalle!$B:$B,$A16,Detalle!$D:$D,D$4)&lt;=0,IF(D16&gt;0,"▲ nuevo","="),IF(D16&gt;SUMIFS(Detalle!$H:$H,Detalle!$A:$A,$B$3,Detalle!$B:$B,$A16,Detalle!$D:$D,D$4),"▲",IF(D16&lt;SUMIFS(Detalle!$H:$H,Detalle!$A:$A,$B$3,Detalle!$B:$B,$A16,Detalle!$D:$D,D$4),"▼","="))&amp;" "&amp;TEXT((D16-SUMIFS(Detalle!$H:$H,Detalle!$A:$A,$B$3,Detalle!$B:$B,$A16,Detalle!$D:$D,D$4))/SUMIFS(Detalle!$H:$H,Detalle!$A:$A,$B$3,Detalle!$B:$B,$A16,Detalle!$D:$D,D$4),"0.0%"))</f>
        <v>▲ 40.5%</v>
      </c>
      <c r="F16" s="10">
        <f>SUMIFS(Detalle!$G:$G,Detalle!$A:$A,$B$3,Detalle!$B:$B,$A16,Detalle!$D:$D,F$4)</f>
        <v>41131.199999999997</v>
      </c>
      <c r="G16" s="11" t="str">
        <f>IF(SUMIFS(Detalle!$H:$H,Detalle!$A:$A,$B$3,Detalle!$B:$B,$A16,Detalle!$D:$D,F$4)&lt;=0,IF(F16&gt;0,"▲ nuevo","="),IF(F16&gt;SUMIFS(Detalle!$H:$H,Detalle!$A:$A,$B$3,Detalle!$B:$B,$A16,Detalle!$D:$D,F$4),"▲",IF(F16&lt;SUMIFS(Detalle!$H:$H,Detalle!$A:$A,$B$3,Detalle!$B:$B,$A16,Detalle!$D:$D,F$4),"▼","="))&amp;" "&amp;TEXT((F16-SUMIFS(Detalle!$H:$H,Detalle!$A:$A,$B$3,Detalle!$B:$B,$A16,Detalle!$D:$D,F$4))/SUMIFS(Detalle!$H:$H,Detalle!$A:$A,$B$3,Detalle!$B:$B,$A16,Detalle!$D:$D,F$4),"0.0%"))</f>
        <v>▲ 19.1%</v>
      </c>
      <c r="H16" s="10">
        <f>SUMIFS(Detalle!$G:$G,Detalle!$A:$A,$B$3,Detalle!$B:$B,$A16,Detalle!$D:$D,H$4)</f>
        <v>45127.28</v>
      </c>
      <c r="I16" s="11" t="str">
        <f>IF(SUMIFS(Detalle!$H:$H,Detalle!$A:$A,$B$3,Detalle!$B:$B,$A16,Detalle!$D:$D,H$4)&lt;=0,IF(H16&gt;0,"▲ nuevo","="),IF(H16&gt;SUMIFS(Detalle!$H:$H,Detalle!$A:$A,$B$3,Detalle!$B:$B,$A16,Detalle!$D:$D,H$4),"▲",IF(H16&lt;SUMIFS(Detalle!$H:$H,Detalle!$A:$A,$B$3,Detalle!$B:$B,$A16,Detalle!$D:$D,H$4),"▼","="))&amp;" "&amp;TEXT((H16-SUMIFS(Detalle!$H:$H,Detalle!$A:$A,$B$3,Detalle!$B:$B,$A16,Detalle!$D:$D,H$4))/SUMIFS(Detalle!$H:$H,Detalle!$A:$A,$B$3,Detalle!$B:$B,$A16,Detalle!$D:$D,H$4),"0.0%"))</f>
        <v>▲ 9.7%</v>
      </c>
      <c r="J16" s="10">
        <f>SUMIFS(Detalle!$G:$G,Detalle!$A:$A,$B$3,Detalle!$B:$B,$A16,Detalle!$D:$D,J$4)</f>
        <v>63170.8</v>
      </c>
      <c r="K16" s="11" t="str">
        <f>IF(SUMIFS(Detalle!$H:$H,Detalle!$A:$A,$B$3,Detalle!$B:$B,$A16,Detalle!$D:$D,J$4)&lt;=0,IF(J16&gt;0,"▲ nuevo","="),IF(J16&gt;SUMIFS(Detalle!$H:$H,Detalle!$A:$A,$B$3,Detalle!$B:$B,$A16,Detalle!$D:$D,J$4),"▲",IF(J16&lt;SUMIFS(Detalle!$H:$H,Detalle!$A:$A,$B$3,Detalle!$B:$B,$A16,Detalle!$D:$D,J$4),"▼","="))&amp;" "&amp;TEXT((J16-SUMIFS(Detalle!$H:$H,Detalle!$A:$A,$B$3,Detalle!$B:$B,$A16,Detalle!$D:$D,J$4))/SUMIFS(Detalle!$H:$H,Detalle!$A:$A,$B$3,Detalle!$B:$B,$A16,Detalle!$D:$D,J$4),"0.0%"))</f>
        <v>▲ 40.0%</v>
      </c>
      <c r="L16" s="10">
        <f>SUMIFS(Detalle!$G:$G,Detalle!$A:$A,$B$3,Detalle!$B:$B,$A16,Detalle!$D:$D,L$4)</f>
        <v>33387.199999999997</v>
      </c>
      <c r="M16" s="11" t="str">
        <f>IF(SUMIFS(Detalle!$H:$H,Detalle!$A:$A,$B$3,Detalle!$B:$B,$A16,Detalle!$D:$D,L$4)&lt;=0,IF(L16&gt;0,"▲ nuevo","="),IF(L16&gt;SUMIFS(Detalle!$H:$H,Detalle!$A:$A,$B$3,Detalle!$B:$B,$A16,Detalle!$D:$D,L$4),"▲",IF(L16&lt;SUMIFS(Detalle!$H:$H,Detalle!$A:$A,$B$3,Detalle!$B:$B,$A16,Detalle!$D:$D,L$4),"▼","="))&amp;" "&amp;TEXT((L16-SUMIFS(Detalle!$H:$H,Detalle!$A:$A,$B$3,Detalle!$B:$B,$A16,Detalle!$D:$D,L$4))/SUMIFS(Detalle!$H:$H,Detalle!$A:$A,$B$3,Detalle!$B:$B,$A16,Detalle!$D:$D,L$4),"0.0%"))</f>
        <v>▼ -47.1%</v>
      </c>
      <c r="N16" s="10">
        <f>SUMIFS(Detalle!$G:$G,Detalle!$A:$A,$B$3,Detalle!$B:$B,$A16,Detalle!$D:$D,N$4)</f>
        <v>11739.2</v>
      </c>
      <c r="O16" s="11" t="str">
        <f>IF(SUMIFS(Detalle!$H:$H,Detalle!$A:$A,$B$3,Detalle!$B:$B,$A16,Detalle!$D:$D,N$4)&lt;=0,IF(N16&gt;0,"▲ nuevo","="),IF(N16&gt;SUMIFS(Detalle!$H:$H,Detalle!$A:$A,$B$3,Detalle!$B:$B,$A16,Detalle!$D:$D,N$4),"▲",IF(N16&lt;SUMIFS(Detalle!$H:$H,Detalle!$A:$A,$B$3,Detalle!$B:$B,$A16,Detalle!$D:$D,N$4),"▼","="))&amp;" "&amp;TEXT((N16-SUMIFS(Detalle!$H:$H,Detalle!$A:$A,$B$3,Detalle!$B:$B,$A16,Detalle!$D:$D,N$4))/SUMIFS(Detalle!$H:$H,Detalle!$A:$A,$B$3,Detalle!$B:$B,$A16,Detalle!$D:$D,N$4),"0.0%"))</f>
        <v>▼ -64.8%</v>
      </c>
      <c r="P16" s="12">
        <f>SUMIFS(Detalle!$G:$G,Detalle!$A:$A,$B$3,Detalle!$B:$B,$A16,Detalle!$D:$D,P$4)</f>
        <v>38602.520000000004</v>
      </c>
      <c r="Q16" s="13" t="str">
        <f>IF(SUMIFS(Detalle!$H:$H,Detalle!$A:$A,$B$3,Detalle!$B:$B,$A16,Detalle!$D:$D,P$4)&lt;=0,IF(P16&gt;0,"▲ nuevo","="),IF(P16&gt;SUMIFS(Detalle!$H:$H,Detalle!$A:$A,$B$3,Detalle!$B:$B,$A16,Detalle!$D:$D,P$4),"▲",IF(P16&lt;SUMIFS(Detalle!$H:$H,Detalle!$A:$A,$B$3,Detalle!$B:$B,$A16,Detalle!$D:$D,P$4),"▼","="))&amp;" "&amp;TEXT((P16-SUMIFS(Detalle!$H:$H,Detalle!$A:$A,$B$3,Detalle!$B:$B,$A16,Detalle!$D:$D,P$4))/SUMIFS(Detalle!$H:$H,Detalle!$A:$A,$B$3,Detalle!$B:$B,$A16,Detalle!$D:$D,P$4),"0.0%"))</f>
        <v>▲ 228.8%</v>
      </c>
    </row>
    <row r="17" spans="1:17" x14ac:dyDescent="0.3">
      <c r="A17" s="9" t="s">
        <v>40</v>
      </c>
      <c r="B17" s="10">
        <f>SUMIFS(Detalle!$G:$G,Detalle!$A:$A,$B$3,Detalle!$B:$B,$A17,Detalle!$D:$D,B$4)</f>
        <v>33050</v>
      </c>
      <c r="C17" s="11" t="str">
        <f>IF(SUMIFS(Detalle!$H:$H,Detalle!$A:$A,$B$3,Detalle!$B:$B,$A17,Detalle!$D:$D,B$4)&lt;=0,IF(B17&gt;0,"▲ nuevo","="),IF(B17&gt;SUMIFS(Detalle!$H:$H,Detalle!$A:$A,$B$3,Detalle!$B:$B,$A17,Detalle!$D:$D,B$4),"▲",IF(B17&lt;SUMIFS(Detalle!$H:$H,Detalle!$A:$A,$B$3,Detalle!$B:$B,$A17,Detalle!$D:$D,B$4),"▼","="))&amp;" "&amp;TEXT((B17-SUMIFS(Detalle!$H:$H,Detalle!$A:$A,$B$3,Detalle!$B:$B,$A17,Detalle!$D:$D,B$4))/SUMIFS(Detalle!$H:$H,Detalle!$A:$A,$B$3,Detalle!$B:$B,$A17,Detalle!$D:$D,B$4),"0.0%"))</f>
        <v>▲ 14.0%</v>
      </c>
      <c r="D17" s="10">
        <f>SUMIFS(Detalle!$G:$G,Detalle!$A:$A,$B$3,Detalle!$B:$B,$A17,Detalle!$D:$D,D$4)</f>
        <v>29826.880000000001</v>
      </c>
      <c r="E17" s="11" t="str">
        <f>IF(SUMIFS(Detalle!$H:$H,Detalle!$A:$A,$B$3,Detalle!$B:$B,$A17,Detalle!$D:$D,D$4)&lt;=0,IF(D17&gt;0,"▲ nuevo","="),IF(D17&gt;SUMIFS(Detalle!$H:$H,Detalle!$A:$A,$B$3,Detalle!$B:$B,$A17,Detalle!$D:$D,D$4),"▲",IF(D17&lt;SUMIFS(Detalle!$H:$H,Detalle!$A:$A,$B$3,Detalle!$B:$B,$A17,Detalle!$D:$D,D$4),"▼","="))&amp;" "&amp;TEXT((D17-SUMIFS(Detalle!$H:$H,Detalle!$A:$A,$B$3,Detalle!$B:$B,$A17,Detalle!$D:$D,D$4))/SUMIFS(Detalle!$H:$H,Detalle!$A:$A,$B$3,Detalle!$B:$B,$A17,Detalle!$D:$D,D$4),"0.0%"))</f>
        <v>▼ -9.8%</v>
      </c>
      <c r="F17" s="10">
        <f>SUMIFS(Detalle!$G:$G,Detalle!$A:$A,$B$3,Detalle!$B:$B,$A17,Detalle!$D:$D,F$4)</f>
        <v>29905.22</v>
      </c>
      <c r="G17" s="11" t="str">
        <f>IF(SUMIFS(Detalle!$H:$H,Detalle!$A:$A,$B$3,Detalle!$B:$B,$A17,Detalle!$D:$D,F$4)&lt;=0,IF(F17&gt;0,"▲ nuevo","="),IF(F17&gt;SUMIFS(Detalle!$H:$H,Detalle!$A:$A,$B$3,Detalle!$B:$B,$A17,Detalle!$D:$D,F$4),"▲",IF(F17&lt;SUMIFS(Detalle!$H:$H,Detalle!$A:$A,$B$3,Detalle!$B:$B,$A17,Detalle!$D:$D,F$4),"▼","="))&amp;" "&amp;TEXT((F17-SUMIFS(Detalle!$H:$H,Detalle!$A:$A,$B$3,Detalle!$B:$B,$A17,Detalle!$D:$D,F$4))/SUMIFS(Detalle!$H:$H,Detalle!$A:$A,$B$3,Detalle!$B:$B,$A17,Detalle!$D:$D,F$4),"0.0%"))</f>
        <v>▲ 0.3%</v>
      </c>
      <c r="H17" s="10">
        <f>SUMIFS(Detalle!$G:$G,Detalle!$A:$A,$B$3,Detalle!$B:$B,$A17,Detalle!$D:$D,H$4)</f>
        <v>21878.959999999999</v>
      </c>
      <c r="I17" s="11" t="str">
        <f>IF(SUMIFS(Detalle!$H:$H,Detalle!$A:$A,$B$3,Detalle!$B:$B,$A17,Detalle!$D:$D,H$4)&lt;=0,IF(H17&gt;0,"▲ nuevo","="),IF(H17&gt;SUMIFS(Detalle!$H:$H,Detalle!$A:$A,$B$3,Detalle!$B:$B,$A17,Detalle!$D:$D,H$4),"▲",IF(H17&lt;SUMIFS(Detalle!$H:$H,Detalle!$A:$A,$B$3,Detalle!$B:$B,$A17,Detalle!$D:$D,H$4),"▼","="))&amp;" "&amp;TEXT((H17-SUMIFS(Detalle!$H:$H,Detalle!$A:$A,$B$3,Detalle!$B:$B,$A17,Detalle!$D:$D,H$4))/SUMIFS(Detalle!$H:$H,Detalle!$A:$A,$B$3,Detalle!$B:$B,$A17,Detalle!$D:$D,H$4),"0.0%"))</f>
        <v>▼ -26.8%</v>
      </c>
      <c r="J17" s="10">
        <f>SUMIFS(Detalle!$G:$G,Detalle!$A:$A,$B$3,Detalle!$B:$B,$A17,Detalle!$D:$D,J$4)</f>
        <v>11718.4</v>
      </c>
      <c r="K17" s="11" t="str">
        <f>IF(SUMIFS(Detalle!$H:$H,Detalle!$A:$A,$B$3,Detalle!$B:$B,$A17,Detalle!$D:$D,J$4)&lt;=0,IF(J17&gt;0,"▲ nuevo","="),IF(J17&gt;SUMIFS(Detalle!$H:$H,Detalle!$A:$A,$B$3,Detalle!$B:$B,$A17,Detalle!$D:$D,J$4),"▲",IF(J17&lt;SUMIFS(Detalle!$H:$H,Detalle!$A:$A,$B$3,Detalle!$B:$B,$A17,Detalle!$D:$D,J$4),"▼","="))&amp;" "&amp;TEXT((J17-SUMIFS(Detalle!$H:$H,Detalle!$A:$A,$B$3,Detalle!$B:$B,$A17,Detalle!$D:$D,J$4))/SUMIFS(Detalle!$H:$H,Detalle!$A:$A,$B$3,Detalle!$B:$B,$A17,Detalle!$D:$D,J$4),"0.0%"))</f>
        <v>▼ -46.4%</v>
      </c>
      <c r="L17" s="10">
        <f>SUMIFS(Detalle!$G:$G,Detalle!$A:$A,$B$3,Detalle!$B:$B,$A17,Detalle!$D:$D,L$4)</f>
        <v>33430.1</v>
      </c>
      <c r="M17" s="11" t="str">
        <f>IF(SUMIFS(Detalle!$H:$H,Detalle!$A:$A,$B$3,Detalle!$B:$B,$A17,Detalle!$D:$D,L$4)&lt;=0,IF(L17&gt;0,"▲ nuevo","="),IF(L17&gt;SUMIFS(Detalle!$H:$H,Detalle!$A:$A,$B$3,Detalle!$B:$B,$A17,Detalle!$D:$D,L$4),"▲",IF(L17&lt;SUMIFS(Detalle!$H:$H,Detalle!$A:$A,$B$3,Detalle!$B:$B,$A17,Detalle!$D:$D,L$4),"▼","="))&amp;" "&amp;TEXT((L17-SUMIFS(Detalle!$H:$H,Detalle!$A:$A,$B$3,Detalle!$B:$B,$A17,Detalle!$D:$D,L$4))/SUMIFS(Detalle!$H:$H,Detalle!$A:$A,$B$3,Detalle!$B:$B,$A17,Detalle!$D:$D,L$4),"0.0%"))</f>
        <v>▲ 185.3%</v>
      </c>
      <c r="N17" s="10">
        <f>SUMIFS(Detalle!$G:$G,Detalle!$A:$A,$B$3,Detalle!$B:$B,$A17,Detalle!$D:$D,N$4)</f>
        <v>29630.42</v>
      </c>
      <c r="O17" s="11" t="str">
        <f>IF(SUMIFS(Detalle!$H:$H,Detalle!$A:$A,$B$3,Detalle!$B:$B,$A17,Detalle!$D:$D,N$4)&lt;=0,IF(N17&gt;0,"▲ nuevo","="),IF(N17&gt;SUMIFS(Detalle!$H:$H,Detalle!$A:$A,$B$3,Detalle!$B:$B,$A17,Detalle!$D:$D,N$4),"▲",IF(N17&lt;SUMIFS(Detalle!$H:$H,Detalle!$A:$A,$B$3,Detalle!$B:$B,$A17,Detalle!$D:$D,N$4),"▼","="))&amp;" "&amp;TEXT((N17-SUMIFS(Detalle!$H:$H,Detalle!$A:$A,$B$3,Detalle!$B:$B,$A17,Detalle!$D:$D,N$4))/SUMIFS(Detalle!$H:$H,Detalle!$A:$A,$B$3,Detalle!$B:$B,$A17,Detalle!$D:$D,N$4),"0.0%"))</f>
        <v>▼ -11.4%</v>
      </c>
      <c r="P17" s="12">
        <f>SUMIFS(Detalle!$G:$G,Detalle!$A:$A,$B$3,Detalle!$B:$B,$A17,Detalle!$D:$D,P$4)</f>
        <v>27190.550000000003</v>
      </c>
      <c r="Q17" s="13" t="str">
        <f>IF(SUMIFS(Detalle!$H:$H,Detalle!$A:$A,$B$3,Detalle!$B:$B,$A17,Detalle!$D:$D,P$4)&lt;=0,IF(P17&gt;0,"▲ nuevo","="),IF(P17&gt;SUMIFS(Detalle!$H:$H,Detalle!$A:$A,$B$3,Detalle!$B:$B,$A17,Detalle!$D:$D,P$4),"▲",IF(P17&lt;SUMIFS(Detalle!$H:$H,Detalle!$A:$A,$B$3,Detalle!$B:$B,$A17,Detalle!$D:$D,P$4),"▼","="))&amp;" "&amp;TEXT((P17-SUMIFS(Detalle!$H:$H,Detalle!$A:$A,$B$3,Detalle!$B:$B,$A17,Detalle!$D:$D,P$4))/SUMIFS(Detalle!$H:$H,Detalle!$A:$A,$B$3,Detalle!$B:$B,$A17,Detalle!$D:$D,P$4),"0.0%"))</f>
        <v>▼ -8.2%</v>
      </c>
    </row>
    <row r="18" spans="1:17" x14ac:dyDescent="0.3">
      <c r="A18" s="9" t="s">
        <v>41</v>
      </c>
      <c r="B18" s="10">
        <f>SUMIFS(Detalle!$G:$G,Detalle!$A:$A,$B$3,Detalle!$B:$B,$A18,Detalle!$D:$D,B$4)</f>
        <v>14435.7</v>
      </c>
      <c r="C18" s="11" t="str">
        <f>IF(SUMIFS(Detalle!$H:$H,Detalle!$A:$A,$B$3,Detalle!$B:$B,$A18,Detalle!$D:$D,B$4)&lt;=0,IF(B18&gt;0,"▲ nuevo","="),IF(B18&gt;SUMIFS(Detalle!$H:$H,Detalle!$A:$A,$B$3,Detalle!$B:$B,$A18,Detalle!$D:$D,B$4),"▲",IF(B18&lt;SUMIFS(Detalle!$H:$H,Detalle!$A:$A,$B$3,Detalle!$B:$B,$A18,Detalle!$D:$D,B$4),"▼","="))&amp;" "&amp;TEXT((B18-SUMIFS(Detalle!$H:$H,Detalle!$A:$A,$B$3,Detalle!$B:$B,$A18,Detalle!$D:$D,B$4))/SUMIFS(Detalle!$H:$H,Detalle!$A:$A,$B$3,Detalle!$B:$B,$A18,Detalle!$D:$D,B$4),"0.0%"))</f>
        <v>▼ -30.2%</v>
      </c>
      <c r="D18" s="10">
        <f>SUMIFS(Detalle!$G:$G,Detalle!$A:$A,$B$3,Detalle!$B:$B,$A18,Detalle!$D:$D,D$4)</f>
        <v>17110.349999999999</v>
      </c>
      <c r="E18" s="11" t="str">
        <f>IF(SUMIFS(Detalle!$H:$H,Detalle!$A:$A,$B$3,Detalle!$B:$B,$A18,Detalle!$D:$D,D$4)&lt;=0,IF(D18&gt;0,"▲ nuevo","="),IF(D18&gt;SUMIFS(Detalle!$H:$H,Detalle!$A:$A,$B$3,Detalle!$B:$B,$A18,Detalle!$D:$D,D$4),"▲",IF(D18&lt;SUMIFS(Detalle!$H:$H,Detalle!$A:$A,$B$3,Detalle!$B:$B,$A18,Detalle!$D:$D,D$4),"▼","="))&amp;" "&amp;TEXT((D18-SUMIFS(Detalle!$H:$H,Detalle!$A:$A,$B$3,Detalle!$B:$B,$A18,Detalle!$D:$D,D$4))/SUMIFS(Detalle!$H:$H,Detalle!$A:$A,$B$3,Detalle!$B:$B,$A18,Detalle!$D:$D,D$4),"0.0%"))</f>
        <v>▲ 18.5%</v>
      </c>
      <c r="F18" s="10">
        <f>SUMIFS(Detalle!$G:$G,Detalle!$A:$A,$B$3,Detalle!$B:$B,$A18,Detalle!$D:$D,F$4)</f>
        <v>20707.2</v>
      </c>
      <c r="G18" s="11" t="str">
        <f>IF(SUMIFS(Detalle!$H:$H,Detalle!$A:$A,$B$3,Detalle!$B:$B,$A18,Detalle!$D:$D,F$4)&lt;=0,IF(F18&gt;0,"▲ nuevo","="),IF(F18&gt;SUMIFS(Detalle!$H:$H,Detalle!$A:$A,$B$3,Detalle!$B:$B,$A18,Detalle!$D:$D,F$4),"▲",IF(F18&lt;SUMIFS(Detalle!$H:$H,Detalle!$A:$A,$B$3,Detalle!$B:$B,$A18,Detalle!$D:$D,F$4),"▼","="))&amp;" "&amp;TEXT((F18-SUMIFS(Detalle!$H:$H,Detalle!$A:$A,$B$3,Detalle!$B:$B,$A18,Detalle!$D:$D,F$4))/SUMIFS(Detalle!$H:$H,Detalle!$A:$A,$B$3,Detalle!$B:$B,$A18,Detalle!$D:$D,F$4),"0.0%"))</f>
        <v>▲ 21.0%</v>
      </c>
      <c r="H18" s="10">
        <f>SUMIFS(Detalle!$G:$G,Detalle!$A:$A,$B$3,Detalle!$B:$B,$A18,Detalle!$D:$D,H$4)</f>
        <v>17283.150000000001</v>
      </c>
      <c r="I18" s="11" t="str">
        <f>IF(SUMIFS(Detalle!$H:$H,Detalle!$A:$A,$B$3,Detalle!$B:$B,$A18,Detalle!$D:$D,H$4)&lt;=0,IF(H18&gt;0,"▲ nuevo","="),IF(H18&gt;SUMIFS(Detalle!$H:$H,Detalle!$A:$A,$B$3,Detalle!$B:$B,$A18,Detalle!$D:$D,H$4),"▲",IF(H18&lt;SUMIFS(Detalle!$H:$H,Detalle!$A:$A,$B$3,Detalle!$B:$B,$A18,Detalle!$D:$D,H$4),"▼","="))&amp;" "&amp;TEXT((H18-SUMIFS(Detalle!$H:$H,Detalle!$A:$A,$B$3,Detalle!$B:$B,$A18,Detalle!$D:$D,H$4))/SUMIFS(Detalle!$H:$H,Detalle!$A:$A,$B$3,Detalle!$B:$B,$A18,Detalle!$D:$D,H$4),"0.0%"))</f>
        <v>▼ -16.5%</v>
      </c>
      <c r="J18" s="10">
        <f>SUMIFS(Detalle!$G:$G,Detalle!$A:$A,$B$3,Detalle!$B:$B,$A18,Detalle!$D:$D,J$4)</f>
        <v>11237.85</v>
      </c>
      <c r="K18" s="11" t="str">
        <f>IF(SUMIFS(Detalle!$H:$H,Detalle!$A:$A,$B$3,Detalle!$B:$B,$A18,Detalle!$D:$D,J$4)&lt;=0,IF(J18&gt;0,"▲ nuevo","="),IF(J18&gt;SUMIFS(Detalle!$H:$H,Detalle!$A:$A,$B$3,Detalle!$B:$B,$A18,Detalle!$D:$D,J$4),"▲",IF(J18&lt;SUMIFS(Detalle!$H:$H,Detalle!$A:$A,$B$3,Detalle!$B:$B,$A18,Detalle!$D:$D,J$4),"▼","="))&amp;" "&amp;TEXT((J18-SUMIFS(Detalle!$H:$H,Detalle!$A:$A,$B$3,Detalle!$B:$B,$A18,Detalle!$D:$D,J$4))/SUMIFS(Detalle!$H:$H,Detalle!$A:$A,$B$3,Detalle!$B:$B,$A18,Detalle!$D:$D,J$4),"0.0%"))</f>
        <v>▼ -35.0%</v>
      </c>
      <c r="L18" s="10">
        <f>SUMIFS(Detalle!$G:$G,Detalle!$A:$A,$B$3,Detalle!$B:$B,$A18,Detalle!$D:$D,L$4)</f>
        <v>4297.5</v>
      </c>
      <c r="M18" s="11" t="str">
        <f>IF(SUMIFS(Detalle!$H:$H,Detalle!$A:$A,$B$3,Detalle!$B:$B,$A18,Detalle!$D:$D,L$4)&lt;=0,IF(L18&gt;0,"▲ nuevo","="),IF(L18&gt;SUMIFS(Detalle!$H:$H,Detalle!$A:$A,$B$3,Detalle!$B:$B,$A18,Detalle!$D:$D,L$4),"▲",IF(L18&lt;SUMIFS(Detalle!$H:$H,Detalle!$A:$A,$B$3,Detalle!$B:$B,$A18,Detalle!$D:$D,L$4),"▼","="))&amp;" "&amp;TEXT((L18-SUMIFS(Detalle!$H:$H,Detalle!$A:$A,$B$3,Detalle!$B:$B,$A18,Detalle!$D:$D,L$4))/SUMIFS(Detalle!$H:$H,Detalle!$A:$A,$B$3,Detalle!$B:$B,$A18,Detalle!$D:$D,L$4),"0.0%"))</f>
        <v>▼ -61.8%</v>
      </c>
      <c r="N18" s="10">
        <f>SUMIFS(Detalle!$G:$G,Detalle!$A:$A,$B$3,Detalle!$B:$B,$A18,Detalle!$D:$D,N$4)</f>
        <v>8722.5</v>
      </c>
      <c r="O18" s="11" t="str">
        <f>IF(SUMIFS(Detalle!$H:$H,Detalle!$A:$A,$B$3,Detalle!$B:$B,$A18,Detalle!$D:$D,N$4)&lt;=0,IF(N18&gt;0,"▲ nuevo","="),IF(N18&gt;SUMIFS(Detalle!$H:$H,Detalle!$A:$A,$B$3,Detalle!$B:$B,$A18,Detalle!$D:$D,N$4),"▲",IF(N18&lt;SUMIFS(Detalle!$H:$H,Detalle!$A:$A,$B$3,Detalle!$B:$B,$A18,Detalle!$D:$D,N$4),"▼","="))&amp;" "&amp;TEXT((N18-SUMIFS(Detalle!$H:$H,Detalle!$A:$A,$B$3,Detalle!$B:$B,$A18,Detalle!$D:$D,N$4))/SUMIFS(Detalle!$H:$H,Detalle!$A:$A,$B$3,Detalle!$B:$B,$A18,Detalle!$D:$D,N$4),"0.0%"))</f>
        <v>▲ 103.0%</v>
      </c>
      <c r="P18" s="12">
        <f>SUMIFS(Detalle!$G:$G,Detalle!$A:$A,$B$3,Detalle!$B:$B,$A18,Detalle!$D:$D,P$4)</f>
        <v>13645.54</v>
      </c>
      <c r="Q18" s="13" t="str">
        <f>IF(SUMIFS(Detalle!$H:$H,Detalle!$A:$A,$B$3,Detalle!$B:$B,$A18,Detalle!$D:$D,P$4)&lt;=0,IF(P18&gt;0,"▲ nuevo","="),IF(P18&gt;SUMIFS(Detalle!$H:$H,Detalle!$A:$A,$B$3,Detalle!$B:$B,$A18,Detalle!$D:$D,P$4),"▲",IF(P18&lt;SUMIFS(Detalle!$H:$H,Detalle!$A:$A,$B$3,Detalle!$B:$B,$A18,Detalle!$D:$D,P$4),"▼","="))&amp;" "&amp;TEXT((P18-SUMIFS(Detalle!$H:$H,Detalle!$A:$A,$B$3,Detalle!$B:$B,$A18,Detalle!$D:$D,P$4))/SUMIFS(Detalle!$H:$H,Detalle!$A:$A,$B$3,Detalle!$B:$B,$A18,Detalle!$D:$D,P$4),"0.0%"))</f>
        <v>▲ 56.4%</v>
      </c>
    </row>
    <row r="19" spans="1:17" x14ac:dyDescent="0.3">
      <c r="A19" s="9" t="s">
        <v>42</v>
      </c>
      <c r="B19" s="10">
        <f>SUMIFS(Detalle!$G:$G,Detalle!$A:$A,$B$3,Detalle!$B:$B,$A19,Detalle!$D:$D,B$4)</f>
        <v>9432.58</v>
      </c>
      <c r="C19" s="11" t="str">
        <f>IF(SUMIFS(Detalle!$H:$H,Detalle!$A:$A,$B$3,Detalle!$B:$B,$A19,Detalle!$D:$D,B$4)&lt;=0,IF(B19&gt;0,"▲ nuevo","="),IF(B19&gt;SUMIFS(Detalle!$H:$H,Detalle!$A:$A,$B$3,Detalle!$B:$B,$A19,Detalle!$D:$D,B$4),"▲",IF(B19&lt;SUMIFS(Detalle!$H:$H,Detalle!$A:$A,$B$3,Detalle!$B:$B,$A19,Detalle!$D:$D,B$4),"▼","="))&amp;" "&amp;TEXT((B19-SUMIFS(Detalle!$H:$H,Detalle!$A:$A,$B$3,Detalle!$B:$B,$A19,Detalle!$D:$D,B$4))/SUMIFS(Detalle!$H:$H,Detalle!$A:$A,$B$3,Detalle!$B:$B,$A19,Detalle!$D:$D,B$4),"0.0%"))</f>
        <v>▲ 1.5%</v>
      </c>
      <c r="D19" s="10">
        <f>SUMIFS(Detalle!$G:$G,Detalle!$A:$A,$B$3,Detalle!$B:$B,$A19,Detalle!$D:$D,D$4)</f>
        <v>8103.03</v>
      </c>
      <c r="E19" s="11" t="str">
        <f>IF(SUMIFS(Detalle!$H:$H,Detalle!$A:$A,$B$3,Detalle!$B:$B,$A19,Detalle!$D:$D,D$4)&lt;=0,IF(D19&gt;0,"▲ nuevo","="),IF(D19&gt;SUMIFS(Detalle!$H:$H,Detalle!$A:$A,$B$3,Detalle!$B:$B,$A19,Detalle!$D:$D,D$4),"▲",IF(D19&lt;SUMIFS(Detalle!$H:$H,Detalle!$A:$A,$B$3,Detalle!$B:$B,$A19,Detalle!$D:$D,D$4),"▼","="))&amp;" "&amp;TEXT((D19-SUMIFS(Detalle!$H:$H,Detalle!$A:$A,$B$3,Detalle!$B:$B,$A19,Detalle!$D:$D,D$4))/SUMIFS(Detalle!$H:$H,Detalle!$A:$A,$B$3,Detalle!$B:$B,$A19,Detalle!$D:$D,D$4),"0.0%"))</f>
        <v>▼ -14.1%</v>
      </c>
      <c r="F19" s="10">
        <f>SUMIFS(Detalle!$G:$G,Detalle!$A:$A,$B$3,Detalle!$B:$B,$A19,Detalle!$D:$D,F$4)</f>
        <v>13839.04</v>
      </c>
      <c r="G19" s="11" t="str">
        <f>IF(SUMIFS(Detalle!$H:$H,Detalle!$A:$A,$B$3,Detalle!$B:$B,$A19,Detalle!$D:$D,F$4)&lt;=0,IF(F19&gt;0,"▲ nuevo","="),IF(F19&gt;SUMIFS(Detalle!$H:$H,Detalle!$A:$A,$B$3,Detalle!$B:$B,$A19,Detalle!$D:$D,F$4),"▲",IF(F19&lt;SUMIFS(Detalle!$H:$H,Detalle!$A:$A,$B$3,Detalle!$B:$B,$A19,Detalle!$D:$D,F$4),"▼","="))&amp;" "&amp;TEXT((F19-SUMIFS(Detalle!$H:$H,Detalle!$A:$A,$B$3,Detalle!$B:$B,$A19,Detalle!$D:$D,F$4))/SUMIFS(Detalle!$H:$H,Detalle!$A:$A,$B$3,Detalle!$B:$B,$A19,Detalle!$D:$D,F$4),"0.0%"))</f>
        <v>▲ 70.8%</v>
      </c>
      <c r="H19" s="10">
        <f>SUMIFS(Detalle!$G:$G,Detalle!$A:$A,$B$3,Detalle!$B:$B,$A19,Detalle!$D:$D,H$4)</f>
        <v>9015.98</v>
      </c>
      <c r="I19" s="11" t="str">
        <f>IF(SUMIFS(Detalle!$H:$H,Detalle!$A:$A,$B$3,Detalle!$B:$B,$A19,Detalle!$D:$D,H$4)&lt;=0,IF(H19&gt;0,"▲ nuevo","="),IF(H19&gt;SUMIFS(Detalle!$H:$H,Detalle!$A:$A,$B$3,Detalle!$B:$B,$A19,Detalle!$D:$D,H$4),"▲",IF(H19&lt;SUMIFS(Detalle!$H:$H,Detalle!$A:$A,$B$3,Detalle!$B:$B,$A19,Detalle!$D:$D,H$4),"▼","="))&amp;" "&amp;TEXT((H19-SUMIFS(Detalle!$H:$H,Detalle!$A:$A,$B$3,Detalle!$B:$B,$A19,Detalle!$D:$D,H$4))/SUMIFS(Detalle!$H:$H,Detalle!$A:$A,$B$3,Detalle!$B:$B,$A19,Detalle!$D:$D,H$4),"0.0%"))</f>
        <v>▼ -34.9%</v>
      </c>
      <c r="J19" s="10">
        <f>SUMIFS(Detalle!$G:$G,Detalle!$A:$A,$B$3,Detalle!$B:$B,$A19,Detalle!$D:$D,J$4)</f>
        <v>13371.54</v>
      </c>
      <c r="K19" s="11" t="str">
        <f>IF(SUMIFS(Detalle!$H:$H,Detalle!$A:$A,$B$3,Detalle!$B:$B,$A19,Detalle!$D:$D,J$4)&lt;=0,IF(J19&gt;0,"▲ nuevo","="),IF(J19&gt;SUMIFS(Detalle!$H:$H,Detalle!$A:$A,$B$3,Detalle!$B:$B,$A19,Detalle!$D:$D,J$4),"▲",IF(J19&lt;SUMIFS(Detalle!$H:$H,Detalle!$A:$A,$B$3,Detalle!$B:$B,$A19,Detalle!$D:$D,J$4),"▼","="))&amp;" "&amp;TEXT((J19-SUMIFS(Detalle!$H:$H,Detalle!$A:$A,$B$3,Detalle!$B:$B,$A19,Detalle!$D:$D,J$4))/SUMIFS(Detalle!$H:$H,Detalle!$A:$A,$B$3,Detalle!$B:$B,$A19,Detalle!$D:$D,J$4),"0.0%"))</f>
        <v>▲ 48.3%</v>
      </c>
      <c r="L19" s="10">
        <f>SUMIFS(Detalle!$G:$G,Detalle!$A:$A,$B$3,Detalle!$B:$B,$A19,Detalle!$D:$D,L$4)</f>
        <v>17933.18</v>
      </c>
      <c r="M19" s="11" t="str">
        <f>IF(SUMIFS(Detalle!$H:$H,Detalle!$A:$A,$B$3,Detalle!$B:$B,$A19,Detalle!$D:$D,L$4)&lt;=0,IF(L19&gt;0,"▲ nuevo","="),IF(L19&gt;SUMIFS(Detalle!$H:$H,Detalle!$A:$A,$B$3,Detalle!$B:$B,$A19,Detalle!$D:$D,L$4),"▲",IF(L19&lt;SUMIFS(Detalle!$H:$H,Detalle!$A:$A,$B$3,Detalle!$B:$B,$A19,Detalle!$D:$D,L$4),"▼","="))&amp;" "&amp;TEXT((L19-SUMIFS(Detalle!$H:$H,Detalle!$A:$A,$B$3,Detalle!$B:$B,$A19,Detalle!$D:$D,L$4))/SUMIFS(Detalle!$H:$H,Detalle!$A:$A,$B$3,Detalle!$B:$B,$A19,Detalle!$D:$D,L$4),"0.0%"))</f>
        <v>▲ 34.1%</v>
      </c>
      <c r="N19" s="10">
        <f>SUMIFS(Detalle!$G:$G,Detalle!$A:$A,$B$3,Detalle!$B:$B,$A19,Detalle!$D:$D,N$4)</f>
        <v>10972.08</v>
      </c>
      <c r="O19" s="11" t="str">
        <f>IF(SUMIFS(Detalle!$H:$H,Detalle!$A:$A,$B$3,Detalle!$B:$B,$A19,Detalle!$D:$D,N$4)&lt;=0,IF(N19&gt;0,"▲ nuevo","="),IF(N19&gt;SUMIFS(Detalle!$H:$H,Detalle!$A:$A,$B$3,Detalle!$B:$B,$A19,Detalle!$D:$D,N$4),"▲",IF(N19&lt;SUMIFS(Detalle!$H:$H,Detalle!$A:$A,$B$3,Detalle!$B:$B,$A19,Detalle!$D:$D,N$4),"▼","="))&amp;" "&amp;TEXT((N19-SUMIFS(Detalle!$H:$H,Detalle!$A:$A,$B$3,Detalle!$B:$B,$A19,Detalle!$D:$D,N$4))/SUMIFS(Detalle!$H:$H,Detalle!$A:$A,$B$3,Detalle!$B:$B,$A19,Detalle!$D:$D,N$4),"0.0%"))</f>
        <v>▼ -38.8%</v>
      </c>
      <c r="P19" s="12">
        <f>SUMIFS(Detalle!$G:$G,Detalle!$A:$A,$B$3,Detalle!$B:$B,$A19,Detalle!$D:$D,P$4)</f>
        <v>16326.05</v>
      </c>
      <c r="Q19" s="13" t="str">
        <f>IF(SUMIFS(Detalle!$H:$H,Detalle!$A:$A,$B$3,Detalle!$B:$B,$A19,Detalle!$D:$D,P$4)&lt;=0,IF(P19&gt;0,"▲ nuevo","="),IF(P19&gt;SUMIFS(Detalle!$H:$H,Detalle!$A:$A,$B$3,Detalle!$B:$B,$A19,Detalle!$D:$D,P$4),"▲",IF(P19&lt;SUMIFS(Detalle!$H:$H,Detalle!$A:$A,$B$3,Detalle!$B:$B,$A19,Detalle!$D:$D,P$4),"▼","="))&amp;" "&amp;TEXT((P19-SUMIFS(Detalle!$H:$H,Detalle!$A:$A,$B$3,Detalle!$B:$B,$A19,Detalle!$D:$D,P$4))/SUMIFS(Detalle!$H:$H,Detalle!$A:$A,$B$3,Detalle!$B:$B,$A19,Detalle!$D:$D,P$4),"0.0%"))</f>
        <v>▲ 48.8%</v>
      </c>
    </row>
    <row r="20" spans="1:17" x14ac:dyDescent="0.3">
      <c r="A20" s="9" t="s">
        <v>43</v>
      </c>
      <c r="B20" s="10">
        <f>SUMIFS(Detalle!$G:$G,Detalle!$A:$A,$B$3,Detalle!$B:$B,$A20,Detalle!$D:$D,B$4)</f>
        <v>10764.3</v>
      </c>
      <c r="C20" s="11" t="str">
        <f>IF(SUMIFS(Detalle!$H:$H,Detalle!$A:$A,$B$3,Detalle!$B:$B,$A20,Detalle!$D:$D,B$4)&lt;=0,IF(B20&gt;0,"▲ nuevo","="),IF(B20&gt;SUMIFS(Detalle!$H:$H,Detalle!$A:$A,$B$3,Detalle!$B:$B,$A20,Detalle!$D:$D,B$4),"▲",IF(B20&lt;SUMIFS(Detalle!$H:$H,Detalle!$A:$A,$B$3,Detalle!$B:$B,$A20,Detalle!$D:$D,B$4),"▼","="))&amp;" "&amp;TEXT((B20-SUMIFS(Detalle!$H:$H,Detalle!$A:$A,$B$3,Detalle!$B:$B,$A20,Detalle!$D:$D,B$4))/SUMIFS(Detalle!$H:$H,Detalle!$A:$A,$B$3,Detalle!$B:$B,$A20,Detalle!$D:$D,B$4),"0.0%"))</f>
        <v>▼ -49.6%</v>
      </c>
      <c r="D20" s="10">
        <f>SUMIFS(Detalle!$G:$G,Detalle!$A:$A,$B$3,Detalle!$B:$B,$A20,Detalle!$D:$D,D$4)</f>
        <v>7727.28</v>
      </c>
      <c r="E20" s="11" t="str">
        <f>IF(SUMIFS(Detalle!$H:$H,Detalle!$A:$A,$B$3,Detalle!$B:$B,$A20,Detalle!$D:$D,D$4)&lt;=0,IF(D20&gt;0,"▲ nuevo","="),IF(D20&gt;SUMIFS(Detalle!$H:$H,Detalle!$A:$A,$B$3,Detalle!$B:$B,$A20,Detalle!$D:$D,D$4),"▲",IF(D20&lt;SUMIFS(Detalle!$H:$H,Detalle!$A:$A,$B$3,Detalle!$B:$B,$A20,Detalle!$D:$D,D$4),"▼","="))&amp;" "&amp;TEXT((D20-SUMIFS(Detalle!$H:$H,Detalle!$A:$A,$B$3,Detalle!$B:$B,$A20,Detalle!$D:$D,D$4))/SUMIFS(Detalle!$H:$H,Detalle!$A:$A,$B$3,Detalle!$B:$B,$A20,Detalle!$D:$D,D$4),"0.0%"))</f>
        <v>▼ -28.2%</v>
      </c>
      <c r="F20" s="10">
        <f>SUMIFS(Detalle!$G:$G,Detalle!$A:$A,$B$3,Detalle!$B:$B,$A20,Detalle!$D:$D,F$4)</f>
        <v>10417.44</v>
      </c>
      <c r="G20" s="11" t="str">
        <f>IF(SUMIFS(Detalle!$H:$H,Detalle!$A:$A,$B$3,Detalle!$B:$B,$A20,Detalle!$D:$D,F$4)&lt;=0,IF(F20&gt;0,"▲ nuevo","="),IF(F20&gt;SUMIFS(Detalle!$H:$H,Detalle!$A:$A,$B$3,Detalle!$B:$B,$A20,Detalle!$D:$D,F$4),"▲",IF(F20&lt;SUMIFS(Detalle!$H:$H,Detalle!$A:$A,$B$3,Detalle!$B:$B,$A20,Detalle!$D:$D,F$4),"▼","="))&amp;" "&amp;TEXT((F20-SUMIFS(Detalle!$H:$H,Detalle!$A:$A,$B$3,Detalle!$B:$B,$A20,Detalle!$D:$D,F$4))/SUMIFS(Detalle!$H:$H,Detalle!$A:$A,$B$3,Detalle!$B:$B,$A20,Detalle!$D:$D,F$4),"0.0%"))</f>
        <v>▲ 34.8%</v>
      </c>
      <c r="H20" s="10">
        <f>SUMIFS(Detalle!$G:$G,Detalle!$A:$A,$B$3,Detalle!$B:$B,$A20,Detalle!$D:$D,H$4)</f>
        <v>5672</v>
      </c>
      <c r="I20" s="11" t="str">
        <f>IF(SUMIFS(Detalle!$H:$H,Detalle!$A:$A,$B$3,Detalle!$B:$B,$A20,Detalle!$D:$D,H$4)&lt;=0,IF(H20&gt;0,"▲ nuevo","="),IF(H20&gt;SUMIFS(Detalle!$H:$H,Detalle!$A:$A,$B$3,Detalle!$B:$B,$A20,Detalle!$D:$D,H$4),"▲",IF(H20&lt;SUMIFS(Detalle!$H:$H,Detalle!$A:$A,$B$3,Detalle!$B:$B,$A20,Detalle!$D:$D,H$4),"▼","="))&amp;" "&amp;TEXT((H20-SUMIFS(Detalle!$H:$H,Detalle!$A:$A,$B$3,Detalle!$B:$B,$A20,Detalle!$D:$D,H$4))/SUMIFS(Detalle!$H:$H,Detalle!$A:$A,$B$3,Detalle!$B:$B,$A20,Detalle!$D:$D,H$4),"0.0%"))</f>
        <v>▼ -45.6%</v>
      </c>
      <c r="J20" s="10">
        <f>SUMIFS(Detalle!$G:$G,Detalle!$A:$A,$B$3,Detalle!$B:$B,$A20,Detalle!$D:$D,J$4)</f>
        <v>0</v>
      </c>
      <c r="K20" s="11" t="str">
        <f>IF(SUMIFS(Detalle!$H:$H,Detalle!$A:$A,$B$3,Detalle!$B:$B,$A20,Detalle!$D:$D,J$4)&lt;=0,IF(J20&gt;0,"▲ nuevo","="),IF(J20&gt;SUMIFS(Detalle!$H:$H,Detalle!$A:$A,$B$3,Detalle!$B:$B,$A20,Detalle!$D:$D,J$4),"▲",IF(J20&lt;SUMIFS(Detalle!$H:$H,Detalle!$A:$A,$B$3,Detalle!$B:$B,$A20,Detalle!$D:$D,J$4),"▼","="))&amp;" "&amp;TEXT((J20-SUMIFS(Detalle!$H:$H,Detalle!$A:$A,$B$3,Detalle!$B:$B,$A20,Detalle!$D:$D,J$4))/SUMIFS(Detalle!$H:$H,Detalle!$A:$A,$B$3,Detalle!$B:$B,$A20,Detalle!$D:$D,J$4),"0.0%"))</f>
        <v>▼ -100.0%</v>
      </c>
      <c r="L20" s="10">
        <f>SUMIFS(Detalle!$G:$G,Detalle!$A:$A,$B$3,Detalle!$B:$B,$A20,Detalle!$D:$D,L$4)</f>
        <v>0</v>
      </c>
      <c r="M20" s="11" t="str">
        <f>IF(SUMIFS(Detalle!$H:$H,Detalle!$A:$A,$B$3,Detalle!$B:$B,$A20,Detalle!$D:$D,L$4)&lt;=0,IF(L20&gt;0,"▲ nuevo","="),IF(L20&gt;SUMIFS(Detalle!$H:$H,Detalle!$A:$A,$B$3,Detalle!$B:$B,$A20,Detalle!$D:$D,L$4),"▲",IF(L20&lt;SUMIFS(Detalle!$H:$H,Detalle!$A:$A,$B$3,Detalle!$B:$B,$A20,Detalle!$D:$D,L$4),"▼","="))&amp;" "&amp;TEXT((L20-SUMIFS(Detalle!$H:$H,Detalle!$A:$A,$B$3,Detalle!$B:$B,$A20,Detalle!$D:$D,L$4))/SUMIFS(Detalle!$H:$H,Detalle!$A:$A,$B$3,Detalle!$B:$B,$A20,Detalle!$D:$D,L$4),"0.0%"))</f>
        <v>=</v>
      </c>
      <c r="N20" s="10">
        <f>SUMIFS(Detalle!$G:$G,Detalle!$A:$A,$B$3,Detalle!$B:$B,$A20,Detalle!$D:$D,N$4)</f>
        <v>0</v>
      </c>
      <c r="O20" s="11" t="str">
        <f>IF(SUMIFS(Detalle!$H:$H,Detalle!$A:$A,$B$3,Detalle!$B:$B,$A20,Detalle!$D:$D,N$4)&lt;=0,IF(N20&gt;0,"▲ nuevo","="),IF(N20&gt;SUMIFS(Detalle!$H:$H,Detalle!$A:$A,$B$3,Detalle!$B:$B,$A20,Detalle!$D:$D,N$4),"▲",IF(N20&lt;SUMIFS(Detalle!$H:$H,Detalle!$A:$A,$B$3,Detalle!$B:$B,$A20,Detalle!$D:$D,N$4),"▼","="))&amp;" "&amp;TEXT((N20-SUMIFS(Detalle!$H:$H,Detalle!$A:$A,$B$3,Detalle!$B:$B,$A20,Detalle!$D:$D,N$4))/SUMIFS(Detalle!$H:$H,Detalle!$A:$A,$B$3,Detalle!$B:$B,$A20,Detalle!$D:$D,N$4),"0.0%"))</f>
        <v>=</v>
      </c>
      <c r="P20" s="12">
        <f>SUMIFS(Detalle!$G:$G,Detalle!$A:$A,$B$3,Detalle!$B:$B,$A20,Detalle!$D:$D,P$4)</f>
        <v>0</v>
      </c>
      <c r="Q20" s="13" t="str">
        <f>IF(SUMIFS(Detalle!$H:$H,Detalle!$A:$A,$B$3,Detalle!$B:$B,$A20,Detalle!$D:$D,P$4)&lt;=0,IF(P20&gt;0,"▲ nuevo","="),IF(P20&gt;SUMIFS(Detalle!$H:$H,Detalle!$A:$A,$B$3,Detalle!$B:$B,$A20,Detalle!$D:$D,P$4),"▲",IF(P20&lt;SUMIFS(Detalle!$H:$H,Detalle!$A:$A,$B$3,Detalle!$B:$B,$A20,Detalle!$D:$D,P$4),"▼","="))&amp;" "&amp;TEXT((P20-SUMIFS(Detalle!$H:$H,Detalle!$A:$A,$B$3,Detalle!$B:$B,$A20,Detalle!$D:$D,P$4))/SUMIFS(Detalle!$H:$H,Detalle!$A:$A,$B$3,Detalle!$B:$B,$A20,Detalle!$D:$D,P$4),"0.0%"))</f>
        <v>=</v>
      </c>
    </row>
    <row r="21" spans="1:17" x14ac:dyDescent="0.3">
      <c r="A21" s="9" t="s">
        <v>44</v>
      </c>
      <c r="B21" s="10">
        <f>SUMIFS(Detalle!$G:$G,Detalle!$A:$A,$B$3,Detalle!$B:$B,$A21,Detalle!$D:$D,B$4)</f>
        <v>2253.5500000000002</v>
      </c>
      <c r="C21" s="11" t="str">
        <f>IF(SUMIFS(Detalle!$H:$H,Detalle!$A:$A,$B$3,Detalle!$B:$B,$A21,Detalle!$D:$D,B$4)&lt;=0,IF(B21&gt;0,"▲ nuevo","="),IF(B21&gt;SUMIFS(Detalle!$H:$H,Detalle!$A:$A,$B$3,Detalle!$B:$B,$A21,Detalle!$D:$D,B$4),"▲",IF(B21&lt;SUMIFS(Detalle!$H:$H,Detalle!$A:$A,$B$3,Detalle!$B:$B,$A21,Detalle!$D:$D,B$4),"▼","="))&amp;" "&amp;TEXT((B21-SUMIFS(Detalle!$H:$H,Detalle!$A:$A,$B$3,Detalle!$B:$B,$A21,Detalle!$D:$D,B$4))/SUMIFS(Detalle!$H:$H,Detalle!$A:$A,$B$3,Detalle!$B:$B,$A21,Detalle!$D:$D,B$4),"0.0%"))</f>
        <v>▲ 57.5%</v>
      </c>
      <c r="D21" s="10">
        <f>SUMIFS(Detalle!$G:$G,Detalle!$A:$A,$B$3,Detalle!$B:$B,$A21,Detalle!$D:$D,D$4)</f>
        <v>766.48</v>
      </c>
      <c r="E21" s="11" t="str">
        <f>IF(SUMIFS(Detalle!$H:$H,Detalle!$A:$A,$B$3,Detalle!$B:$B,$A21,Detalle!$D:$D,D$4)&lt;=0,IF(D21&gt;0,"▲ nuevo","="),IF(D21&gt;SUMIFS(Detalle!$H:$H,Detalle!$A:$A,$B$3,Detalle!$B:$B,$A21,Detalle!$D:$D,D$4),"▲",IF(D21&lt;SUMIFS(Detalle!$H:$H,Detalle!$A:$A,$B$3,Detalle!$B:$B,$A21,Detalle!$D:$D,D$4),"▼","="))&amp;" "&amp;TEXT((D21-SUMIFS(Detalle!$H:$H,Detalle!$A:$A,$B$3,Detalle!$B:$B,$A21,Detalle!$D:$D,D$4))/SUMIFS(Detalle!$H:$H,Detalle!$A:$A,$B$3,Detalle!$B:$B,$A21,Detalle!$D:$D,D$4),"0.0%"))</f>
        <v>▼ -66.0%</v>
      </c>
      <c r="F21" s="10">
        <f>SUMIFS(Detalle!$G:$G,Detalle!$A:$A,$B$3,Detalle!$B:$B,$A21,Detalle!$D:$D,F$4)</f>
        <v>1502.31</v>
      </c>
      <c r="G21" s="11" t="str">
        <f>IF(SUMIFS(Detalle!$H:$H,Detalle!$A:$A,$B$3,Detalle!$B:$B,$A21,Detalle!$D:$D,F$4)&lt;=0,IF(F21&gt;0,"▲ nuevo","="),IF(F21&gt;SUMIFS(Detalle!$H:$H,Detalle!$A:$A,$B$3,Detalle!$B:$B,$A21,Detalle!$D:$D,F$4),"▲",IF(F21&lt;SUMIFS(Detalle!$H:$H,Detalle!$A:$A,$B$3,Detalle!$B:$B,$A21,Detalle!$D:$D,F$4),"▼","="))&amp;" "&amp;TEXT((F21-SUMIFS(Detalle!$H:$H,Detalle!$A:$A,$B$3,Detalle!$B:$B,$A21,Detalle!$D:$D,F$4))/SUMIFS(Detalle!$H:$H,Detalle!$A:$A,$B$3,Detalle!$B:$B,$A21,Detalle!$D:$D,F$4),"0.0%"))</f>
        <v>▲ 96.0%</v>
      </c>
      <c r="H21" s="10">
        <f>SUMIFS(Detalle!$G:$G,Detalle!$A:$A,$B$3,Detalle!$B:$B,$A21,Detalle!$D:$D,H$4)</f>
        <v>13081.04</v>
      </c>
      <c r="I21" s="11" t="str">
        <f>IF(SUMIFS(Detalle!$H:$H,Detalle!$A:$A,$B$3,Detalle!$B:$B,$A21,Detalle!$D:$D,H$4)&lt;=0,IF(H21&gt;0,"▲ nuevo","="),IF(H21&gt;SUMIFS(Detalle!$H:$H,Detalle!$A:$A,$B$3,Detalle!$B:$B,$A21,Detalle!$D:$D,H$4),"▲",IF(H21&lt;SUMIFS(Detalle!$H:$H,Detalle!$A:$A,$B$3,Detalle!$B:$B,$A21,Detalle!$D:$D,H$4),"▼","="))&amp;" "&amp;TEXT((H21-SUMIFS(Detalle!$H:$H,Detalle!$A:$A,$B$3,Detalle!$B:$B,$A21,Detalle!$D:$D,H$4))/SUMIFS(Detalle!$H:$H,Detalle!$A:$A,$B$3,Detalle!$B:$B,$A21,Detalle!$D:$D,H$4),"0.0%"))</f>
        <v>▲ 770.7%</v>
      </c>
      <c r="J21" s="10">
        <f>SUMIFS(Detalle!$G:$G,Detalle!$A:$A,$B$3,Detalle!$B:$B,$A21,Detalle!$D:$D,J$4)</f>
        <v>7548.36</v>
      </c>
      <c r="K21" s="11" t="str">
        <f>IF(SUMIFS(Detalle!$H:$H,Detalle!$A:$A,$B$3,Detalle!$B:$B,$A21,Detalle!$D:$D,J$4)&lt;=0,IF(J21&gt;0,"▲ nuevo","="),IF(J21&gt;SUMIFS(Detalle!$H:$H,Detalle!$A:$A,$B$3,Detalle!$B:$B,$A21,Detalle!$D:$D,J$4),"▲",IF(J21&lt;SUMIFS(Detalle!$H:$H,Detalle!$A:$A,$B$3,Detalle!$B:$B,$A21,Detalle!$D:$D,J$4),"▼","="))&amp;" "&amp;TEXT((J21-SUMIFS(Detalle!$H:$H,Detalle!$A:$A,$B$3,Detalle!$B:$B,$A21,Detalle!$D:$D,J$4))/SUMIFS(Detalle!$H:$H,Detalle!$A:$A,$B$3,Detalle!$B:$B,$A21,Detalle!$D:$D,J$4),"0.0%"))</f>
        <v>▼ -42.3%</v>
      </c>
      <c r="L21" s="10">
        <f>SUMIFS(Detalle!$G:$G,Detalle!$A:$A,$B$3,Detalle!$B:$B,$A21,Detalle!$D:$D,L$4)</f>
        <v>2279.6</v>
      </c>
      <c r="M21" s="11" t="str">
        <f>IF(SUMIFS(Detalle!$H:$H,Detalle!$A:$A,$B$3,Detalle!$B:$B,$A21,Detalle!$D:$D,L$4)&lt;=0,IF(L21&gt;0,"▲ nuevo","="),IF(L21&gt;SUMIFS(Detalle!$H:$H,Detalle!$A:$A,$B$3,Detalle!$B:$B,$A21,Detalle!$D:$D,L$4),"▲",IF(L21&lt;SUMIFS(Detalle!$H:$H,Detalle!$A:$A,$B$3,Detalle!$B:$B,$A21,Detalle!$D:$D,L$4),"▼","="))&amp;" "&amp;TEXT((L21-SUMIFS(Detalle!$H:$H,Detalle!$A:$A,$B$3,Detalle!$B:$B,$A21,Detalle!$D:$D,L$4))/SUMIFS(Detalle!$H:$H,Detalle!$A:$A,$B$3,Detalle!$B:$B,$A21,Detalle!$D:$D,L$4),"0.0%"))</f>
        <v>▼ -69.8%</v>
      </c>
      <c r="N21" s="10">
        <f>SUMIFS(Detalle!$G:$G,Detalle!$A:$A,$B$3,Detalle!$B:$B,$A21,Detalle!$D:$D,N$4)</f>
        <v>0</v>
      </c>
      <c r="O21" s="11" t="str">
        <f>IF(SUMIFS(Detalle!$H:$H,Detalle!$A:$A,$B$3,Detalle!$B:$B,$A21,Detalle!$D:$D,N$4)&lt;=0,IF(N21&gt;0,"▲ nuevo","="),IF(N21&gt;SUMIFS(Detalle!$H:$H,Detalle!$A:$A,$B$3,Detalle!$B:$B,$A21,Detalle!$D:$D,N$4),"▲",IF(N21&lt;SUMIFS(Detalle!$H:$H,Detalle!$A:$A,$B$3,Detalle!$B:$B,$A21,Detalle!$D:$D,N$4),"▼","="))&amp;" "&amp;TEXT((N21-SUMIFS(Detalle!$H:$H,Detalle!$A:$A,$B$3,Detalle!$B:$B,$A21,Detalle!$D:$D,N$4))/SUMIFS(Detalle!$H:$H,Detalle!$A:$A,$B$3,Detalle!$B:$B,$A21,Detalle!$D:$D,N$4),"0.0%"))</f>
        <v>▼ -100.0%</v>
      </c>
      <c r="P21" s="12">
        <f>SUMIFS(Detalle!$G:$G,Detalle!$A:$A,$B$3,Detalle!$B:$B,$A21,Detalle!$D:$D,P$4)</f>
        <v>1956.58</v>
      </c>
      <c r="Q21" s="13" t="str">
        <f>IF(SUMIFS(Detalle!$H:$H,Detalle!$A:$A,$B$3,Detalle!$B:$B,$A21,Detalle!$D:$D,P$4)&lt;=0,IF(P21&gt;0,"▲ nuevo","="),IF(P21&gt;SUMIFS(Detalle!$H:$H,Detalle!$A:$A,$B$3,Detalle!$B:$B,$A21,Detalle!$D:$D,P$4),"▲",IF(P21&lt;SUMIFS(Detalle!$H:$H,Detalle!$A:$A,$B$3,Detalle!$B:$B,$A21,Detalle!$D:$D,P$4),"▼","="))&amp;" "&amp;TEXT((P21-SUMIFS(Detalle!$H:$H,Detalle!$A:$A,$B$3,Detalle!$B:$B,$A21,Detalle!$D:$D,P$4))/SUMIFS(Detalle!$H:$H,Detalle!$A:$A,$B$3,Detalle!$B:$B,$A21,Detalle!$D:$D,P$4),"0.0%"))</f>
        <v>▲ nuevo</v>
      </c>
    </row>
    <row r="22" spans="1:17" x14ac:dyDescent="0.3">
      <c r="A22" s="9" t="s">
        <v>45</v>
      </c>
      <c r="B22" s="10">
        <f>SUMIFS(Detalle!$G:$G,Detalle!$A:$A,$B$3,Detalle!$B:$B,$A22,Detalle!$D:$D,B$4)</f>
        <v>0</v>
      </c>
      <c r="C22" s="11" t="str">
        <f>IF(SUMIFS(Detalle!$H:$H,Detalle!$A:$A,$B$3,Detalle!$B:$B,$A22,Detalle!$D:$D,B$4)&lt;=0,IF(B22&gt;0,"▲ nuevo","="),IF(B22&gt;SUMIFS(Detalle!$H:$H,Detalle!$A:$A,$B$3,Detalle!$B:$B,$A22,Detalle!$D:$D,B$4),"▲",IF(B22&lt;SUMIFS(Detalle!$H:$H,Detalle!$A:$A,$B$3,Detalle!$B:$B,$A22,Detalle!$D:$D,B$4),"▼","="))&amp;" "&amp;TEXT((B22-SUMIFS(Detalle!$H:$H,Detalle!$A:$A,$B$3,Detalle!$B:$B,$A22,Detalle!$D:$D,B$4))/SUMIFS(Detalle!$H:$H,Detalle!$A:$A,$B$3,Detalle!$B:$B,$A22,Detalle!$D:$D,B$4),"0.0%"))</f>
        <v>=</v>
      </c>
      <c r="D22" s="10">
        <f>SUMIFS(Detalle!$G:$G,Detalle!$A:$A,$B$3,Detalle!$B:$B,$A22,Detalle!$D:$D,D$4)</f>
        <v>0</v>
      </c>
      <c r="E22" s="11" t="str">
        <f>IF(SUMIFS(Detalle!$H:$H,Detalle!$A:$A,$B$3,Detalle!$B:$B,$A22,Detalle!$D:$D,D$4)&lt;=0,IF(D22&gt;0,"▲ nuevo","="),IF(D22&gt;SUMIFS(Detalle!$H:$H,Detalle!$A:$A,$B$3,Detalle!$B:$B,$A22,Detalle!$D:$D,D$4),"▲",IF(D22&lt;SUMIFS(Detalle!$H:$H,Detalle!$A:$A,$B$3,Detalle!$B:$B,$A22,Detalle!$D:$D,D$4),"▼","="))&amp;" "&amp;TEXT((D22-SUMIFS(Detalle!$H:$H,Detalle!$A:$A,$B$3,Detalle!$B:$B,$A22,Detalle!$D:$D,D$4))/SUMIFS(Detalle!$H:$H,Detalle!$A:$A,$B$3,Detalle!$B:$B,$A22,Detalle!$D:$D,D$4),"0.0%"))</f>
        <v>=</v>
      </c>
      <c r="F22" s="10">
        <f>SUMIFS(Detalle!$G:$G,Detalle!$A:$A,$B$3,Detalle!$B:$B,$A22,Detalle!$D:$D,F$4)</f>
        <v>0</v>
      </c>
      <c r="G22" s="11" t="str">
        <f>IF(SUMIFS(Detalle!$H:$H,Detalle!$A:$A,$B$3,Detalle!$B:$B,$A22,Detalle!$D:$D,F$4)&lt;=0,IF(F22&gt;0,"▲ nuevo","="),IF(F22&gt;SUMIFS(Detalle!$H:$H,Detalle!$A:$A,$B$3,Detalle!$B:$B,$A22,Detalle!$D:$D,F$4),"▲",IF(F22&lt;SUMIFS(Detalle!$H:$H,Detalle!$A:$A,$B$3,Detalle!$B:$B,$A22,Detalle!$D:$D,F$4),"▼","="))&amp;" "&amp;TEXT((F22-SUMIFS(Detalle!$H:$H,Detalle!$A:$A,$B$3,Detalle!$B:$B,$A22,Detalle!$D:$D,F$4))/SUMIFS(Detalle!$H:$H,Detalle!$A:$A,$B$3,Detalle!$B:$B,$A22,Detalle!$D:$D,F$4),"0.0%"))</f>
        <v>=</v>
      </c>
      <c r="H22" s="10">
        <f>SUMIFS(Detalle!$G:$G,Detalle!$A:$A,$B$3,Detalle!$B:$B,$A22,Detalle!$D:$D,H$4)</f>
        <v>0</v>
      </c>
      <c r="I22" s="11" t="str">
        <f>IF(SUMIFS(Detalle!$H:$H,Detalle!$A:$A,$B$3,Detalle!$B:$B,$A22,Detalle!$D:$D,H$4)&lt;=0,IF(H22&gt;0,"▲ nuevo","="),IF(H22&gt;SUMIFS(Detalle!$H:$H,Detalle!$A:$A,$B$3,Detalle!$B:$B,$A22,Detalle!$D:$D,H$4),"▲",IF(H22&lt;SUMIFS(Detalle!$H:$H,Detalle!$A:$A,$B$3,Detalle!$B:$B,$A22,Detalle!$D:$D,H$4),"▼","="))&amp;" "&amp;TEXT((H22-SUMIFS(Detalle!$H:$H,Detalle!$A:$A,$B$3,Detalle!$B:$B,$A22,Detalle!$D:$D,H$4))/SUMIFS(Detalle!$H:$H,Detalle!$A:$A,$B$3,Detalle!$B:$B,$A22,Detalle!$D:$D,H$4),"0.0%"))</f>
        <v>=</v>
      </c>
      <c r="J22" s="10">
        <f>SUMIFS(Detalle!$G:$G,Detalle!$A:$A,$B$3,Detalle!$B:$B,$A22,Detalle!$D:$D,J$4)</f>
        <v>877.11</v>
      </c>
      <c r="K22" s="11" t="str">
        <f>IF(SUMIFS(Detalle!$H:$H,Detalle!$A:$A,$B$3,Detalle!$B:$B,$A22,Detalle!$D:$D,J$4)&lt;=0,IF(J22&gt;0,"▲ nuevo","="),IF(J22&gt;SUMIFS(Detalle!$H:$H,Detalle!$A:$A,$B$3,Detalle!$B:$B,$A22,Detalle!$D:$D,J$4),"▲",IF(J22&lt;SUMIFS(Detalle!$H:$H,Detalle!$A:$A,$B$3,Detalle!$B:$B,$A22,Detalle!$D:$D,J$4),"▼","="))&amp;" "&amp;TEXT((J22-SUMIFS(Detalle!$H:$H,Detalle!$A:$A,$B$3,Detalle!$B:$B,$A22,Detalle!$D:$D,J$4))/SUMIFS(Detalle!$H:$H,Detalle!$A:$A,$B$3,Detalle!$B:$B,$A22,Detalle!$D:$D,J$4),"0.0%"))</f>
        <v>▲ nuevo</v>
      </c>
      <c r="L22" s="10">
        <f>SUMIFS(Detalle!$G:$G,Detalle!$A:$A,$B$3,Detalle!$B:$B,$A22,Detalle!$D:$D,L$4)</f>
        <v>0</v>
      </c>
      <c r="M22" s="11" t="str">
        <f>IF(SUMIFS(Detalle!$H:$H,Detalle!$A:$A,$B$3,Detalle!$B:$B,$A22,Detalle!$D:$D,L$4)&lt;=0,IF(L22&gt;0,"▲ nuevo","="),IF(L22&gt;SUMIFS(Detalle!$H:$H,Detalle!$A:$A,$B$3,Detalle!$B:$B,$A22,Detalle!$D:$D,L$4),"▲",IF(L22&lt;SUMIFS(Detalle!$H:$H,Detalle!$A:$A,$B$3,Detalle!$B:$B,$A22,Detalle!$D:$D,L$4),"▼","="))&amp;" "&amp;TEXT((L22-SUMIFS(Detalle!$H:$H,Detalle!$A:$A,$B$3,Detalle!$B:$B,$A22,Detalle!$D:$D,L$4))/SUMIFS(Detalle!$H:$H,Detalle!$A:$A,$B$3,Detalle!$B:$B,$A22,Detalle!$D:$D,L$4),"0.0%"))</f>
        <v>▼ -100.0%</v>
      </c>
      <c r="N22" s="10">
        <f>SUMIFS(Detalle!$G:$G,Detalle!$A:$A,$B$3,Detalle!$B:$B,$A22,Detalle!$D:$D,N$4)</f>
        <v>0</v>
      </c>
      <c r="O22" s="11" t="str">
        <f>IF(SUMIFS(Detalle!$H:$H,Detalle!$A:$A,$B$3,Detalle!$B:$B,$A22,Detalle!$D:$D,N$4)&lt;=0,IF(N22&gt;0,"▲ nuevo","="),IF(N22&gt;SUMIFS(Detalle!$H:$H,Detalle!$A:$A,$B$3,Detalle!$B:$B,$A22,Detalle!$D:$D,N$4),"▲",IF(N22&lt;SUMIFS(Detalle!$H:$H,Detalle!$A:$A,$B$3,Detalle!$B:$B,$A22,Detalle!$D:$D,N$4),"▼","="))&amp;" "&amp;TEXT((N22-SUMIFS(Detalle!$H:$H,Detalle!$A:$A,$B$3,Detalle!$B:$B,$A22,Detalle!$D:$D,N$4))/SUMIFS(Detalle!$H:$H,Detalle!$A:$A,$B$3,Detalle!$B:$B,$A22,Detalle!$D:$D,N$4),"0.0%"))</f>
        <v>=</v>
      </c>
      <c r="P22" s="12">
        <f>SUMIFS(Detalle!$G:$G,Detalle!$A:$A,$B$3,Detalle!$B:$B,$A22,Detalle!$D:$D,P$4)</f>
        <v>219.28</v>
      </c>
      <c r="Q22" s="13" t="str">
        <f>IF(SUMIFS(Detalle!$H:$H,Detalle!$A:$A,$B$3,Detalle!$B:$B,$A22,Detalle!$D:$D,P$4)&lt;=0,IF(P22&gt;0,"▲ nuevo","="),IF(P22&gt;SUMIFS(Detalle!$H:$H,Detalle!$A:$A,$B$3,Detalle!$B:$B,$A22,Detalle!$D:$D,P$4),"▲",IF(P22&lt;SUMIFS(Detalle!$H:$H,Detalle!$A:$A,$B$3,Detalle!$B:$B,$A22,Detalle!$D:$D,P$4),"▼","="))&amp;" "&amp;TEXT((P22-SUMIFS(Detalle!$H:$H,Detalle!$A:$A,$B$3,Detalle!$B:$B,$A22,Detalle!$D:$D,P$4))/SUMIFS(Detalle!$H:$H,Detalle!$A:$A,$B$3,Detalle!$B:$B,$A22,Detalle!$D:$D,P$4),"0.0%"))</f>
        <v>▲ nuevo</v>
      </c>
    </row>
    <row r="23" spans="1:17" x14ac:dyDescent="0.3">
      <c r="A23" s="14" t="s">
        <v>16</v>
      </c>
      <c r="B23" s="15">
        <f>SUMIFS(Detalle!$G:$G,Detalle!$A:$A,"Total",Detalle!$B:$B,"Minorista",Detalle!$D:$D,B$4)</f>
        <v>11227031.439999999</v>
      </c>
      <c r="C23" s="16" t="str">
        <f>IF(SUMIFS(Detalle!$H:$H,Detalle!$A:$A,"Total",Detalle!$B:$B,"Minorista",Detalle!$D:$D,B$4)&lt;=0,IF(B23&gt;0,"▲ nuevo","="),IF(B23&gt;SUMIFS(Detalle!$H:$H,Detalle!$A:$A,"Total",Detalle!$B:$B,"Minorista",Detalle!$D:$D,B$4),"▲",IF(B23&lt;SUMIFS(Detalle!$H:$H,Detalle!$A:$A,"Total",Detalle!$B:$B,"Minorista",Detalle!$D:$D,B$4),"▼","="))&amp;" "&amp;TEXT((B23-SUMIFS(Detalle!$H:$H,Detalle!$A:$A,"Total",Detalle!$B:$B,"Minorista",Detalle!$D:$D,B$4))/SUMIFS(Detalle!$H:$H,Detalle!$A:$A,"Total",Detalle!$B:$B,"Minorista",Detalle!$D:$D,B$4),"0.0%"))</f>
        <v>▼ -3.3%</v>
      </c>
      <c r="D23" s="15">
        <f>SUMIFS(Detalle!$G:$G,Detalle!$A:$A,"Total",Detalle!$B:$B,"Minorista",Detalle!$D:$D,D$4)</f>
        <v>11920827.390000001</v>
      </c>
      <c r="E23" s="16" t="str">
        <f>IF(SUMIFS(Detalle!$H:$H,Detalle!$A:$A,"Total",Detalle!$B:$B,"Minorista",Detalle!$D:$D,D$4)&lt;=0,IF(D23&gt;0,"▲ nuevo","="),IF(D23&gt;SUMIFS(Detalle!$H:$H,Detalle!$A:$A,"Total",Detalle!$B:$B,"Minorista",Detalle!$D:$D,D$4),"▲",IF(D23&lt;SUMIFS(Detalle!$H:$H,Detalle!$A:$A,"Total",Detalle!$B:$B,"Minorista",Detalle!$D:$D,D$4),"▼","="))&amp;" "&amp;TEXT((D23-SUMIFS(Detalle!$H:$H,Detalle!$A:$A,"Total",Detalle!$B:$B,"Minorista",Detalle!$D:$D,D$4))/SUMIFS(Detalle!$H:$H,Detalle!$A:$A,"Total",Detalle!$B:$B,"Minorista",Detalle!$D:$D,D$4),"0.0%"))</f>
        <v>▲ 6.2%</v>
      </c>
      <c r="F23" s="15">
        <f>SUMIFS(Detalle!$G:$G,Detalle!$A:$A,"Total",Detalle!$B:$B,"Minorista",Detalle!$D:$D,F$4)</f>
        <v>13229333.52</v>
      </c>
      <c r="G23" s="16" t="str">
        <f>IF(SUMIFS(Detalle!$H:$H,Detalle!$A:$A,"Total",Detalle!$B:$B,"Minorista",Detalle!$D:$D,F$4)&lt;=0,IF(F23&gt;0,"▲ nuevo","="),IF(F23&gt;SUMIFS(Detalle!$H:$H,Detalle!$A:$A,"Total",Detalle!$B:$B,"Minorista",Detalle!$D:$D,F$4),"▲",IF(F23&lt;SUMIFS(Detalle!$H:$H,Detalle!$A:$A,"Total",Detalle!$B:$B,"Minorista",Detalle!$D:$D,F$4),"▼","="))&amp;" "&amp;TEXT((F23-SUMIFS(Detalle!$H:$H,Detalle!$A:$A,"Total",Detalle!$B:$B,"Minorista",Detalle!$D:$D,F$4))/SUMIFS(Detalle!$H:$H,Detalle!$A:$A,"Total",Detalle!$B:$B,"Minorista",Detalle!$D:$D,F$4),"0.0%"))</f>
        <v>▲ 11.0%</v>
      </c>
      <c r="H23" s="15">
        <f>SUMIFS(Detalle!$G:$G,Detalle!$A:$A,"Total",Detalle!$B:$B,"Minorista",Detalle!$D:$D,H$4)</f>
        <v>11923421</v>
      </c>
      <c r="I23" s="16" t="str">
        <f>IF(SUMIFS(Detalle!$H:$H,Detalle!$A:$A,"Total",Detalle!$B:$B,"Minorista",Detalle!$D:$D,H$4)&lt;=0,IF(H23&gt;0,"▲ nuevo","="),IF(H23&gt;SUMIFS(Detalle!$H:$H,Detalle!$A:$A,"Total",Detalle!$B:$B,"Minorista",Detalle!$D:$D,H$4),"▲",IF(H23&lt;SUMIFS(Detalle!$H:$H,Detalle!$A:$A,"Total",Detalle!$B:$B,"Minorista",Detalle!$D:$D,H$4),"▼","="))&amp;" "&amp;TEXT((H23-SUMIFS(Detalle!$H:$H,Detalle!$A:$A,"Total",Detalle!$B:$B,"Minorista",Detalle!$D:$D,H$4))/SUMIFS(Detalle!$H:$H,Detalle!$A:$A,"Total",Detalle!$B:$B,"Minorista",Detalle!$D:$D,H$4),"0.0%"))</f>
        <v>▼ -9.9%</v>
      </c>
      <c r="J23" s="15">
        <f>SUMIFS(Detalle!$G:$G,Detalle!$A:$A,"Total",Detalle!$B:$B,"Minorista",Detalle!$D:$D,J$4)</f>
        <v>12320135.65</v>
      </c>
      <c r="K23" s="16" t="str">
        <f>IF(SUMIFS(Detalle!$H:$H,Detalle!$A:$A,"Total",Detalle!$B:$B,"Minorista",Detalle!$D:$D,J$4)&lt;=0,IF(J23&gt;0,"▲ nuevo","="),IF(J23&gt;SUMIFS(Detalle!$H:$H,Detalle!$A:$A,"Total",Detalle!$B:$B,"Minorista",Detalle!$D:$D,J$4),"▲",IF(J23&lt;SUMIFS(Detalle!$H:$H,Detalle!$A:$A,"Total",Detalle!$B:$B,"Minorista",Detalle!$D:$D,J$4),"▼","="))&amp;" "&amp;TEXT((J23-SUMIFS(Detalle!$H:$H,Detalle!$A:$A,"Total",Detalle!$B:$B,"Minorista",Detalle!$D:$D,J$4))/SUMIFS(Detalle!$H:$H,Detalle!$A:$A,"Total",Detalle!$B:$B,"Minorista",Detalle!$D:$D,J$4),"0.0%"))</f>
        <v>▲ 3.3%</v>
      </c>
      <c r="L23" s="15">
        <f>SUMIFS(Detalle!$G:$G,Detalle!$A:$A,"Total",Detalle!$B:$B,"Minorista",Detalle!$D:$D,L$4)</f>
        <v>11367429.75</v>
      </c>
      <c r="M23" s="16" t="str">
        <f>IF(SUMIFS(Detalle!$H:$H,Detalle!$A:$A,"Total",Detalle!$B:$B,"Minorista",Detalle!$D:$D,L$4)&lt;=0,IF(L23&gt;0,"▲ nuevo","="),IF(L23&gt;SUMIFS(Detalle!$H:$H,Detalle!$A:$A,"Total",Detalle!$B:$B,"Minorista",Detalle!$D:$D,L$4),"▲",IF(L23&lt;SUMIFS(Detalle!$H:$H,Detalle!$A:$A,"Total",Detalle!$B:$B,"Minorista",Detalle!$D:$D,L$4),"▼","="))&amp;" "&amp;TEXT((L23-SUMIFS(Detalle!$H:$H,Detalle!$A:$A,"Total",Detalle!$B:$B,"Minorista",Detalle!$D:$D,L$4))/SUMIFS(Detalle!$H:$H,Detalle!$A:$A,"Total",Detalle!$B:$B,"Minorista",Detalle!$D:$D,L$4),"0.0%"))</f>
        <v>▼ -7.7%</v>
      </c>
      <c r="N23" s="15">
        <f>SUMIFS(Detalle!$G:$G,Detalle!$A:$A,"Total",Detalle!$B:$B,"Minorista",Detalle!$D:$D,N$4)</f>
        <v>11290560.25</v>
      </c>
      <c r="O23" s="16" t="str">
        <f>IF(SUMIFS(Detalle!$H:$H,Detalle!$A:$A,"Total",Detalle!$B:$B,"Minorista",Detalle!$D:$D,N$4)&lt;=0,IF(N23&gt;0,"▲ nuevo","="),IF(N23&gt;SUMIFS(Detalle!$H:$H,Detalle!$A:$A,"Total",Detalle!$B:$B,"Minorista",Detalle!$D:$D,N$4),"▲",IF(N23&lt;SUMIFS(Detalle!$H:$H,Detalle!$A:$A,"Total",Detalle!$B:$B,"Minorista",Detalle!$D:$D,N$4),"▼","="))&amp;" "&amp;TEXT((N23-SUMIFS(Detalle!$H:$H,Detalle!$A:$A,"Total",Detalle!$B:$B,"Minorista",Detalle!$D:$D,N$4))/SUMIFS(Detalle!$H:$H,Detalle!$A:$A,"Total",Detalle!$B:$B,"Minorista",Detalle!$D:$D,N$4),"0.0%"))</f>
        <v>▼ -0.7%</v>
      </c>
      <c r="P23" s="15">
        <f>SUMIFS(Detalle!$G:$G,Detalle!$A:$A,"Total",Detalle!$B:$B,"Minorista",Detalle!$D:$D,P$4)</f>
        <v>11477013.210000001</v>
      </c>
      <c r="Q23" s="16" t="str">
        <f>IF(SUMIFS(Detalle!$H:$H,Detalle!$A:$A,"Total",Detalle!$B:$B,"Minorista",Detalle!$D:$D,P$4)&lt;=0,IF(P23&gt;0,"▲ nuevo","="),IF(P23&gt;SUMIFS(Detalle!$H:$H,Detalle!$A:$A,"Total",Detalle!$B:$B,"Minorista",Detalle!$D:$D,P$4),"▲",IF(P23&lt;SUMIFS(Detalle!$H:$H,Detalle!$A:$A,"Total",Detalle!$B:$B,"Minorista",Detalle!$D:$D,P$4),"▼","="))&amp;" "&amp;TEXT((P23-SUMIFS(Detalle!$H:$H,Detalle!$A:$A,"Total",Detalle!$B:$B,"Minorista",Detalle!$D:$D,P$4))/SUMIFS(Detalle!$H:$H,Detalle!$A:$A,"Total",Detalle!$B:$B,"Minorista",Detalle!$D:$D,P$4),"0.0%"))</f>
        <v>▲ 1.7%</v>
      </c>
    </row>
    <row r="24" spans="1:17" x14ac:dyDescent="0.3">
      <c r="A24" s="3" t="s">
        <v>17</v>
      </c>
      <c r="B24" s="17">
        <f>ROUND(SUM(B6:B22)-B23,0)</f>
        <v>0</v>
      </c>
      <c r="D24" s="17">
        <f>ROUND(SUM(D6:D22)-D23,0)</f>
        <v>0</v>
      </c>
      <c r="F24" s="17">
        <f>ROUND(SUM(F6:F22)-F23,0)</f>
        <v>0</v>
      </c>
      <c r="H24" s="17">
        <f>ROUND(SUM(H6:H22)-H23,0)</f>
        <v>0</v>
      </c>
      <c r="J24" s="17">
        <f>ROUND(SUM(J6:J22)-J23,0)</f>
        <v>0</v>
      </c>
      <c r="L24" s="17">
        <f>ROUND(SUM(L6:L22)-L23,0)</f>
        <v>0</v>
      </c>
      <c r="N24" s="17">
        <f>ROUND(SUM(N6:N22)-N23,0)</f>
        <v>0</v>
      </c>
      <c r="P24" s="17">
        <f>ROUND(SUM(P6:P22)-P23,0)</f>
        <v>0</v>
      </c>
    </row>
  </sheetData>
  <conditionalFormatting sqref="B6:Q23">
    <cfRule type="expression" dxfId="3" priority="1">
      <formula>LEFT(B6,1)="▲"</formula>
    </cfRule>
    <cfRule type="expression" dxfId="2" priority="2">
      <formula>LEFT(B6,1)="▼"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17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2" customWidth="1"/>
    <col min="2" max="2" width="30" customWidth="1"/>
    <col min="3" max="3" width="16" customWidth="1"/>
    <col min="4" max="4" width="13" customWidth="1"/>
    <col min="5" max="7" width="15" customWidth="1"/>
    <col min="8" max="8" width="20" customWidth="1"/>
    <col min="9" max="9" width="9" customWidth="1"/>
    <col min="10" max="10" width="11" customWidth="1"/>
    <col min="11" max="11" width="10" customWidth="1"/>
  </cols>
  <sheetData>
    <row r="1" spans="1:11" x14ac:dyDescent="0.3">
      <c r="A1" s="18" t="s">
        <v>46</v>
      </c>
      <c r="B1" s="18" t="s">
        <v>47</v>
      </c>
      <c r="C1" s="18" t="s">
        <v>48</v>
      </c>
      <c r="D1" s="18" t="s">
        <v>49</v>
      </c>
      <c r="E1" s="18" t="s">
        <v>50</v>
      </c>
      <c r="F1" s="18" t="s">
        <v>51</v>
      </c>
      <c r="G1" s="18" t="s">
        <v>52</v>
      </c>
      <c r="H1" s="18" t="s">
        <v>53</v>
      </c>
      <c r="I1" s="18" t="s">
        <v>54</v>
      </c>
      <c r="J1" s="18" t="s">
        <v>55</v>
      </c>
      <c r="K1" s="18" t="s">
        <v>56</v>
      </c>
    </row>
    <row r="2" spans="1:11" x14ac:dyDescent="0.3">
      <c r="A2" s="9" t="s">
        <v>57</v>
      </c>
      <c r="B2" s="9" t="s">
        <v>58</v>
      </c>
      <c r="C2" s="9" t="s">
        <v>5</v>
      </c>
      <c r="D2" s="19">
        <v>46258</v>
      </c>
      <c r="E2" s="20">
        <v>11227031.439999999</v>
      </c>
      <c r="F2" s="20">
        <v>0</v>
      </c>
      <c r="G2" s="10">
        <f t="shared" ref="G2:G65" si="0">E2+F2</f>
        <v>11227031.439999999</v>
      </c>
      <c r="H2" s="20">
        <v>11615565.67</v>
      </c>
      <c r="I2" s="21">
        <f t="shared" ref="I2:I65" si="1">IF(H2&gt;0,(G2-H2)/H2,"")</f>
        <v>-3.3449445428515273E-2</v>
      </c>
      <c r="J2" s="11" t="str">
        <f t="shared" ref="J2:J65" si="2">IF(G2&gt;H2,"▲",IF(G2&lt;H2,"▼","="))</f>
        <v>▼</v>
      </c>
      <c r="K2" s="9" t="s">
        <v>59</v>
      </c>
    </row>
    <row r="3" spans="1:11" x14ac:dyDescent="0.3">
      <c r="A3" s="9" t="s">
        <v>57</v>
      </c>
      <c r="B3" s="9" t="s">
        <v>58</v>
      </c>
      <c r="C3" s="9" t="s">
        <v>7</v>
      </c>
      <c r="D3" s="19">
        <v>46265</v>
      </c>
      <c r="E3" s="20">
        <v>11920827.390000001</v>
      </c>
      <c r="F3" s="20">
        <v>0</v>
      </c>
      <c r="G3" s="10">
        <f t="shared" si="0"/>
        <v>11920827.390000001</v>
      </c>
      <c r="H3" s="20">
        <v>11227031.439999999</v>
      </c>
      <c r="I3" s="21">
        <f t="shared" si="1"/>
        <v>6.1796918776598805E-2</v>
      </c>
      <c r="J3" s="11" t="str">
        <f t="shared" si="2"/>
        <v>▲</v>
      </c>
      <c r="K3" s="9" t="s">
        <v>59</v>
      </c>
    </row>
    <row r="4" spans="1:11" x14ac:dyDescent="0.3">
      <c r="A4" s="9" t="s">
        <v>57</v>
      </c>
      <c r="B4" s="9" t="s">
        <v>58</v>
      </c>
      <c r="C4" s="9" t="s">
        <v>8</v>
      </c>
      <c r="D4" s="19">
        <v>46272</v>
      </c>
      <c r="E4" s="20">
        <v>13229333.52</v>
      </c>
      <c r="F4" s="20">
        <v>0</v>
      </c>
      <c r="G4" s="10">
        <f t="shared" si="0"/>
        <v>13229333.52</v>
      </c>
      <c r="H4" s="20">
        <v>11920827.390000001</v>
      </c>
      <c r="I4" s="21">
        <f t="shared" si="1"/>
        <v>0.10976638509988516</v>
      </c>
      <c r="J4" s="11" t="str">
        <f t="shared" si="2"/>
        <v>▲</v>
      </c>
      <c r="K4" s="9" t="s">
        <v>59</v>
      </c>
    </row>
    <row r="5" spans="1:11" x14ac:dyDescent="0.3">
      <c r="A5" s="9" t="s">
        <v>57</v>
      </c>
      <c r="B5" s="9" t="s">
        <v>58</v>
      </c>
      <c r="C5" s="9" t="s">
        <v>9</v>
      </c>
      <c r="D5" s="19">
        <v>46279</v>
      </c>
      <c r="E5" s="20">
        <v>11923421</v>
      </c>
      <c r="F5" s="20">
        <v>0</v>
      </c>
      <c r="G5" s="10">
        <f t="shared" si="0"/>
        <v>11923421</v>
      </c>
      <c r="H5" s="20">
        <v>13229333.52</v>
      </c>
      <c r="I5" s="21">
        <f t="shared" si="1"/>
        <v>-9.871340215481994E-2</v>
      </c>
      <c r="J5" s="11" t="str">
        <f t="shared" si="2"/>
        <v>▼</v>
      </c>
      <c r="K5" s="9" t="s">
        <v>59</v>
      </c>
    </row>
    <row r="6" spans="1:11" x14ac:dyDescent="0.3">
      <c r="A6" s="9" t="s">
        <v>57</v>
      </c>
      <c r="B6" s="9" t="s">
        <v>58</v>
      </c>
      <c r="C6" s="9" t="s">
        <v>10</v>
      </c>
      <c r="D6" s="19">
        <v>46286</v>
      </c>
      <c r="E6" s="20">
        <v>12320135.65</v>
      </c>
      <c r="F6" s="20">
        <v>0</v>
      </c>
      <c r="G6" s="10">
        <f t="shared" si="0"/>
        <v>12320135.65</v>
      </c>
      <c r="H6" s="20">
        <v>11923421</v>
      </c>
      <c r="I6" s="21">
        <f t="shared" si="1"/>
        <v>3.3271881450801774E-2</v>
      </c>
      <c r="J6" s="11" t="str">
        <f t="shared" si="2"/>
        <v>▲</v>
      </c>
      <c r="K6" s="9" t="s">
        <v>59</v>
      </c>
    </row>
    <row r="7" spans="1:11" x14ac:dyDescent="0.3">
      <c r="A7" s="9" t="s">
        <v>57</v>
      </c>
      <c r="B7" s="9" t="s">
        <v>58</v>
      </c>
      <c r="C7" s="9" t="s">
        <v>11</v>
      </c>
      <c r="D7" s="19">
        <v>46293</v>
      </c>
      <c r="E7" s="20">
        <v>11367429.75</v>
      </c>
      <c r="F7" s="20">
        <v>0</v>
      </c>
      <c r="G7" s="10">
        <f t="shared" si="0"/>
        <v>11367429.75</v>
      </c>
      <c r="H7" s="20">
        <v>12320135.65</v>
      </c>
      <c r="I7" s="21">
        <f t="shared" si="1"/>
        <v>-7.7329172913773905E-2</v>
      </c>
      <c r="J7" s="11" t="str">
        <f t="shared" si="2"/>
        <v>▼</v>
      </c>
      <c r="K7" s="9" t="s">
        <v>59</v>
      </c>
    </row>
    <row r="8" spans="1:11" x14ac:dyDescent="0.3">
      <c r="A8" s="9" t="s">
        <v>57</v>
      </c>
      <c r="B8" s="9" t="s">
        <v>58</v>
      </c>
      <c r="C8" s="9" t="s">
        <v>12</v>
      </c>
      <c r="D8" s="19">
        <v>46300</v>
      </c>
      <c r="E8" s="20">
        <v>11290560.25</v>
      </c>
      <c r="F8" s="20">
        <v>0</v>
      </c>
      <c r="G8" s="10">
        <f t="shared" si="0"/>
        <v>11290560.25</v>
      </c>
      <c r="H8" s="20">
        <v>11367429.75</v>
      </c>
      <c r="I8" s="21">
        <f t="shared" si="1"/>
        <v>-6.762258636346532E-3</v>
      </c>
      <c r="J8" s="11" t="str">
        <f t="shared" si="2"/>
        <v>▼</v>
      </c>
      <c r="K8" s="9" t="s">
        <v>59</v>
      </c>
    </row>
    <row r="9" spans="1:11" x14ac:dyDescent="0.3">
      <c r="A9" s="9" t="s">
        <v>57</v>
      </c>
      <c r="B9" s="9" t="s">
        <v>58</v>
      </c>
      <c r="C9" s="9" t="s">
        <v>60</v>
      </c>
      <c r="D9" s="19">
        <v>46307</v>
      </c>
      <c r="E9" s="20">
        <v>7759979.75</v>
      </c>
      <c r="F9" s="20">
        <v>3717033.46</v>
      </c>
      <c r="G9" s="10">
        <f t="shared" si="0"/>
        <v>11477013.210000001</v>
      </c>
      <c r="H9" s="20">
        <v>11290560.25</v>
      </c>
      <c r="I9" s="21">
        <f t="shared" si="1"/>
        <v>1.651405739586757E-2</v>
      </c>
      <c r="J9" s="11" t="str">
        <f t="shared" si="2"/>
        <v>▲</v>
      </c>
      <c r="K9" s="9" t="s">
        <v>61</v>
      </c>
    </row>
    <row r="10" spans="1:11" x14ac:dyDescent="0.3">
      <c r="A10" s="9" t="s">
        <v>3</v>
      </c>
      <c r="B10" s="9" t="s">
        <v>14</v>
      </c>
      <c r="C10" s="9" t="s">
        <v>5</v>
      </c>
      <c r="D10" s="19">
        <v>46258</v>
      </c>
      <c r="E10" s="20">
        <v>6045346.1200000001</v>
      </c>
      <c r="F10" s="20">
        <v>0</v>
      </c>
      <c r="G10" s="10">
        <f t="shared" si="0"/>
        <v>6045346.1200000001</v>
      </c>
      <c r="H10" s="20">
        <v>6226177.5</v>
      </c>
      <c r="I10" s="21">
        <f t="shared" si="1"/>
        <v>-2.9043723857856588E-2</v>
      </c>
      <c r="J10" s="11" t="str">
        <f t="shared" si="2"/>
        <v>▼</v>
      </c>
      <c r="K10" s="9" t="s">
        <v>59</v>
      </c>
    </row>
    <row r="11" spans="1:11" x14ac:dyDescent="0.3">
      <c r="A11" s="9" t="s">
        <v>3</v>
      </c>
      <c r="B11" s="9" t="s">
        <v>14</v>
      </c>
      <c r="C11" s="9" t="s">
        <v>7</v>
      </c>
      <c r="D11" s="19">
        <v>46265</v>
      </c>
      <c r="E11" s="20">
        <v>6500363.4000000004</v>
      </c>
      <c r="F11" s="20">
        <v>0</v>
      </c>
      <c r="G11" s="10">
        <f t="shared" si="0"/>
        <v>6500363.4000000004</v>
      </c>
      <c r="H11" s="20">
        <v>6045346.1200000001</v>
      </c>
      <c r="I11" s="21">
        <f t="shared" si="1"/>
        <v>7.5267366163643296E-2</v>
      </c>
      <c r="J11" s="11" t="str">
        <f t="shared" si="2"/>
        <v>▲</v>
      </c>
      <c r="K11" s="9" t="s">
        <v>59</v>
      </c>
    </row>
    <row r="12" spans="1:11" x14ac:dyDescent="0.3">
      <c r="A12" s="9" t="s">
        <v>3</v>
      </c>
      <c r="B12" s="9" t="s">
        <v>14</v>
      </c>
      <c r="C12" s="9" t="s">
        <v>8</v>
      </c>
      <c r="D12" s="19">
        <v>46272</v>
      </c>
      <c r="E12" s="20">
        <v>7083336.3700000001</v>
      </c>
      <c r="F12" s="20">
        <v>0</v>
      </c>
      <c r="G12" s="10">
        <f t="shared" si="0"/>
        <v>7083336.3700000001</v>
      </c>
      <c r="H12" s="20">
        <v>6500363.4000000004</v>
      </c>
      <c r="I12" s="21">
        <f t="shared" si="1"/>
        <v>8.9683135253638233E-2</v>
      </c>
      <c r="J12" s="11" t="str">
        <f t="shared" si="2"/>
        <v>▲</v>
      </c>
      <c r="K12" s="9" t="s">
        <v>59</v>
      </c>
    </row>
    <row r="13" spans="1:11" x14ac:dyDescent="0.3">
      <c r="A13" s="9" t="s">
        <v>3</v>
      </c>
      <c r="B13" s="9" t="s">
        <v>14</v>
      </c>
      <c r="C13" s="9" t="s">
        <v>9</v>
      </c>
      <c r="D13" s="19">
        <v>46279</v>
      </c>
      <c r="E13" s="20">
        <v>6238437.2800000003</v>
      </c>
      <c r="F13" s="20">
        <v>0</v>
      </c>
      <c r="G13" s="10">
        <f t="shared" si="0"/>
        <v>6238437.2800000003</v>
      </c>
      <c r="H13" s="20">
        <v>7083336.3700000001</v>
      </c>
      <c r="I13" s="21">
        <f t="shared" si="1"/>
        <v>-0.1192798203934511</v>
      </c>
      <c r="J13" s="11" t="str">
        <f t="shared" si="2"/>
        <v>▼</v>
      </c>
      <c r="K13" s="9" t="s">
        <v>59</v>
      </c>
    </row>
    <row r="14" spans="1:11" x14ac:dyDescent="0.3">
      <c r="A14" s="9" t="s">
        <v>3</v>
      </c>
      <c r="B14" s="9" t="s">
        <v>14</v>
      </c>
      <c r="C14" s="9" t="s">
        <v>10</v>
      </c>
      <c r="D14" s="19">
        <v>46286</v>
      </c>
      <c r="E14" s="20">
        <v>6366560.6399999997</v>
      </c>
      <c r="F14" s="20">
        <v>0</v>
      </c>
      <c r="G14" s="10">
        <f t="shared" si="0"/>
        <v>6366560.6399999997</v>
      </c>
      <c r="H14" s="20">
        <v>6238437.2800000003</v>
      </c>
      <c r="I14" s="21">
        <f t="shared" si="1"/>
        <v>2.053773312921716E-2</v>
      </c>
      <c r="J14" s="11" t="str">
        <f t="shared" si="2"/>
        <v>▲</v>
      </c>
      <c r="K14" s="9" t="s">
        <v>59</v>
      </c>
    </row>
    <row r="15" spans="1:11" x14ac:dyDescent="0.3">
      <c r="A15" s="9" t="s">
        <v>3</v>
      </c>
      <c r="B15" s="9" t="s">
        <v>14</v>
      </c>
      <c r="C15" s="9" t="s">
        <v>11</v>
      </c>
      <c r="D15" s="19">
        <v>46293</v>
      </c>
      <c r="E15" s="20">
        <v>5708900.4100000001</v>
      </c>
      <c r="F15" s="20">
        <v>0</v>
      </c>
      <c r="G15" s="10">
        <f t="shared" si="0"/>
        <v>5708900.4100000001</v>
      </c>
      <c r="H15" s="20">
        <v>6366560.6399999997</v>
      </c>
      <c r="I15" s="21">
        <f t="shared" si="1"/>
        <v>-0.10329913860680663</v>
      </c>
      <c r="J15" s="11" t="str">
        <f t="shared" si="2"/>
        <v>▼</v>
      </c>
      <c r="K15" s="9" t="s">
        <v>59</v>
      </c>
    </row>
    <row r="16" spans="1:11" x14ac:dyDescent="0.3">
      <c r="A16" s="9" t="s">
        <v>3</v>
      </c>
      <c r="B16" s="9" t="s">
        <v>14</v>
      </c>
      <c r="C16" s="9" t="s">
        <v>12</v>
      </c>
      <c r="D16" s="19">
        <v>46300</v>
      </c>
      <c r="E16" s="20">
        <v>5732954.3700000001</v>
      </c>
      <c r="F16" s="20">
        <v>0</v>
      </c>
      <c r="G16" s="10">
        <f t="shared" si="0"/>
        <v>5732954.3700000001</v>
      </c>
      <c r="H16" s="20">
        <v>5708900.4100000001</v>
      </c>
      <c r="I16" s="21">
        <f t="shared" si="1"/>
        <v>4.2134138402319691E-3</v>
      </c>
      <c r="J16" s="11" t="str">
        <f t="shared" si="2"/>
        <v>▲</v>
      </c>
      <c r="K16" s="9" t="s">
        <v>59</v>
      </c>
    </row>
    <row r="17" spans="1:11" x14ac:dyDescent="0.3">
      <c r="A17" s="9" t="s">
        <v>3</v>
      </c>
      <c r="B17" s="9" t="s">
        <v>14</v>
      </c>
      <c r="C17" s="9" t="s">
        <v>60</v>
      </c>
      <c r="D17" s="19">
        <v>46307</v>
      </c>
      <c r="E17" s="20">
        <v>4141642.68</v>
      </c>
      <c r="F17" s="20">
        <v>1724368.97</v>
      </c>
      <c r="G17" s="10">
        <f t="shared" si="0"/>
        <v>5866011.6500000004</v>
      </c>
      <c r="H17" s="20">
        <v>5732954.3700000001</v>
      </c>
      <c r="I17" s="21">
        <f t="shared" si="1"/>
        <v>2.3209199203865327E-2</v>
      </c>
      <c r="J17" s="11" t="str">
        <f t="shared" si="2"/>
        <v>▲</v>
      </c>
      <c r="K17" s="9" t="s">
        <v>61</v>
      </c>
    </row>
    <row r="18" spans="1:11" x14ac:dyDescent="0.3">
      <c r="A18" s="9" t="s">
        <v>3</v>
      </c>
      <c r="B18" s="9" t="s">
        <v>15</v>
      </c>
      <c r="C18" s="9" t="s">
        <v>5</v>
      </c>
      <c r="D18" s="19">
        <v>46258</v>
      </c>
      <c r="E18" s="20">
        <v>5181685.32</v>
      </c>
      <c r="F18" s="20">
        <v>0</v>
      </c>
      <c r="G18" s="10">
        <f t="shared" si="0"/>
        <v>5181685.32</v>
      </c>
      <c r="H18" s="20">
        <v>5389388.1699999999</v>
      </c>
      <c r="I18" s="21">
        <f t="shared" si="1"/>
        <v>-3.8539226243931808E-2</v>
      </c>
      <c r="J18" s="11" t="str">
        <f t="shared" si="2"/>
        <v>▼</v>
      </c>
      <c r="K18" s="9" t="s">
        <v>59</v>
      </c>
    </row>
    <row r="19" spans="1:11" x14ac:dyDescent="0.3">
      <c r="A19" s="9" t="s">
        <v>3</v>
      </c>
      <c r="B19" s="9" t="s">
        <v>15</v>
      </c>
      <c r="C19" s="9" t="s">
        <v>7</v>
      </c>
      <c r="D19" s="19">
        <v>46265</v>
      </c>
      <c r="E19" s="20">
        <v>5420463.9900000002</v>
      </c>
      <c r="F19" s="20">
        <v>0</v>
      </c>
      <c r="G19" s="10">
        <f t="shared" si="0"/>
        <v>5420463.9900000002</v>
      </c>
      <c r="H19" s="20">
        <v>5181685.32</v>
      </c>
      <c r="I19" s="21">
        <f t="shared" si="1"/>
        <v>4.6081275734436128E-2</v>
      </c>
      <c r="J19" s="11" t="str">
        <f t="shared" si="2"/>
        <v>▲</v>
      </c>
      <c r="K19" s="9" t="s">
        <v>59</v>
      </c>
    </row>
    <row r="20" spans="1:11" x14ac:dyDescent="0.3">
      <c r="A20" s="9" t="s">
        <v>3</v>
      </c>
      <c r="B20" s="9" t="s">
        <v>15</v>
      </c>
      <c r="C20" s="9" t="s">
        <v>8</v>
      </c>
      <c r="D20" s="19">
        <v>46272</v>
      </c>
      <c r="E20" s="20">
        <v>6145997.1500000004</v>
      </c>
      <c r="F20" s="20">
        <v>0</v>
      </c>
      <c r="G20" s="10">
        <f t="shared" si="0"/>
        <v>6145997.1500000004</v>
      </c>
      <c r="H20" s="20">
        <v>5420463.9900000002</v>
      </c>
      <c r="I20" s="21">
        <f t="shared" si="1"/>
        <v>0.13385074807959385</v>
      </c>
      <c r="J20" s="11" t="str">
        <f t="shared" si="2"/>
        <v>▲</v>
      </c>
      <c r="K20" s="9" t="s">
        <v>59</v>
      </c>
    </row>
    <row r="21" spans="1:11" x14ac:dyDescent="0.3">
      <c r="A21" s="9" t="s">
        <v>3</v>
      </c>
      <c r="B21" s="9" t="s">
        <v>15</v>
      </c>
      <c r="C21" s="9" t="s">
        <v>9</v>
      </c>
      <c r="D21" s="19">
        <v>46279</v>
      </c>
      <c r="E21" s="20">
        <v>5684983.7199999997</v>
      </c>
      <c r="F21" s="20">
        <v>0</v>
      </c>
      <c r="G21" s="10">
        <f t="shared" si="0"/>
        <v>5684983.7199999997</v>
      </c>
      <c r="H21" s="20">
        <v>6145997.1500000004</v>
      </c>
      <c r="I21" s="21">
        <f t="shared" si="1"/>
        <v>-7.5010355317200336E-2</v>
      </c>
      <c r="J21" s="11" t="str">
        <f t="shared" si="2"/>
        <v>▼</v>
      </c>
      <c r="K21" s="9" t="s">
        <v>59</v>
      </c>
    </row>
    <row r="22" spans="1:11" x14ac:dyDescent="0.3">
      <c r="A22" s="9" t="s">
        <v>3</v>
      </c>
      <c r="B22" s="9" t="s">
        <v>15</v>
      </c>
      <c r="C22" s="9" t="s">
        <v>10</v>
      </c>
      <c r="D22" s="19">
        <v>46286</v>
      </c>
      <c r="E22" s="20">
        <v>5953575.0099999998</v>
      </c>
      <c r="F22" s="20">
        <v>0</v>
      </c>
      <c r="G22" s="10">
        <f t="shared" si="0"/>
        <v>5953575.0099999998</v>
      </c>
      <c r="H22" s="20">
        <v>5684983.7199999997</v>
      </c>
      <c r="I22" s="21">
        <f t="shared" si="1"/>
        <v>4.7245744795202341E-2</v>
      </c>
      <c r="J22" s="11" t="str">
        <f t="shared" si="2"/>
        <v>▲</v>
      </c>
      <c r="K22" s="9" t="s">
        <v>59</v>
      </c>
    </row>
    <row r="23" spans="1:11" x14ac:dyDescent="0.3">
      <c r="A23" s="9" t="s">
        <v>3</v>
      </c>
      <c r="B23" s="9" t="s">
        <v>15</v>
      </c>
      <c r="C23" s="9" t="s">
        <v>11</v>
      </c>
      <c r="D23" s="19">
        <v>46293</v>
      </c>
      <c r="E23" s="20">
        <v>5658529.3399999999</v>
      </c>
      <c r="F23" s="20">
        <v>0</v>
      </c>
      <c r="G23" s="10">
        <f t="shared" si="0"/>
        <v>5658529.3399999999</v>
      </c>
      <c r="H23" s="20">
        <v>5953575.0099999998</v>
      </c>
      <c r="I23" s="21">
        <f t="shared" si="1"/>
        <v>-4.955773119586511E-2</v>
      </c>
      <c r="J23" s="11" t="str">
        <f t="shared" si="2"/>
        <v>▼</v>
      </c>
      <c r="K23" s="9" t="s">
        <v>59</v>
      </c>
    </row>
    <row r="24" spans="1:11" x14ac:dyDescent="0.3">
      <c r="A24" s="9" t="s">
        <v>3</v>
      </c>
      <c r="B24" s="9" t="s">
        <v>15</v>
      </c>
      <c r="C24" s="9" t="s">
        <v>12</v>
      </c>
      <c r="D24" s="19">
        <v>46300</v>
      </c>
      <c r="E24" s="20">
        <v>5557605.8799999999</v>
      </c>
      <c r="F24" s="20">
        <v>0</v>
      </c>
      <c r="G24" s="10">
        <f t="shared" si="0"/>
        <v>5557605.8799999999</v>
      </c>
      <c r="H24" s="20">
        <v>5658529.3399999999</v>
      </c>
      <c r="I24" s="21">
        <f t="shared" si="1"/>
        <v>-1.7835634302816917E-2</v>
      </c>
      <c r="J24" s="11" t="str">
        <f t="shared" si="2"/>
        <v>▼</v>
      </c>
      <c r="K24" s="9" t="s">
        <v>59</v>
      </c>
    </row>
    <row r="25" spans="1:11" x14ac:dyDescent="0.3">
      <c r="A25" s="9" t="s">
        <v>3</v>
      </c>
      <c r="B25" s="9" t="s">
        <v>15</v>
      </c>
      <c r="C25" s="9" t="s">
        <v>60</v>
      </c>
      <c r="D25" s="19">
        <v>46307</v>
      </c>
      <c r="E25" s="20">
        <v>3618337.07</v>
      </c>
      <c r="F25" s="20">
        <v>1992664.48</v>
      </c>
      <c r="G25" s="10">
        <f t="shared" si="0"/>
        <v>5611001.5499999998</v>
      </c>
      <c r="H25" s="20">
        <v>5557605.8799999999</v>
      </c>
      <c r="I25" s="21">
        <f t="shared" si="1"/>
        <v>9.6076748069080283E-3</v>
      </c>
      <c r="J25" s="11" t="str">
        <f t="shared" si="2"/>
        <v>▲</v>
      </c>
      <c r="K25" s="9" t="s">
        <v>61</v>
      </c>
    </row>
    <row r="26" spans="1:11" x14ac:dyDescent="0.3">
      <c r="A26" s="9" t="s">
        <v>19</v>
      </c>
      <c r="B26" s="9" t="s">
        <v>26</v>
      </c>
      <c r="C26" s="9" t="s">
        <v>5</v>
      </c>
      <c r="D26" s="19">
        <v>46258</v>
      </c>
      <c r="E26" s="20">
        <v>87466.73</v>
      </c>
      <c r="F26" s="20">
        <v>0</v>
      </c>
      <c r="G26" s="10">
        <f t="shared" si="0"/>
        <v>87466.73</v>
      </c>
      <c r="H26" s="20">
        <v>105597.86</v>
      </c>
      <c r="I26" s="21">
        <f t="shared" si="1"/>
        <v>-0.17169978634036717</v>
      </c>
      <c r="J26" s="11" t="str">
        <f t="shared" si="2"/>
        <v>▼</v>
      </c>
      <c r="K26" s="9" t="s">
        <v>59</v>
      </c>
    </row>
    <row r="27" spans="1:11" x14ac:dyDescent="0.3">
      <c r="A27" s="9" t="s">
        <v>19</v>
      </c>
      <c r="B27" s="9" t="s">
        <v>26</v>
      </c>
      <c r="C27" s="9" t="s">
        <v>7</v>
      </c>
      <c r="D27" s="19">
        <v>46265</v>
      </c>
      <c r="E27" s="20">
        <v>128830.91</v>
      </c>
      <c r="F27" s="20">
        <v>0</v>
      </c>
      <c r="G27" s="10">
        <f t="shared" si="0"/>
        <v>128830.91</v>
      </c>
      <c r="H27" s="20">
        <v>87466.73</v>
      </c>
      <c r="I27" s="21">
        <f t="shared" si="1"/>
        <v>0.47291330086308259</v>
      </c>
      <c r="J27" s="11" t="str">
        <f t="shared" si="2"/>
        <v>▲</v>
      </c>
      <c r="K27" s="9" t="s">
        <v>59</v>
      </c>
    </row>
    <row r="28" spans="1:11" x14ac:dyDescent="0.3">
      <c r="A28" s="9" t="s">
        <v>19</v>
      </c>
      <c r="B28" s="9" t="s">
        <v>26</v>
      </c>
      <c r="C28" s="9" t="s">
        <v>8</v>
      </c>
      <c r="D28" s="19">
        <v>46272</v>
      </c>
      <c r="E28" s="20">
        <v>193894.46</v>
      </c>
      <c r="F28" s="20">
        <v>0</v>
      </c>
      <c r="G28" s="10">
        <f t="shared" si="0"/>
        <v>193894.46</v>
      </c>
      <c r="H28" s="20">
        <v>128830.91</v>
      </c>
      <c r="I28" s="21">
        <f t="shared" si="1"/>
        <v>0.50503058621568364</v>
      </c>
      <c r="J28" s="11" t="str">
        <f t="shared" si="2"/>
        <v>▲</v>
      </c>
      <c r="K28" s="9" t="s">
        <v>59</v>
      </c>
    </row>
    <row r="29" spans="1:11" x14ac:dyDescent="0.3">
      <c r="A29" s="9" t="s">
        <v>19</v>
      </c>
      <c r="B29" s="9" t="s">
        <v>26</v>
      </c>
      <c r="C29" s="9" t="s">
        <v>9</v>
      </c>
      <c r="D29" s="19">
        <v>46279</v>
      </c>
      <c r="E29" s="20">
        <v>141762.85</v>
      </c>
      <c r="F29" s="20">
        <v>0</v>
      </c>
      <c r="G29" s="10">
        <f t="shared" si="0"/>
        <v>141762.85</v>
      </c>
      <c r="H29" s="20">
        <v>193894.46</v>
      </c>
      <c r="I29" s="21">
        <f t="shared" si="1"/>
        <v>-0.26886590777271296</v>
      </c>
      <c r="J29" s="11" t="str">
        <f t="shared" si="2"/>
        <v>▼</v>
      </c>
      <c r="K29" s="9" t="s">
        <v>59</v>
      </c>
    </row>
    <row r="30" spans="1:11" x14ac:dyDescent="0.3">
      <c r="A30" s="9" t="s">
        <v>19</v>
      </c>
      <c r="B30" s="9" t="s">
        <v>26</v>
      </c>
      <c r="C30" s="9" t="s">
        <v>10</v>
      </c>
      <c r="D30" s="19">
        <v>46286</v>
      </c>
      <c r="E30" s="20">
        <v>111372.9</v>
      </c>
      <c r="F30" s="20">
        <v>0</v>
      </c>
      <c r="G30" s="10">
        <f t="shared" si="0"/>
        <v>111372.9</v>
      </c>
      <c r="H30" s="20">
        <v>141762.85</v>
      </c>
      <c r="I30" s="21">
        <f t="shared" si="1"/>
        <v>-0.21437174831064704</v>
      </c>
      <c r="J30" s="11" t="str">
        <f t="shared" si="2"/>
        <v>▼</v>
      </c>
      <c r="K30" s="9" t="s">
        <v>59</v>
      </c>
    </row>
    <row r="31" spans="1:11" x14ac:dyDescent="0.3">
      <c r="A31" s="9" t="s">
        <v>19</v>
      </c>
      <c r="B31" s="9" t="s">
        <v>26</v>
      </c>
      <c r="C31" s="9" t="s">
        <v>11</v>
      </c>
      <c r="D31" s="19">
        <v>46293</v>
      </c>
      <c r="E31" s="20">
        <v>103891.99</v>
      </c>
      <c r="F31" s="20">
        <v>0</v>
      </c>
      <c r="G31" s="10">
        <f t="shared" si="0"/>
        <v>103891.99</v>
      </c>
      <c r="H31" s="20">
        <v>111372.9</v>
      </c>
      <c r="I31" s="21">
        <f t="shared" si="1"/>
        <v>-6.7169930925745761E-2</v>
      </c>
      <c r="J31" s="11" t="str">
        <f t="shared" si="2"/>
        <v>▼</v>
      </c>
      <c r="K31" s="9" t="s">
        <v>59</v>
      </c>
    </row>
    <row r="32" spans="1:11" x14ac:dyDescent="0.3">
      <c r="A32" s="9" t="s">
        <v>19</v>
      </c>
      <c r="B32" s="9" t="s">
        <v>26</v>
      </c>
      <c r="C32" s="9" t="s">
        <v>12</v>
      </c>
      <c r="D32" s="19">
        <v>46300</v>
      </c>
      <c r="E32" s="20">
        <v>140055.94</v>
      </c>
      <c r="F32" s="20">
        <v>0</v>
      </c>
      <c r="G32" s="10">
        <f t="shared" si="0"/>
        <v>140055.94</v>
      </c>
      <c r="H32" s="20">
        <v>103891.99</v>
      </c>
      <c r="I32" s="21">
        <f t="shared" si="1"/>
        <v>0.34809180188001015</v>
      </c>
      <c r="J32" s="11" t="str">
        <f t="shared" si="2"/>
        <v>▲</v>
      </c>
      <c r="K32" s="9" t="s">
        <v>59</v>
      </c>
    </row>
    <row r="33" spans="1:11" x14ac:dyDescent="0.3">
      <c r="A33" s="9" t="s">
        <v>19</v>
      </c>
      <c r="B33" s="9" t="s">
        <v>26</v>
      </c>
      <c r="C33" s="9" t="s">
        <v>60</v>
      </c>
      <c r="D33" s="19">
        <v>46307</v>
      </c>
      <c r="E33" s="20">
        <v>131312.88</v>
      </c>
      <c r="F33" s="20">
        <v>49548.17</v>
      </c>
      <c r="G33" s="10">
        <f t="shared" si="0"/>
        <v>180861.05</v>
      </c>
      <c r="H33" s="20">
        <v>140055.94</v>
      </c>
      <c r="I33" s="21">
        <f t="shared" si="1"/>
        <v>0.29134865682954958</v>
      </c>
      <c r="J33" s="11" t="str">
        <f t="shared" si="2"/>
        <v>▲</v>
      </c>
      <c r="K33" s="9" t="s">
        <v>61</v>
      </c>
    </row>
    <row r="34" spans="1:11" x14ac:dyDescent="0.3">
      <c r="A34" s="9" t="s">
        <v>19</v>
      </c>
      <c r="B34" s="9" t="s">
        <v>25</v>
      </c>
      <c r="C34" s="9" t="s">
        <v>5</v>
      </c>
      <c r="D34" s="19">
        <v>46258</v>
      </c>
      <c r="E34" s="20">
        <v>914462.93</v>
      </c>
      <c r="F34" s="20">
        <v>0</v>
      </c>
      <c r="G34" s="10">
        <f t="shared" si="0"/>
        <v>914462.93</v>
      </c>
      <c r="H34" s="20">
        <v>981378.49</v>
      </c>
      <c r="I34" s="21">
        <f t="shared" si="1"/>
        <v>-6.8185272738146049E-2</v>
      </c>
      <c r="J34" s="11" t="str">
        <f t="shared" si="2"/>
        <v>▼</v>
      </c>
      <c r="K34" s="9" t="s">
        <v>59</v>
      </c>
    </row>
    <row r="35" spans="1:11" x14ac:dyDescent="0.3">
      <c r="A35" s="9" t="s">
        <v>19</v>
      </c>
      <c r="B35" s="9" t="s">
        <v>25</v>
      </c>
      <c r="C35" s="9" t="s">
        <v>7</v>
      </c>
      <c r="D35" s="19">
        <v>46265</v>
      </c>
      <c r="E35" s="20">
        <v>1003470.91</v>
      </c>
      <c r="F35" s="20">
        <v>0</v>
      </c>
      <c r="G35" s="10">
        <f t="shared" si="0"/>
        <v>1003470.91</v>
      </c>
      <c r="H35" s="20">
        <v>914462.93</v>
      </c>
      <c r="I35" s="21">
        <f t="shared" si="1"/>
        <v>9.7333611981406373E-2</v>
      </c>
      <c r="J35" s="11" t="str">
        <f t="shared" si="2"/>
        <v>▲</v>
      </c>
      <c r="K35" s="9" t="s">
        <v>59</v>
      </c>
    </row>
    <row r="36" spans="1:11" x14ac:dyDescent="0.3">
      <c r="A36" s="9" t="s">
        <v>19</v>
      </c>
      <c r="B36" s="9" t="s">
        <v>25</v>
      </c>
      <c r="C36" s="9" t="s">
        <v>8</v>
      </c>
      <c r="D36" s="19">
        <v>46272</v>
      </c>
      <c r="E36" s="20">
        <v>1019085.52</v>
      </c>
      <c r="F36" s="20">
        <v>0</v>
      </c>
      <c r="G36" s="10">
        <f t="shared" si="0"/>
        <v>1019085.52</v>
      </c>
      <c r="H36" s="20">
        <v>1003470.91</v>
      </c>
      <c r="I36" s="21">
        <f t="shared" si="1"/>
        <v>1.5560600555924422E-2</v>
      </c>
      <c r="J36" s="11" t="str">
        <f t="shared" si="2"/>
        <v>▲</v>
      </c>
      <c r="K36" s="9" t="s">
        <v>59</v>
      </c>
    </row>
    <row r="37" spans="1:11" x14ac:dyDescent="0.3">
      <c r="A37" s="9" t="s">
        <v>19</v>
      </c>
      <c r="B37" s="9" t="s">
        <v>25</v>
      </c>
      <c r="C37" s="9" t="s">
        <v>9</v>
      </c>
      <c r="D37" s="19">
        <v>46279</v>
      </c>
      <c r="E37" s="20">
        <v>1007041.12</v>
      </c>
      <c r="F37" s="20">
        <v>0</v>
      </c>
      <c r="G37" s="10">
        <f t="shared" si="0"/>
        <v>1007041.12</v>
      </c>
      <c r="H37" s="20">
        <v>1019085.52</v>
      </c>
      <c r="I37" s="21">
        <f t="shared" si="1"/>
        <v>-1.1818831455872342E-2</v>
      </c>
      <c r="J37" s="11" t="str">
        <f t="shared" si="2"/>
        <v>▼</v>
      </c>
      <c r="K37" s="9" t="s">
        <v>59</v>
      </c>
    </row>
    <row r="38" spans="1:11" x14ac:dyDescent="0.3">
      <c r="A38" s="9" t="s">
        <v>19</v>
      </c>
      <c r="B38" s="9" t="s">
        <v>25</v>
      </c>
      <c r="C38" s="9" t="s">
        <v>10</v>
      </c>
      <c r="D38" s="19">
        <v>46286</v>
      </c>
      <c r="E38" s="20">
        <v>950019.58</v>
      </c>
      <c r="F38" s="20">
        <v>0</v>
      </c>
      <c r="G38" s="10">
        <f t="shared" si="0"/>
        <v>950019.58</v>
      </c>
      <c r="H38" s="20">
        <v>1007041.12</v>
      </c>
      <c r="I38" s="21">
        <f t="shared" si="1"/>
        <v>-5.6622851706393119E-2</v>
      </c>
      <c r="J38" s="11" t="str">
        <f t="shared" si="2"/>
        <v>▼</v>
      </c>
      <c r="K38" s="9" t="s">
        <v>59</v>
      </c>
    </row>
    <row r="39" spans="1:11" x14ac:dyDescent="0.3">
      <c r="A39" s="9" t="s">
        <v>19</v>
      </c>
      <c r="B39" s="9" t="s">
        <v>25</v>
      </c>
      <c r="C39" s="9" t="s">
        <v>11</v>
      </c>
      <c r="D39" s="19">
        <v>46293</v>
      </c>
      <c r="E39" s="20">
        <v>943715.19</v>
      </c>
      <c r="F39" s="20">
        <v>0</v>
      </c>
      <c r="G39" s="10">
        <f t="shared" si="0"/>
        <v>943715.19</v>
      </c>
      <c r="H39" s="20">
        <v>950019.58</v>
      </c>
      <c r="I39" s="21">
        <f t="shared" si="1"/>
        <v>-6.6360632272442367E-3</v>
      </c>
      <c r="J39" s="11" t="str">
        <f t="shared" si="2"/>
        <v>▼</v>
      </c>
      <c r="K39" s="9" t="s">
        <v>59</v>
      </c>
    </row>
    <row r="40" spans="1:11" x14ac:dyDescent="0.3">
      <c r="A40" s="9" t="s">
        <v>19</v>
      </c>
      <c r="B40" s="9" t="s">
        <v>25</v>
      </c>
      <c r="C40" s="9" t="s">
        <v>12</v>
      </c>
      <c r="D40" s="19">
        <v>46300</v>
      </c>
      <c r="E40" s="20">
        <v>950875.27</v>
      </c>
      <c r="F40" s="20">
        <v>0</v>
      </c>
      <c r="G40" s="10">
        <f t="shared" si="0"/>
        <v>950875.27</v>
      </c>
      <c r="H40" s="20">
        <v>943715.19</v>
      </c>
      <c r="I40" s="21">
        <f t="shared" si="1"/>
        <v>7.5871195842466786E-3</v>
      </c>
      <c r="J40" s="11" t="str">
        <f t="shared" si="2"/>
        <v>▲</v>
      </c>
      <c r="K40" s="9" t="s">
        <v>59</v>
      </c>
    </row>
    <row r="41" spans="1:11" x14ac:dyDescent="0.3">
      <c r="A41" s="9" t="s">
        <v>19</v>
      </c>
      <c r="B41" s="9" t="s">
        <v>25</v>
      </c>
      <c r="C41" s="9" t="s">
        <v>60</v>
      </c>
      <c r="D41" s="19">
        <v>46307</v>
      </c>
      <c r="E41" s="20">
        <v>599606.31999999995</v>
      </c>
      <c r="F41" s="20">
        <v>352669.98</v>
      </c>
      <c r="G41" s="10">
        <f t="shared" si="0"/>
        <v>952276.29999999993</v>
      </c>
      <c r="H41" s="20">
        <v>950875.27</v>
      </c>
      <c r="I41" s="21">
        <f t="shared" si="1"/>
        <v>1.4734109132945601E-3</v>
      </c>
      <c r="J41" s="11" t="str">
        <f t="shared" si="2"/>
        <v>▲</v>
      </c>
      <c r="K41" s="9" t="s">
        <v>61</v>
      </c>
    </row>
    <row r="42" spans="1:11" x14ac:dyDescent="0.3">
      <c r="A42" s="9" t="s">
        <v>19</v>
      </c>
      <c r="B42" s="9" t="s">
        <v>24</v>
      </c>
      <c r="C42" s="9" t="s">
        <v>5</v>
      </c>
      <c r="D42" s="19">
        <v>46258</v>
      </c>
      <c r="E42" s="20">
        <v>1008709.61</v>
      </c>
      <c r="F42" s="20">
        <v>0</v>
      </c>
      <c r="G42" s="10">
        <f t="shared" si="0"/>
        <v>1008709.61</v>
      </c>
      <c r="H42" s="20">
        <v>1035470.06</v>
      </c>
      <c r="I42" s="21">
        <f t="shared" si="1"/>
        <v>-2.5843769929958252E-2</v>
      </c>
      <c r="J42" s="11" t="str">
        <f t="shared" si="2"/>
        <v>▼</v>
      </c>
      <c r="K42" s="9" t="s">
        <v>59</v>
      </c>
    </row>
    <row r="43" spans="1:11" x14ac:dyDescent="0.3">
      <c r="A43" s="9" t="s">
        <v>19</v>
      </c>
      <c r="B43" s="9" t="s">
        <v>24</v>
      </c>
      <c r="C43" s="9" t="s">
        <v>7</v>
      </c>
      <c r="D43" s="19">
        <v>46265</v>
      </c>
      <c r="E43" s="20">
        <v>977627.2</v>
      </c>
      <c r="F43" s="20">
        <v>0</v>
      </c>
      <c r="G43" s="10">
        <f t="shared" si="0"/>
        <v>977627.2</v>
      </c>
      <c r="H43" s="20">
        <v>1008709.61</v>
      </c>
      <c r="I43" s="21">
        <f t="shared" si="1"/>
        <v>-3.0814031800490166E-2</v>
      </c>
      <c r="J43" s="11" t="str">
        <f t="shared" si="2"/>
        <v>▼</v>
      </c>
      <c r="K43" s="9" t="s">
        <v>59</v>
      </c>
    </row>
    <row r="44" spans="1:11" x14ac:dyDescent="0.3">
      <c r="A44" s="9" t="s">
        <v>19</v>
      </c>
      <c r="B44" s="9" t="s">
        <v>24</v>
      </c>
      <c r="C44" s="9" t="s">
        <v>8</v>
      </c>
      <c r="D44" s="19">
        <v>46272</v>
      </c>
      <c r="E44" s="20">
        <v>1181904.7</v>
      </c>
      <c r="F44" s="20">
        <v>0</v>
      </c>
      <c r="G44" s="10">
        <f t="shared" si="0"/>
        <v>1181904.7</v>
      </c>
      <c r="H44" s="20">
        <v>977627.2</v>
      </c>
      <c r="I44" s="21">
        <f t="shared" si="1"/>
        <v>0.20895234911630939</v>
      </c>
      <c r="J44" s="11" t="str">
        <f t="shared" si="2"/>
        <v>▲</v>
      </c>
      <c r="K44" s="9" t="s">
        <v>59</v>
      </c>
    </row>
    <row r="45" spans="1:11" x14ac:dyDescent="0.3">
      <c r="A45" s="9" t="s">
        <v>19</v>
      </c>
      <c r="B45" s="9" t="s">
        <v>24</v>
      </c>
      <c r="C45" s="9" t="s">
        <v>9</v>
      </c>
      <c r="D45" s="19">
        <v>46279</v>
      </c>
      <c r="E45" s="20">
        <v>1060551.19</v>
      </c>
      <c r="F45" s="20">
        <v>0</v>
      </c>
      <c r="G45" s="10">
        <f t="shared" si="0"/>
        <v>1060551.19</v>
      </c>
      <c r="H45" s="20">
        <v>1181904.7</v>
      </c>
      <c r="I45" s="21">
        <f t="shared" si="1"/>
        <v>-0.10267622254146211</v>
      </c>
      <c r="J45" s="11" t="str">
        <f t="shared" si="2"/>
        <v>▼</v>
      </c>
      <c r="K45" s="9" t="s">
        <v>59</v>
      </c>
    </row>
    <row r="46" spans="1:11" x14ac:dyDescent="0.3">
      <c r="A46" s="9" t="s">
        <v>19</v>
      </c>
      <c r="B46" s="9" t="s">
        <v>24</v>
      </c>
      <c r="C46" s="9" t="s">
        <v>10</v>
      </c>
      <c r="D46" s="19">
        <v>46286</v>
      </c>
      <c r="E46" s="20">
        <v>1223088.05</v>
      </c>
      <c r="F46" s="20">
        <v>0</v>
      </c>
      <c r="G46" s="10">
        <f t="shared" si="0"/>
        <v>1223088.05</v>
      </c>
      <c r="H46" s="20">
        <v>1060551.19</v>
      </c>
      <c r="I46" s="21">
        <f t="shared" si="1"/>
        <v>0.15325696819971521</v>
      </c>
      <c r="J46" s="11" t="str">
        <f t="shared" si="2"/>
        <v>▲</v>
      </c>
      <c r="K46" s="9" t="s">
        <v>59</v>
      </c>
    </row>
    <row r="47" spans="1:11" x14ac:dyDescent="0.3">
      <c r="A47" s="9" t="s">
        <v>19</v>
      </c>
      <c r="B47" s="9" t="s">
        <v>24</v>
      </c>
      <c r="C47" s="9" t="s">
        <v>11</v>
      </c>
      <c r="D47" s="19">
        <v>46293</v>
      </c>
      <c r="E47" s="20">
        <v>1098779.1599999999</v>
      </c>
      <c r="F47" s="20">
        <v>0</v>
      </c>
      <c r="G47" s="10">
        <f t="shared" si="0"/>
        <v>1098779.1599999999</v>
      </c>
      <c r="H47" s="20">
        <v>1223088.05</v>
      </c>
      <c r="I47" s="21">
        <f t="shared" si="1"/>
        <v>-0.10163527474575533</v>
      </c>
      <c r="J47" s="11" t="str">
        <f t="shared" si="2"/>
        <v>▼</v>
      </c>
      <c r="K47" s="9" t="s">
        <v>59</v>
      </c>
    </row>
    <row r="48" spans="1:11" x14ac:dyDescent="0.3">
      <c r="A48" s="9" t="s">
        <v>19</v>
      </c>
      <c r="B48" s="9" t="s">
        <v>24</v>
      </c>
      <c r="C48" s="9" t="s">
        <v>12</v>
      </c>
      <c r="D48" s="19">
        <v>46300</v>
      </c>
      <c r="E48" s="20">
        <v>1141700.07</v>
      </c>
      <c r="F48" s="20">
        <v>0</v>
      </c>
      <c r="G48" s="10">
        <f t="shared" si="0"/>
        <v>1141700.07</v>
      </c>
      <c r="H48" s="20">
        <v>1098779.1599999999</v>
      </c>
      <c r="I48" s="21">
        <f t="shared" si="1"/>
        <v>3.9062362631632139E-2</v>
      </c>
      <c r="J48" s="11" t="str">
        <f t="shared" si="2"/>
        <v>▲</v>
      </c>
      <c r="K48" s="9" t="s">
        <v>59</v>
      </c>
    </row>
    <row r="49" spans="1:11" x14ac:dyDescent="0.3">
      <c r="A49" s="9" t="s">
        <v>19</v>
      </c>
      <c r="B49" s="9" t="s">
        <v>24</v>
      </c>
      <c r="C49" s="9" t="s">
        <v>60</v>
      </c>
      <c r="D49" s="19">
        <v>46307</v>
      </c>
      <c r="E49" s="20">
        <v>746466.52</v>
      </c>
      <c r="F49" s="20">
        <v>374679.58</v>
      </c>
      <c r="G49" s="10">
        <f t="shared" si="0"/>
        <v>1121146.1000000001</v>
      </c>
      <c r="H49" s="20">
        <v>1141700.07</v>
      </c>
      <c r="I49" s="21">
        <f t="shared" si="1"/>
        <v>-1.800295063483702E-2</v>
      </c>
      <c r="J49" s="11" t="str">
        <f t="shared" si="2"/>
        <v>▼</v>
      </c>
      <c r="K49" s="9" t="s">
        <v>61</v>
      </c>
    </row>
    <row r="50" spans="1:11" x14ac:dyDescent="0.3">
      <c r="A50" s="9" t="s">
        <v>19</v>
      </c>
      <c r="B50" s="9" t="s">
        <v>20</v>
      </c>
      <c r="C50" s="9" t="s">
        <v>5</v>
      </c>
      <c r="D50" s="19">
        <v>46258</v>
      </c>
      <c r="E50" s="20">
        <v>3233954.95</v>
      </c>
      <c r="F50" s="20">
        <v>0</v>
      </c>
      <c r="G50" s="10">
        <f t="shared" si="0"/>
        <v>3233954.95</v>
      </c>
      <c r="H50" s="20">
        <v>3205839.97</v>
      </c>
      <c r="I50" s="21">
        <f t="shared" si="1"/>
        <v>8.7699262168722605E-3</v>
      </c>
      <c r="J50" s="11" t="str">
        <f t="shared" si="2"/>
        <v>▲</v>
      </c>
      <c r="K50" s="9" t="s">
        <v>59</v>
      </c>
    </row>
    <row r="51" spans="1:11" x14ac:dyDescent="0.3">
      <c r="A51" s="9" t="s">
        <v>19</v>
      </c>
      <c r="B51" s="9" t="s">
        <v>20</v>
      </c>
      <c r="C51" s="9" t="s">
        <v>7</v>
      </c>
      <c r="D51" s="19">
        <v>46265</v>
      </c>
      <c r="E51" s="20">
        <v>3477033.54</v>
      </c>
      <c r="F51" s="20">
        <v>0</v>
      </c>
      <c r="G51" s="10">
        <f t="shared" si="0"/>
        <v>3477033.54</v>
      </c>
      <c r="H51" s="20">
        <v>3233954.95</v>
      </c>
      <c r="I51" s="21">
        <f t="shared" si="1"/>
        <v>7.5164494792977821E-2</v>
      </c>
      <c r="J51" s="11" t="str">
        <f t="shared" si="2"/>
        <v>▲</v>
      </c>
      <c r="K51" s="9" t="s">
        <v>59</v>
      </c>
    </row>
    <row r="52" spans="1:11" x14ac:dyDescent="0.3">
      <c r="A52" s="9" t="s">
        <v>19</v>
      </c>
      <c r="B52" s="9" t="s">
        <v>20</v>
      </c>
      <c r="C52" s="9" t="s">
        <v>8</v>
      </c>
      <c r="D52" s="19">
        <v>46272</v>
      </c>
      <c r="E52" s="20">
        <v>4140482.7</v>
      </c>
      <c r="F52" s="20">
        <v>0</v>
      </c>
      <c r="G52" s="10">
        <f t="shared" si="0"/>
        <v>4140482.7</v>
      </c>
      <c r="H52" s="20">
        <v>3477033.54</v>
      </c>
      <c r="I52" s="21">
        <f t="shared" si="1"/>
        <v>0.19080896182554516</v>
      </c>
      <c r="J52" s="11" t="str">
        <f t="shared" si="2"/>
        <v>▲</v>
      </c>
      <c r="K52" s="9" t="s">
        <v>59</v>
      </c>
    </row>
    <row r="53" spans="1:11" x14ac:dyDescent="0.3">
      <c r="A53" s="9" t="s">
        <v>19</v>
      </c>
      <c r="B53" s="9" t="s">
        <v>20</v>
      </c>
      <c r="C53" s="9" t="s">
        <v>9</v>
      </c>
      <c r="D53" s="19">
        <v>46279</v>
      </c>
      <c r="E53" s="20">
        <v>3188592.89</v>
      </c>
      <c r="F53" s="20">
        <v>0</v>
      </c>
      <c r="G53" s="10">
        <f t="shared" si="0"/>
        <v>3188592.89</v>
      </c>
      <c r="H53" s="20">
        <v>4140482.7</v>
      </c>
      <c r="I53" s="21">
        <f t="shared" si="1"/>
        <v>-0.22989827007368005</v>
      </c>
      <c r="J53" s="11" t="str">
        <f t="shared" si="2"/>
        <v>▼</v>
      </c>
      <c r="K53" s="9" t="s">
        <v>59</v>
      </c>
    </row>
    <row r="54" spans="1:11" x14ac:dyDescent="0.3">
      <c r="A54" s="9" t="s">
        <v>19</v>
      </c>
      <c r="B54" s="9" t="s">
        <v>20</v>
      </c>
      <c r="C54" s="9" t="s">
        <v>10</v>
      </c>
      <c r="D54" s="19">
        <v>46286</v>
      </c>
      <c r="E54" s="20">
        <v>3408123.83</v>
      </c>
      <c r="F54" s="20">
        <v>0</v>
      </c>
      <c r="G54" s="10">
        <f t="shared" si="0"/>
        <v>3408123.83</v>
      </c>
      <c r="H54" s="20">
        <v>3188592.89</v>
      </c>
      <c r="I54" s="21">
        <f t="shared" si="1"/>
        <v>6.8848845736465256E-2</v>
      </c>
      <c r="J54" s="11" t="str">
        <f t="shared" si="2"/>
        <v>▲</v>
      </c>
      <c r="K54" s="9" t="s">
        <v>59</v>
      </c>
    </row>
    <row r="55" spans="1:11" x14ac:dyDescent="0.3">
      <c r="A55" s="9" t="s">
        <v>19</v>
      </c>
      <c r="B55" s="9" t="s">
        <v>20</v>
      </c>
      <c r="C55" s="9" t="s">
        <v>11</v>
      </c>
      <c r="D55" s="19">
        <v>46293</v>
      </c>
      <c r="E55" s="20">
        <v>3199580.47</v>
      </c>
      <c r="F55" s="20">
        <v>0</v>
      </c>
      <c r="G55" s="10">
        <f t="shared" si="0"/>
        <v>3199580.47</v>
      </c>
      <c r="H55" s="20">
        <v>3408123.83</v>
      </c>
      <c r="I55" s="21">
        <f t="shared" si="1"/>
        <v>-6.1190077122285746E-2</v>
      </c>
      <c r="J55" s="11" t="str">
        <f t="shared" si="2"/>
        <v>▼</v>
      </c>
      <c r="K55" s="9" t="s">
        <v>59</v>
      </c>
    </row>
    <row r="56" spans="1:11" x14ac:dyDescent="0.3">
      <c r="A56" s="9" t="s">
        <v>19</v>
      </c>
      <c r="B56" s="9" t="s">
        <v>20</v>
      </c>
      <c r="C56" s="9" t="s">
        <v>12</v>
      </c>
      <c r="D56" s="19">
        <v>46300</v>
      </c>
      <c r="E56" s="20">
        <v>3048153.01</v>
      </c>
      <c r="F56" s="20">
        <v>0</v>
      </c>
      <c r="G56" s="10">
        <f t="shared" si="0"/>
        <v>3048153.01</v>
      </c>
      <c r="H56" s="20">
        <v>3199580.47</v>
      </c>
      <c r="I56" s="21">
        <f t="shared" si="1"/>
        <v>-4.7327286005093165E-2</v>
      </c>
      <c r="J56" s="11" t="str">
        <f t="shared" si="2"/>
        <v>▼</v>
      </c>
      <c r="K56" s="9" t="s">
        <v>59</v>
      </c>
    </row>
    <row r="57" spans="1:11" x14ac:dyDescent="0.3">
      <c r="A57" s="9" t="s">
        <v>19</v>
      </c>
      <c r="B57" s="9" t="s">
        <v>20</v>
      </c>
      <c r="C57" s="9" t="s">
        <v>60</v>
      </c>
      <c r="D57" s="19">
        <v>46307</v>
      </c>
      <c r="E57" s="20">
        <v>2296642</v>
      </c>
      <c r="F57" s="20">
        <v>845907.01</v>
      </c>
      <c r="G57" s="10">
        <f t="shared" si="0"/>
        <v>3142549.01</v>
      </c>
      <c r="H57" s="20">
        <v>3048153.01</v>
      </c>
      <c r="I57" s="21">
        <f t="shared" si="1"/>
        <v>3.0968261662166364E-2</v>
      </c>
      <c r="J57" s="11" t="str">
        <f t="shared" si="2"/>
        <v>▲</v>
      </c>
      <c r="K57" s="9" t="s">
        <v>61</v>
      </c>
    </row>
    <row r="58" spans="1:11" x14ac:dyDescent="0.3">
      <c r="A58" s="9" t="s">
        <v>19</v>
      </c>
      <c r="B58" s="9" t="s">
        <v>21</v>
      </c>
      <c r="C58" s="9" t="s">
        <v>5</v>
      </c>
      <c r="D58" s="19">
        <v>46258</v>
      </c>
      <c r="E58" s="20">
        <v>2811391.17</v>
      </c>
      <c r="F58" s="20">
        <v>0</v>
      </c>
      <c r="G58" s="10">
        <f t="shared" si="0"/>
        <v>2811391.17</v>
      </c>
      <c r="H58" s="20">
        <v>3020337.53</v>
      </c>
      <c r="I58" s="21">
        <f t="shared" si="1"/>
        <v>-6.9179804549857671E-2</v>
      </c>
      <c r="J58" s="11" t="str">
        <f t="shared" si="2"/>
        <v>▼</v>
      </c>
      <c r="K58" s="9" t="s">
        <v>59</v>
      </c>
    </row>
    <row r="59" spans="1:11" x14ac:dyDescent="0.3">
      <c r="A59" s="9" t="s">
        <v>19</v>
      </c>
      <c r="B59" s="9" t="s">
        <v>21</v>
      </c>
      <c r="C59" s="9" t="s">
        <v>7</v>
      </c>
      <c r="D59" s="19">
        <v>46265</v>
      </c>
      <c r="E59" s="20">
        <v>3023329.86</v>
      </c>
      <c r="F59" s="20">
        <v>0</v>
      </c>
      <c r="G59" s="10">
        <f t="shared" si="0"/>
        <v>3023329.86</v>
      </c>
      <c r="H59" s="20">
        <v>2811391.17</v>
      </c>
      <c r="I59" s="21">
        <f t="shared" si="1"/>
        <v>7.5385699528963082E-2</v>
      </c>
      <c r="J59" s="11" t="str">
        <f t="shared" si="2"/>
        <v>▲</v>
      </c>
      <c r="K59" s="9" t="s">
        <v>59</v>
      </c>
    </row>
    <row r="60" spans="1:11" x14ac:dyDescent="0.3">
      <c r="A60" s="9" t="s">
        <v>19</v>
      </c>
      <c r="B60" s="9" t="s">
        <v>21</v>
      </c>
      <c r="C60" s="9" t="s">
        <v>8</v>
      </c>
      <c r="D60" s="19">
        <v>46272</v>
      </c>
      <c r="E60" s="20">
        <v>2942853.67</v>
      </c>
      <c r="F60" s="20">
        <v>0</v>
      </c>
      <c r="G60" s="10">
        <f t="shared" si="0"/>
        <v>2942853.67</v>
      </c>
      <c r="H60" s="20">
        <v>3023329.86</v>
      </c>
      <c r="I60" s="21">
        <f t="shared" si="1"/>
        <v>-2.6618395519700237E-2</v>
      </c>
      <c r="J60" s="11" t="str">
        <f t="shared" si="2"/>
        <v>▼</v>
      </c>
      <c r="K60" s="9" t="s">
        <v>59</v>
      </c>
    </row>
    <row r="61" spans="1:11" x14ac:dyDescent="0.3">
      <c r="A61" s="9" t="s">
        <v>19</v>
      </c>
      <c r="B61" s="9" t="s">
        <v>21</v>
      </c>
      <c r="C61" s="9" t="s">
        <v>9</v>
      </c>
      <c r="D61" s="19">
        <v>46279</v>
      </c>
      <c r="E61" s="20">
        <v>3049844.39</v>
      </c>
      <c r="F61" s="20">
        <v>0</v>
      </c>
      <c r="G61" s="10">
        <f t="shared" si="0"/>
        <v>3049844.39</v>
      </c>
      <c r="H61" s="20">
        <v>2942853.67</v>
      </c>
      <c r="I61" s="21">
        <f t="shared" si="1"/>
        <v>3.6356112806655523E-2</v>
      </c>
      <c r="J61" s="11" t="str">
        <f t="shared" si="2"/>
        <v>▲</v>
      </c>
      <c r="K61" s="9" t="s">
        <v>59</v>
      </c>
    </row>
    <row r="62" spans="1:11" x14ac:dyDescent="0.3">
      <c r="A62" s="9" t="s">
        <v>19</v>
      </c>
      <c r="B62" s="9" t="s">
        <v>21</v>
      </c>
      <c r="C62" s="9" t="s">
        <v>10</v>
      </c>
      <c r="D62" s="19">
        <v>46286</v>
      </c>
      <c r="E62" s="20">
        <v>2958436.81</v>
      </c>
      <c r="F62" s="20">
        <v>0</v>
      </c>
      <c r="G62" s="10">
        <f t="shared" si="0"/>
        <v>2958436.81</v>
      </c>
      <c r="H62" s="20">
        <v>3049844.39</v>
      </c>
      <c r="I62" s="21">
        <f t="shared" si="1"/>
        <v>-2.9971227482855304E-2</v>
      </c>
      <c r="J62" s="11" t="str">
        <f t="shared" si="2"/>
        <v>▼</v>
      </c>
      <c r="K62" s="9" t="s">
        <v>59</v>
      </c>
    </row>
    <row r="63" spans="1:11" x14ac:dyDescent="0.3">
      <c r="A63" s="9" t="s">
        <v>19</v>
      </c>
      <c r="B63" s="9" t="s">
        <v>21</v>
      </c>
      <c r="C63" s="9" t="s">
        <v>11</v>
      </c>
      <c r="D63" s="19">
        <v>46293</v>
      </c>
      <c r="E63" s="20">
        <v>2509319.94</v>
      </c>
      <c r="F63" s="20">
        <v>0</v>
      </c>
      <c r="G63" s="10">
        <f t="shared" si="0"/>
        <v>2509319.94</v>
      </c>
      <c r="H63" s="20">
        <v>2958436.81</v>
      </c>
      <c r="I63" s="21">
        <f t="shared" si="1"/>
        <v>-0.15180884326544061</v>
      </c>
      <c r="J63" s="11" t="str">
        <f t="shared" si="2"/>
        <v>▼</v>
      </c>
      <c r="K63" s="9" t="s">
        <v>59</v>
      </c>
    </row>
    <row r="64" spans="1:11" x14ac:dyDescent="0.3">
      <c r="A64" s="9" t="s">
        <v>19</v>
      </c>
      <c r="B64" s="9" t="s">
        <v>21</v>
      </c>
      <c r="C64" s="9" t="s">
        <v>12</v>
      </c>
      <c r="D64" s="19">
        <v>46300</v>
      </c>
      <c r="E64" s="20">
        <v>2684801.36</v>
      </c>
      <c r="F64" s="20">
        <v>0</v>
      </c>
      <c r="G64" s="10">
        <f t="shared" si="0"/>
        <v>2684801.36</v>
      </c>
      <c r="H64" s="20">
        <v>2509319.94</v>
      </c>
      <c r="I64" s="21">
        <f t="shared" si="1"/>
        <v>6.9931863690526425E-2</v>
      </c>
      <c r="J64" s="11" t="str">
        <f t="shared" si="2"/>
        <v>▲</v>
      </c>
      <c r="K64" s="9" t="s">
        <v>59</v>
      </c>
    </row>
    <row r="65" spans="1:11" x14ac:dyDescent="0.3">
      <c r="A65" s="9" t="s">
        <v>19</v>
      </c>
      <c r="B65" s="9" t="s">
        <v>21</v>
      </c>
      <c r="C65" s="9" t="s">
        <v>60</v>
      </c>
      <c r="D65" s="19">
        <v>46307</v>
      </c>
      <c r="E65" s="20">
        <v>1845000.68</v>
      </c>
      <c r="F65" s="20">
        <v>878461.96</v>
      </c>
      <c r="G65" s="10">
        <f t="shared" si="0"/>
        <v>2723462.6399999997</v>
      </c>
      <c r="H65" s="20">
        <v>2684801.36</v>
      </c>
      <c r="I65" s="21">
        <f t="shared" si="1"/>
        <v>1.4400052300331E-2</v>
      </c>
      <c r="J65" s="11" t="str">
        <f t="shared" si="2"/>
        <v>▲</v>
      </c>
      <c r="K65" s="9" t="s">
        <v>61</v>
      </c>
    </row>
    <row r="66" spans="1:11" x14ac:dyDescent="0.3">
      <c r="A66" s="9" t="s">
        <v>19</v>
      </c>
      <c r="B66" s="9" t="s">
        <v>22</v>
      </c>
      <c r="C66" s="9" t="s">
        <v>5</v>
      </c>
      <c r="D66" s="19">
        <v>46258</v>
      </c>
      <c r="E66" s="20">
        <v>1872870.77</v>
      </c>
      <c r="F66" s="20">
        <v>0</v>
      </c>
      <c r="G66" s="10">
        <f t="shared" ref="G66:G129" si="3">E66+F66</f>
        <v>1872870.77</v>
      </c>
      <c r="H66" s="20">
        <v>1975809.94</v>
      </c>
      <c r="I66" s="21">
        <f t="shared" ref="I66:I129" si="4">IF(H66&gt;0,(G66-H66)/H66,"")</f>
        <v>-5.2099732831590029E-2</v>
      </c>
      <c r="J66" s="11" t="str">
        <f t="shared" ref="J66:J129" si="5">IF(G66&gt;H66,"▲",IF(G66&lt;H66,"▼","="))</f>
        <v>▼</v>
      </c>
      <c r="K66" s="9" t="s">
        <v>59</v>
      </c>
    </row>
    <row r="67" spans="1:11" x14ac:dyDescent="0.3">
      <c r="A67" s="9" t="s">
        <v>19</v>
      </c>
      <c r="B67" s="9" t="s">
        <v>22</v>
      </c>
      <c r="C67" s="9" t="s">
        <v>7</v>
      </c>
      <c r="D67" s="19">
        <v>46265</v>
      </c>
      <c r="E67" s="20">
        <v>2122344.4300000002</v>
      </c>
      <c r="F67" s="20">
        <v>0</v>
      </c>
      <c r="G67" s="10">
        <f t="shared" si="3"/>
        <v>2122344.4300000002</v>
      </c>
      <c r="H67" s="20">
        <v>1872870.77</v>
      </c>
      <c r="I67" s="21">
        <f t="shared" si="4"/>
        <v>0.13320388357601423</v>
      </c>
      <c r="J67" s="11" t="str">
        <f t="shared" si="5"/>
        <v>▲</v>
      </c>
      <c r="K67" s="9" t="s">
        <v>59</v>
      </c>
    </row>
    <row r="68" spans="1:11" x14ac:dyDescent="0.3">
      <c r="A68" s="9" t="s">
        <v>19</v>
      </c>
      <c r="B68" s="9" t="s">
        <v>22</v>
      </c>
      <c r="C68" s="9" t="s">
        <v>8</v>
      </c>
      <c r="D68" s="19">
        <v>46272</v>
      </c>
      <c r="E68" s="20">
        <v>2234177.58</v>
      </c>
      <c r="F68" s="20">
        <v>0</v>
      </c>
      <c r="G68" s="10">
        <f t="shared" si="3"/>
        <v>2234177.58</v>
      </c>
      <c r="H68" s="20">
        <v>2122344.4300000002</v>
      </c>
      <c r="I68" s="21">
        <f t="shared" si="4"/>
        <v>5.2693214362006219E-2</v>
      </c>
      <c r="J68" s="11" t="str">
        <f t="shared" si="5"/>
        <v>▲</v>
      </c>
      <c r="K68" s="9" t="s">
        <v>59</v>
      </c>
    </row>
    <row r="69" spans="1:11" x14ac:dyDescent="0.3">
      <c r="A69" s="9" t="s">
        <v>19</v>
      </c>
      <c r="B69" s="9" t="s">
        <v>22</v>
      </c>
      <c r="C69" s="9" t="s">
        <v>9</v>
      </c>
      <c r="D69" s="19">
        <v>46279</v>
      </c>
      <c r="E69" s="20">
        <v>2145553.7400000002</v>
      </c>
      <c r="F69" s="20">
        <v>0</v>
      </c>
      <c r="G69" s="10">
        <f t="shared" si="3"/>
        <v>2145553.7400000002</v>
      </c>
      <c r="H69" s="20">
        <v>2234177.58</v>
      </c>
      <c r="I69" s="21">
        <f t="shared" si="4"/>
        <v>-3.9667321341573865E-2</v>
      </c>
      <c r="J69" s="11" t="str">
        <f t="shared" si="5"/>
        <v>▼</v>
      </c>
      <c r="K69" s="9" t="s">
        <v>59</v>
      </c>
    </row>
    <row r="70" spans="1:11" x14ac:dyDescent="0.3">
      <c r="A70" s="9" t="s">
        <v>19</v>
      </c>
      <c r="B70" s="9" t="s">
        <v>22</v>
      </c>
      <c r="C70" s="9" t="s">
        <v>10</v>
      </c>
      <c r="D70" s="19">
        <v>46286</v>
      </c>
      <c r="E70" s="20">
        <v>2180763.4900000002</v>
      </c>
      <c r="F70" s="20">
        <v>0</v>
      </c>
      <c r="G70" s="10">
        <f t="shared" si="3"/>
        <v>2180763.4900000002</v>
      </c>
      <c r="H70" s="20">
        <v>2145553.7400000002</v>
      </c>
      <c r="I70" s="21">
        <f t="shared" si="4"/>
        <v>1.6410565414222623E-2</v>
      </c>
      <c r="J70" s="11" t="str">
        <f t="shared" si="5"/>
        <v>▲</v>
      </c>
      <c r="K70" s="9" t="s">
        <v>59</v>
      </c>
    </row>
    <row r="71" spans="1:11" x14ac:dyDescent="0.3">
      <c r="A71" s="9" t="s">
        <v>19</v>
      </c>
      <c r="B71" s="9" t="s">
        <v>22</v>
      </c>
      <c r="C71" s="9" t="s">
        <v>11</v>
      </c>
      <c r="D71" s="19">
        <v>46293</v>
      </c>
      <c r="E71" s="20">
        <v>2048327.53</v>
      </c>
      <c r="F71" s="20">
        <v>0</v>
      </c>
      <c r="G71" s="10">
        <f t="shared" si="3"/>
        <v>2048327.53</v>
      </c>
      <c r="H71" s="20">
        <v>2180763.4900000002</v>
      </c>
      <c r="I71" s="21">
        <f t="shared" si="4"/>
        <v>-6.0729171506810294E-2</v>
      </c>
      <c r="J71" s="11" t="str">
        <f t="shared" si="5"/>
        <v>▼</v>
      </c>
      <c r="K71" s="9" t="s">
        <v>59</v>
      </c>
    </row>
    <row r="72" spans="1:11" x14ac:dyDescent="0.3">
      <c r="A72" s="9" t="s">
        <v>19</v>
      </c>
      <c r="B72" s="9" t="s">
        <v>22</v>
      </c>
      <c r="C72" s="9" t="s">
        <v>12</v>
      </c>
      <c r="D72" s="19">
        <v>46300</v>
      </c>
      <c r="E72" s="20">
        <v>2077098.23</v>
      </c>
      <c r="F72" s="20">
        <v>0</v>
      </c>
      <c r="G72" s="10">
        <f t="shared" si="3"/>
        <v>2077098.23</v>
      </c>
      <c r="H72" s="20">
        <v>2048327.53</v>
      </c>
      <c r="I72" s="21">
        <f t="shared" si="4"/>
        <v>1.4045947036605007E-2</v>
      </c>
      <c r="J72" s="11" t="str">
        <f t="shared" si="5"/>
        <v>▲</v>
      </c>
      <c r="K72" s="9" t="s">
        <v>59</v>
      </c>
    </row>
    <row r="73" spans="1:11" x14ac:dyDescent="0.3">
      <c r="A73" s="9" t="s">
        <v>19</v>
      </c>
      <c r="B73" s="9" t="s">
        <v>22</v>
      </c>
      <c r="C73" s="9" t="s">
        <v>60</v>
      </c>
      <c r="D73" s="19">
        <v>46307</v>
      </c>
      <c r="E73" s="20">
        <v>1298074.67</v>
      </c>
      <c r="F73" s="20">
        <v>750430.09</v>
      </c>
      <c r="G73" s="10">
        <f t="shared" si="3"/>
        <v>2048504.7599999998</v>
      </c>
      <c r="H73" s="20">
        <v>2077098.23</v>
      </c>
      <c r="I73" s="21">
        <f t="shared" si="4"/>
        <v>-1.3766065363215974E-2</v>
      </c>
      <c r="J73" s="11" t="str">
        <f t="shared" si="5"/>
        <v>▼</v>
      </c>
      <c r="K73" s="9" t="s">
        <v>61</v>
      </c>
    </row>
    <row r="74" spans="1:11" x14ac:dyDescent="0.3">
      <c r="A74" s="9" t="s">
        <v>19</v>
      </c>
      <c r="B74" s="9" t="s">
        <v>23</v>
      </c>
      <c r="C74" s="9" t="s">
        <v>5</v>
      </c>
      <c r="D74" s="19">
        <v>46258</v>
      </c>
      <c r="E74" s="20">
        <v>1298175.28</v>
      </c>
      <c r="F74" s="20">
        <v>0</v>
      </c>
      <c r="G74" s="10">
        <f t="shared" si="3"/>
        <v>1298175.28</v>
      </c>
      <c r="H74" s="20">
        <v>1291131.82</v>
      </c>
      <c r="I74" s="21">
        <f t="shared" si="4"/>
        <v>5.4552601763001723E-3</v>
      </c>
      <c r="J74" s="11" t="str">
        <f t="shared" si="5"/>
        <v>▲</v>
      </c>
      <c r="K74" s="9" t="s">
        <v>59</v>
      </c>
    </row>
    <row r="75" spans="1:11" x14ac:dyDescent="0.3">
      <c r="A75" s="9" t="s">
        <v>19</v>
      </c>
      <c r="B75" s="9" t="s">
        <v>23</v>
      </c>
      <c r="C75" s="9" t="s">
        <v>7</v>
      </c>
      <c r="D75" s="19">
        <v>46265</v>
      </c>
      <c r="E75" s="20">
        <v>1188190.54</v>
      </c>
      <c r="F75" s="20">
        <v>0</v>
      </c>
      <c r="G75" s="10">
        <f t="shared" si="3"/>
        <v>1188190.54</v>
      </c>
      <c r="H75" s="20">
        <v>1298175.28</v>
      </c>
      <c r="I75" s="21">
        <f t="shared" si="4"/>
        <v>-8.4722565353424373E-2</v>
      </c>
      <c r="J75" s="11" t="str">
        <f t="shared" si="5"/>
        <v>▼</v>
      </c>
      <c r="K75" s="9" t="s">
        <v>59</v>
      </c>
    </row>
    <row r="76" spans="1:11" x14ac:dyDescent="0.3">
      <c r="A76" s="9" t="s">
        <v>19</v>
      </c>
      <c r="B76" s="9" t="s">
        <v>23</v>
      </c>
      <c r="C76" s="9" t="s">
        <v>8</v>
      </c>
      <c r="D76" s="19">
        <v>46272</v>
      </c>
      <c r="E76" s="20">
        <v>1516934.89</v>
      </c>
      <c r="F76" s="20">
        <v>0</v>
      </c>
      <c r="G76" s="10">
        <f t="shared" si="3"/>
        <v>1516934.89</v>
      </c>
      <c r="H76" s="20">
        <v>1188190.54</v>
      </c>
      <c r="I76" s="21">
        <f t="shared" si="4"/>
        <v>0.27667645796944307</v>
      </c>
      <c r="J76" s="11" t="str">
        <f t="shared" si="5"/>
        <v>▲</v>
      </c>
      <c r="K76" s="9" t="s">
        <v>59</v>
      </c>
    </row>
    <row r="77" spans="1:11" x14ac:dyDescent="0.3">
      <c r="A77" s="9" t="s">
        <v>19</v>
      </c>
      <c r="B77" s="9" t="s">
        <v>23</v>
      </c>
      <c r="C77" s="9" t="s">
        <v>9</v>
      </c>
      <c r="D77" s="19">
        <v>46279</v>
      </c>
      <c r="E77" s="20">
        <v>1330074.82</v>
      </c>
      <c r="F77" s="20">
        <v>0</v>
      </c>
      <c r="G77" s="10">
        <f t="shared" si="3"/>
        <v>1330074.82</v>
      </c>
      <c r="H77" s="20">
        <v>1516934.89</v>
      </c>
      <c r="I77" s="21">
        <f t="shared" si="4"/>
        <v>-0.12318265683769714</v>
      </c>
      <c r="J77" s="11" t="str">
        <f t="shared" si="5"/>
        <v>▼</v>
      </c>
      <c r="K77" s="9" t="s">
        <v>59</v>
      </c>
    </row>
    <row r="78" spans="1:11" x14ac:dyDescent="0.3">
      <c r="A78" s="9" t="s">
        <v>19</v>
      </c>
      <c r="B78" s="9" t="s">
        <v>23</v>
      </c>
      <c r="C78" s="9" t="s">
        <v>10</v>
      </c>
      <c r="D78" s="19">
        <v>46286</v>
      </c>
      <c r="E78" s="20">
        <v>1488330.99</v>
      </c>
      <c r="F78" s="20">
        <v>0</v>
      </c>
      <c r="G78" s="10">
        <f t="shared" si="3"/>
        <v>1488330.99</v>
      </c>
      <c r="H78" s="20">
        <v>1330074.82</v>
      </c>
      <c r="I78" s="21">
        <f t="shared" si="4"/>
        <v>0.11898290804422559</v>
      </c>
      <c r="J78" s="11" t="str">
        <f t="shared" si="5"/>
        <v>▲</v>
      </c>
      <c r="K78" s="9" t="s">
        <v>59</v>
      </c>
    </row>
    <row r="79" spans="1:11" x14ac:dyDescent="0.3">
      <c r="A79" s="9" t="s">
        <v>19</v>
      </c>
      <c r="B79" s="9" t="s">
        <v>23</v>
      </c>
      <c r="C79" s="9" t="s">
        <v>11</v>
      </c>
      <c r="D79" s="19">
        <v>46293</v>
      </c>
      <c r="E79" s="20">
        <v>1463815.47</v>
      </c>
      <c r="F79" s="20">
        <v>0</v>
      </c>
      <c r="G79" s="10">
        <f t="shared" si="3"/>
        <v>1463815.47</v>
      </c>
      <c r="H79" s="20">
        <v>1488330.99</v>
      </c>
      <c r="I79" s="21">
        <f t="shared" si="4"/>
        <v>-1.6471819887322253E-2</v>
      </c>
      <c r="J79" s="11" t="str">
        <f t="shared" si="5"/>
        <v>▼</v>
      </c>
      <c r="K79" s="9" t="s">
        <v>59</v>
      </c>
    </row>
    <row r="80" spans="1:11" x14ac:dyDescent="0.3">
      <c r="A80" s="9" t="s">
        <v>19</v>
      </c>
      <c r="B80" s="9" t="s">
        <v>23</v>
      </c>
      <c r="C80" s="9" t="s">
        <v>12</v>
      </c>
      <c r="D80" s="19">
        <v>46300</v>
      </c>
      <c r="E80" s="20">
        <v>1247876.3700000001</v>
      </c>
      <c r="F80" s="20">
        <v>0</v>
      </c>
      <c r="G80" s="10">
        <f t="shared" si="3"/>
        <v>1247876.3700000001</v>
      </c>
      <c r="H80" s="20">
        <v>1463815.47</v>
      </c>
      <c r="I80" s="21">
        <f t="shared" si="4"/>
        <v>-0.14751797916167661</v>
      </c>
      <c r="J80" s="11" t="str">
        <f t="shared" si="5"/>
        <v>▼</v>
      </c>
      <c r="K80" s="9" t="s">
        <v>59</v>
      </c>
    </row>
    <row r="81" spans="1:11" x14ac:dyDescent="0.3">
      <c r="A81" s="9" t="s">
        <v>19</v>
      </c>
      <c r="B81" s="9" t="s">
        <v>23</v>
      </c>
      <c r="C81" s="9" t="s">
        <v>60</v>
      </c>
      <c r="D81" s="19">
        <v>46307</v>
      </c>
      <c r="E81" s="20">
        <v>842876.68</v>
      </c>
      <c r="F81" s="20">
        <v>465336.66</v>
      </c>
      <c r="G81" s="10">
        <f t="shared" si="3"/>
        <v>1308213.3400000001</v>
      </c>
      <c r="H81" s="20">
        <v>1247876.3700000001</v>
      </c>
      <c r="I81" s="21">
        <f t="shared" si="4"/>
        <v>4.8351720932098399E-2</v>
      </c>
      <c r="J81" s="11" t="str">
        <f t="shared" si="5"/>
        <v>▲</v>
      </c>
      <c r="K81" s="9" t="s">
        <v>61</v>
      </c>
    </row>
    <row r="82" spans="1:11" x14ac:dyDescent="0.3">
      <c r="A82" s="9" t="s">
        <v>28</v>
      </c>
      <c r="B82" s="9" t="s">
        <v>41</v>
      </c>
      <c r="C82" s="9" t="s">
        <v>5</v>
      </c>
      <c r="D82" s="19">
        <v>46258</v>
      </c>
      <c r="E82" s="20">
        <v>14435.7</v>
      </c>
      <c r="F82" s="20">
        <v>0</v>
      </c>
      <c r="G82" s="10">
        <f t="shared" si="3"/>
        <v>14435.7</v>
      </c>
      <c r="H82" s="20">
        <v>20677.5</v>
      </c>
      <c r="I82" s="21">
        <f t="shared" si="4"/>
        <v>-0.30186434530286538</v>
      </c>
      <c r="J82" s="11" t="str">
        <f t="shared" si="5"/>
        <v>▼</v>
      </c>
      <c r="K82" s="9" t="s">
        <v>59</v>
      </c>
    </row>
    <row r="83" spans="1:11" x14ac:dyDescent="0.3">
      <c r="A83" s="9" t="s">
        <v>28</v>
      </c>
      <c r="B83" s="9" t="s">
        <v>41</v>
      </c>
      <c r="C83" s="9" t="s">
        <v>7</v>
      </c>
      <c r="D83" s="19">
        <v>46265</v>
      </c>
      <c r="E83" s="20">
        <v>17110.349999999999</v>
      </c>
      <c r="F83" s="20">
        <v>0</v>
      </c>
      <c r="G83" s="10">
        <f t="shared" si="3"/>
        <v>17110.349999999999</v>
      </c>
      <c r="H83" s="20">
        <v>14435.7</v>
      </c>
      <c r="I83" s="21">
        <f t="shared" si="4"/>
        <v>0.18528024273156118</v>
      </c>
      <c r="J83" s="11" t="str">
        <f t="shared" si="5"/>
        <v>▲</v>
      </c>
      <c r="K83" s="9" t="s">
        <v>59</v>
      </c>
    </row>
    <row r="84" spans="1:11" x14ac:dyDescent="0.3">
      <c r="A84" s="9" t="s">
        <v>28</v>
      </c>
      <c r="B84" s="9" t="s">
        <v>41</v>
      </c>
      <c r="C84" s="9" t="s">
        <v>8</v>
      </c>
      <c r="D84" s="19">
        <v>46272</v>
      </c>
      <c r="E84" s="20">
        <v>20707.2</v>
      </c>
      <c r="F84" s="20">
        <v>0</v>
      </c>
      <c r="G84" s="10">
        <f t="shared" si="3"/>
        <v>20707.2</v>
      </c>
      <c r="H84" s="20">
        <v>17110.349999999999</v>
      </c>
      <c r="I84" s="21">
        <f t="shared" si="4"/>
        <v>0.21021486994713739</v>
      </c>
      <c r="J84" s="11" t="str">
        <f t="shared" si="5"/>
        <v>▲</v>
      </c>
      <c r="K84" s="9" t="s">
        <v>59</v>
      </c>
    </row>
    <row r="85" spans="1:11" x14ac:dyDescent="0.3">
      <c r="A85" s="9" t="s">
        <v>28</v>
      </c>
      <c r="B85" s="9" t="s">
        <v>41</v>
      </c>
      <c r="C85" s="9" t="s">
        <v>9</v>
      </c>
      <c r="D85" s="19">
        <v>46279</v>
      </c>
      <c r="E85" s="20">
        <v>17283.150000000001</v>
      </c>
      <c r="F85" s="20">
        <v>0</v>
      </c>
      <c r="G85" s="10">
        <f t="shared" si="3"/>
        <v>17283.150000000001</v>
      </c>
      <c r="H85" s="20">
        <v>20707.2</v>
      </c>
      <c r="I85" s="21">
        <f t="shared" si="4"/>
        <v>-0.16535552851182195</v>
      </c>
      <c r="J85" s="11" t="str">
        <f t="shared" si="5"/>
        <v>▼</v>
      </c>
      <c r="K85" s="9" t="s">
        <v>59</v>
      </c>
    </row>
    <row r="86" spans="1:11" x14ac:dyDescent="0.3">
      <c r="A86" s="9" t="s">
        <v>28</v>
      </c>
      <c r="B86" s="9" t="s">
        <v>41</v>
      </c>
      <c r="C86" s="9" t="s">
        <v>10</v>
      </c>
      <c r="D86" s="19">
        <v>46286</v>
      </c>
      <c r="E86" s="20">
        <v>11237.85</v>
      </c>
      <c r="F86" s="20">
        <v>0</v>
      </c>
      <c r="G86" s="10">
        <f t="shared" si="3"/>
        <v>11237.85</v>
      </c>
      <c r="H86" s="20">
        <v>17283.150000000001</v>
      </c>
      <c r="I86" s="21">
        <f t="shared" si="4"/>
        <v>-0.34977998802301669</v>
      </c>
      <c r="J86" s="11" t="str">
        <f t="shared" si="5"/>
        <v>▼</v>
      </c>
      <c r="K86" s="9" t="s">
        <v>59</v>
      </c>
    </row>
    <row r="87" spans="1:11" x14ac:dyDescent="0.3">
      <c r="A87" s="9" t="s">
        <v>28</v>
      </c>
      <c r="B87" s="9" t="s">
        <v>41</v>
      </c>
      <c r="C87" s="9" t="s">
        <v>11</v>
      </c>
      <c r="D87" s="19">
        <v>46293</v>
      </c>
      <c r="E87" s="20">
        <v>4297.5</v>
      </c>
      <c r="F87" s="20">
        <v>0</v>
      </c>
      <c r="G87" s="10">
        <f t="shared" si="3"/>
        <v>4297.5</v>
      </c>
      <c r="H87" s="20">
        <v>11237.85</v>
      </c>
      <c r="I87" s="21">
        <f t="shared" si="4"/>
        <v>-0.61758699395346972</v>
      </c>
      <c r="J87" s="11" t="str">
        <f t="shared" si="5"/>
        <v>▼</v>
      </c>
      <c r="K87" s="9" t="s">
        <v>59</v>
      </c>
    </row>
    <row r="88" spans="1:11" x14ac:dyDescent="0.3">
      <c r="A88" s="9" t="s">
        <v>28</v>
      </c>
      <c r="B88" s="9" t="s">
        <v>41</v>
      </c>
      <c r="C88" s="9" t="s">
        <v>12</v>
      </c>
      <c r="D88" s="19">
        <v>46300</v>
      </c>
      <c r="E88" s="20">
        <v>8722.5</v>
      </c>
      <c r="F88" s="20">
        <v>0</v>
      </c>
      <c r="G88" s="10">
        <f t="shared" si="3"/>
        <v>8722.5</v>
      </c>
      <c r="H88" s="20">
        <v>4297.5</v>
      </c>
      <c r="I88" s="21">
        <f t="shared" si="4"/>
        <v>1.0296684118673647</v>
      </c>
      <c r="J88" s="11" t="str">
        <f t="shared" si="5"/>
        <v>▲</v>
      </c>
      <c r="K88" s="9" t="s">
        <v>59</v>
      </c>
    </row>
    <row r="89" spans="1:11" x14ac:dyDescent="0.3">
      <c r="A89" s="9" t="s">
        <v>28</v>
      </c>
      <c r="B89" s="9" t="s">
        <v>41</v>
      </c>
      <c r="C89" s="9" t="s">
        <v>60</v>
      </c>
      <c r="D89" s="19">
        <v>46307</v>
      </c>
      <c r="E89" s="20">
        <v>8722.5</v>
      </c>
      <c r="F89" s="20">
        <v>4923.04</v>
      </c>
      <c r="G89" s="10">
        <f t="shared" si="3"/>
        <v>13645.54</v>
      </c>
      <c r="H89" s="20">
        <v>8722.5</v>
      </c>
      <c r="I89" s="21">
        <f t="shared" si="4"/>
        <v>0.56440699340785339</v>
      </c>
      <c r="J89" s="11" t="str">
        <f t="shared" si="5"/>
        <v>▲</v>
      </c>
      <c r="K89" s="9" t="s">
        <v>61</v>
      </c>
    </row>
    <row r="90" spans="1:11" x14ac:dyDescent="0.3">
      <c r="A90" s="9" t="s">
        <v>28</v>
      </c>
      <c r="B90" s="9" t="s">
        <v>38</v>
      </c>
      <c r="C90" s="9" t="s">
        <v>5</v>
      </c>
      <c r="D90" s="19">
        <v>46258</v>
      </c>
      <c r="E90" s="20">
        <v>49324.79</v>
      </c>
      <c r="F90" s="20">
        <v>0</v>
      </c>
      <c r="G90" s="10">
        <f t="shared" si="3"/>
        <v>49324.79</v>
      </c>
      <c r="H90" s="20">
        <v>56846.04</v>
      </c>
      <c r="I90" s="21">
        <f t="shared" si="4"/>
        <v>-0.13230912830515545</v>
      </c>
      <c r="J90" s="11" t="str">
        <f t="shared" si="5"/>
        <v>▼</v>
      </c>
      <c r="K90" s="9" t="s">
        <v>59</v>
      </c>
    </row>
    <row r="91" spans="1:11" x14ac:dyDescent="0.3">
      <c r="A91" s="9" t="s">
        <v>28</v>
      </c>
      <c r="B91" s="9" t="s">
        <v>38</v>
      </c>
      <c r="C91" s="9" t="s">
        <v>7</v>
      </c>
      <c r="D91" s="19">
        <v>46265</v>
      </c>
      <c r="E91" s="20">
        <v>44871.6</v>
      </c>
      <c r="F91" s="20">
        <v>0</v>
      </c>
      <c r="G91" s="10">
        <f t="shared" si="3"/>
        <v>44871.6</v>
      </c>
      <c r="H91" s="20">
        <v>49324.79</v>
      </c>
      <c r="I91" s="21">
        <f t="shared" si="4"/>
        <v>-9.028299968433727E-2</v>
      </c>
      <c r="J91" s="11" t="str">
        <f t="shared" si="5"/>
        <v>▼</v>
      </c>
      <c r="K91" s="9" t="s">
        <v>59</v>
      </c>
    </row>
    <row r="92" spans="1:11" x14ac:dyDescent="0.3">
      <c r="A92" s="9" t="s">
        <v>28</v>
      </c>
      <c r="B92" s="9" t="s">
        <v>38</v>
      </c>
      <c r="C92" s="9" t="s">
        <v>8</v>
      </c>
      <c r="D92" s="19">
        <v>46272</v>
      </c>
      <c r="E92" s="20">
        <v>70685.3</v>
      </c>
      <c r="F92" s="20">
        <v>0</v>
      </c>
      <c r="G92" s="10">
        <f t="shared" si="3"/>
        <v>70685.3</v>
      </c>
      <c r="H92" s="20">
        <v>44871.6</v>
      </c>
      <c r="I92" s="21">
        <f t="shared" si="4"/>
        <v>0.57527924121270479</v>
      </c>
      <c r="J92" s="11" t="str">
        <f t="shared" si="5"/>
        <v>▲</v>
      </c>
      <c r="K92" s="9" t="s">
        <v>59</v>
      </c>
    </row>
    <row r="93" spans="1:11" x14ac:dyDescent="0.3">
      <c r="A93" s="9" t="s">
        <v>28</v>
      </c>
      <c r="B93" s="9" t="s">
        <v>38</v>
      </c>
      <c r="C93" s="9" t="s">
        <v>9</v>
      </c>
      <c r="D93" s="19">
        <v>46279</v>
      </c>
      <c r="E93" s="20">
        <v>63516.95</v>
      </c>
      <c r="F93" s="20">
        <v>0</v>
      </c>
      <c r="G93" s="10">
        <f t="shared" si="3"/>
        <v>63516.95</v>
      </c>
      <c r="H93" s="20">
        <v>70685.3</v>
      </c>
      <c r="I93" s="21">
        <f t="shared" si="4"/>
        <v>-0.10141217480862365</v>
      </c>
      <c r="J93" s="11" t="str">
        <f t="shared" si="5"/>
        <v>▼</v>
      </c>
      <c r="K93" s="9" t="s">
        <v>59</v>
      </c>
    </row>
    <row r="94" spans="1:11" x14ac:dyDescent="0.3">
      <c r="A94" s="9" t="s">
        <v>28</v>
      </c>
      <c r="B94" s="9" t="s">
        <v>38</v>
      </c>
      <c r="C94" s="9" t="s">
        <v>10</v>
      </c>
      <c r="D94" s="19">
        <v>46286</v>
      </c>
      <c r="E94" s="20">
        <v>63265.41</v>
      </c>
      <c r="F94" s="20">
        <v>0</v>
      </c>
      <c r="G94" s="10">
        <f t="shared" si="3"/>
        <v>63265.41</v>
      </c>
      <c r="H94" s="20">
        <v>63516.95</v>
      </c>
      <c r="I94" s="21">
        <f t="shared" si="4"/>
        <v>-3.9602027490298827E-3</v>
      </c>
      <c r="J94" s="11" t="str">
        <f t="shared" si="5"/>
        <v>▼</v>
      </c>
      <c r="K94" s="9" t="s">
        <v>59</v>
      </c>
    </row>
    <row r="95" spans="1:11" x14ac:dyDescent="0.3">
      <c r="A95" s="9" t="s">
        <v>28</v>
      </c>
      <c r="B95" s="9" t="s">
        <v>38</v>
      </c>
      <c r="C95" s="9" t="s">
        <v>11</v>
      </c>
      <c r="D95" s="19">
        <v>46293</v>
      </c>
      <c r="E95" s="20">
        <v>59821.69</v>
      </c>
      <c r="F95" s="20">
        <v>0</v>
      </c>
      <c r="G95" s="10">
        <f t="shared" si="3"/>
        <v>59821.69</v>
      </c>
      <c r="H95" s="20">
        <v>63265.41</v>
      </c>
      <c r="I95" s="21">
        <f t="shared" si="4"/>
        <v>-5.4432904173070264E-2</v>
      </c>
      <c r="J95" s="11" t="str">
        <f t="shared" si="5"/>
        <v>▼</v>
      </c>
      <c r="K95" s="9" t="s">
        <v>59</v>
      </c>
    </row>
    <row r="96" spans="1:11" x14ac:dyDescent="0.3">
      <c r="A96" s="9" t="s">
        <v>28</v>
      </c>
      <c r="B96" s="9" t="s">
        <v>38</v>
      </c>
      <c r="C96" s="9" t="s">
        <v>12</v>
      </c>
      <c r="D96" s="19">
        <v>46300</v>
      </c>
      <c r="E96" s="20">
        <v>61029.26</v>
      </c>
      <c r="F96" s="20">
        <v>0</v>
      </c>
      <c r="G96" s="10">
        <f t="shared" si="3"/>
        <v>61029.26</v>
      </c>
      <c r="H96" s="20">
        <v>59821.69</v>
      </c>
      <c r="I96" s="21">
        <f t="shared" si="4"/>
        <v>2.0186156559602372E-2</v>
      </c>
      <c r="J96" s="11" t="str">
        <f t="shared" si="5"/>
        <v>▲</v>
      </c>
      <c r="K96" s="9" t="s">
        <v>59</v>
      </c>
    </row>
    <row r="97" spans="1:11" x14ac:dyDescent="0.3">
      <c r="A97" s="9" t="s">
        <v>28</v>
      </c>
      <c r="B97" s="9" t="s">
        <v>38</v>
      </c>
      <c r="C97" s="9" t="s">
        <v>60</v>
      </c>
      <c r="D97" s="19">
        <v>46307</v>
      </c>
      <c r="E97" s="20">
        <v>36568.410000000003</v>
      </c>
      <c r="F97" s="20">
        <v>27670.7</v>
      </c>
      <c r="G97" s="10">
        <f t="shared" si="3"/>
        <v>64239.11</v>
      </c>
      <c r="H97" s="20">
        <v>61029.26</v>
      </c>
      <c r="I97" s="21">
        <f t="shared" si="4"/>
        <v>5.2595263321233099E-2</v>
      </c>
      <c r="J97" s="11" t="str">
        <f t="shared" si="5"/>
        <v>▲</v>
      </c>
      <c r="K97" s="9" t="s">
        <v>61</v>
      </c>
    </row>
    <row r="98" spans="1:11" x14ac:dyDescent="0.3">
      <c r="A98" s="9" t="s">
        <v>28</v>
      </c>
      <c r="B98" s="9" t="s">
        <v>33</v>
      </c>
      <c r="C98" s="9" t="s">
        <v>5</v>
      </c>
      <c r="D98" s="19">
        <v>46258</v>
      </c>
      <c r="E98" s="20">
        <v>510678.7</v>
      </c>
      <c r="F98" s="20">
        <v>0</v>
      </c>
      <c r="G98" s="10">
        <f t="shared" si="3"/>
        <v>510678.7</v>
      </c>
      <c r="H98" s="20">
        <v>775696.6</v>
      </c>
      <c r="I98" s="21">
        <f t="shared" si="4"/>
        <v>-0.34165149105977771</v>
      </c>
      <c r="J98" s="11" t="str">
        <f t="shared" si="5"/>
        <v>▼</v>
      </c>
      <c r="K98" s="9" t="s">
        <v>59</v>
      </c>
    </row>
    <row r="99" spans="1:11" x14ac:dyDescent="0.3">
      <c r="A99" s="9" t="s">
        <v>28</v>
      </c>
      <c r="B99" s="9" t="s">
        <v>33</v>
      </c>
      <c r="C99" s="9" t="s">
        <v>7</v>
      </c>
      <c r="D99" s="19">
        <v>46265</v>
      </c>
      <c r="E99" s="20">
        <v>922448.47</v>
      </c>
      <c r="F99" s="20">
        <v>0</v>
      </c>
      <c r="G99" s="10">
        <f t="shared" si="3"/>
        <v>922448.47</v>
      </c>
      <c r="H99" s="20">
        <v>510678.7</v>
      </c>
      <c r="I99" s="21">
        <f t="shared" si="4"/>
        <v>0.80631866964492538</v>
      </c>
      <c r="J99" s="11" t="str">
        <f t="shared" si="5"/>
        <v>▲</v>
      </c>
      <c r="K99" s="9" t="s">
        <v>59</v>
      </c>
    </row>
    <row r="100" spans="1:11" x14ac:dyDescent="0.3">
      <c r="A100" s="9" t="s">
        <v>28</v>
      </c>
      <c r="B100" s="9" t="s">
        <v>33</v>
      </c>
      <c r="C100" s="9" t="s">
        <v>8</v>
      </c>
      <c r="D100" s="19">
        <v>46272</v>
      </c>
      <c r="E100" s="20">
        <v>875150.16</v>
      </c>
      <c r="F100" s="20">
        <v>0</v>
      </c>
      <c r="G100" s="10">
        <f t="shared" si="3"/>
        <v>875150.16</v>
      </c>
      <c r="H100" s="20">
        <v>922448.47</v>
      </c>
      <c r="I100" s="21">
        <f t="shared" si="4"/>
        <v>-5.1274744918813668E-2</v>
      </c>
      <c r="J100" s="11" t="str">
        <f t="shared" si="5"/>
        <v>▼</v>
      </c>
      <c r="K100" s="9" t="s">
        <v>59</v>
      </c>
    </row>
    <row r="101" spans="1:11" x14ac:dyDescent="0.3">
      <c r="A101" s="9" t="s">
        <v>28</v>
      </c>
      <c r="B101" s="9" t="s">
        <v>33</v>
      </c>
      <c r="C101" s="9" t="s">
        <v>9</v>
      </c>
      <c r="D101" s="19">
        <v>46279</v>
      </c>
      <c r="E101" s="20">
        <v>728494.96</v>
      </c>
      <c r="F101" s="20">
        <v>0</v>
      </c>
      <c r="G101" s="10">
        <f t="shared" si="3"/>
        <v>728494.96</v>
      </c>
      <c r="H101" s="20">
        <v>875150.16</v>
      </c>
      <c r="I101" s="21">
        <f t="shared" si="4"/>
        <v>-0.16757718469708108</v>
      </c>
      <c r="J101" s="11" t="str">
        <f t="shared" si="5"/>
        <v>▼</v>
      </c>
      <c r="K101" s="9" t="s">
        <v>59</v>
      </c>
    </row>
    <row r="102" spans="1:11" x14ac:dyDescent="0.3">
      <c r="A102" s="9" t="s">
        <v>28</v>
      </c>
      <c r="B102" s="9" t="s">
        <v>33</v>
      </c>
      <c r="C102" s="9" t="s">
        <v>10</v>
      </c>
      <c r="D102" s="19">
        <v>46286</v>
      </c>
      <c r="E102" s="20">
        <v>758991.52</v>
      </c>
      <c r="F102" s="20">
        <v>0</v>
      </c>
      <c r="G102" s="10">
        <f t="shared" si="3"/>
        <v>758991.52</v>
      </c>
      <c r="H102" s="20">
        <v>728494.96</v>
      </c>
      <c r="I102" s="21">
        <f t="shared" si="4"/>
        <v>4.1862417277396202E-2</v>
      </c>
      <c r="J102" s="11" t="str">
        <f t="shared" si="5"/>
        <v>▲</v>
      </c>
      <c r="K102" s="9" t="s">
        <v>59</v>
      </c>
    </row>
    <row r="103" spans="1:11" x14ac:dyDescent="0.3">
      <c r="A103" s="9" t="s">
        <v>28</v>
      </c>
      <c r="B103" s="9" t="s">
        <v>33</v>
      </c>
      <c r="C103" s="9" t="s">
        <v>11</v>
      </c>
      <c r="D103" s="19">
        <v>46293</v>
      </c>
      <c r="E103" s="20">
        <v>674584.91</v>
      </c>
      <c r="F103" s="20">
        <v>0</v>
      </c>
      <c r="G103" s="10">
        <f t="shared" si="3"/>
        <v>674584.91</v>
      </c>
      <c r="H103" s="20">
        <v>758991.52</v>
      </c>
      <c r="I103" s="21">
        <f t="shared" si="4"/>
        <v>-0.11120889730098696</v>
      </c>
      <c r="J103" s="11" t="str">
        <f t="shared" si="5"/>
        <v>▼</v>
      </c>
      <c r="K103" s="9" t="s">
        <v>59</v>
      </c>
    </row>
    <row r="104" spans="1:11" x14ac:dyDescent="0.3">
      <c r="A104" s="9" t="s">
        <v>28</v>
      </c>
      <c r="B104" s="9" t="s">
        <v>33</v>
      </c>
      <c r="C104" s="9" t="s">
        <v>12</v>
      </c>
      <c r="D104" s="19">
        <v>46300</v>
      </c>
      <c r="E104" s="20">
        <v>830450.03</v>
      </c>
      <c r="F104" s="20">
        <v>0</v>
      </c>
      <c r="G104" s="10">
        <f t="shared" si="3"/>
        <v>830450.03</v>
      </c>
      <c r="H104" s="20">
        <v>674584.91</v>
      </c>
      <c r="I104" s="21">
        <f t="shared" si="4"/>
        <v>0.2310533747338048</v>
      </c>
      <c r="J104" s="11" t="str">
        <f t="shared" si="5"/>
        <v>▲</v>
      </c>
      <c r="K104" s="9" t="s">
        <v>59</v>
      </c>
    </row>
    <row r="105" spans="1:11" x14ac:dyDescent="0.3">
      <c r="A105" s="9" t="s">
        <v>28</v>
      </c>
      <c r="B105" s="9" t="s">
        <v>33</v>
      </c>
      <c r="C105" s="9" t="s">
        <v>60</v>
      </c>
      <c r="D105" s="19">
        <v>46307</v>
      </c>
      <c r="E105" s="20">
        <v>444493.32</v>
      </c>
      <c r="F105" s="20">
        <v>233375.44</v>
      </c>
      <c r="G105" s="10">
        <f t="shared" si="3"/>
        <v>677868.76</v>
      </c>
      <c r="H105" s="20">
        <v>830450.03</v>
      </c>
      <c r="I105" s="21">
        <f t="shared" si="4"/>
        <v>-0.18373323437654643</v>
      </c>
      <c r="J105" s="11" t="str">
        <f t="shared" si="5"/>
        <v>▼</v>
      </c>
      <c r="K105" s="9" t="s">
        <v>61</v>
      </c>
    </row>
    <row r="106" spans="1:11" x14ac:dyDescent="0.3">
      <c r="A106" s="9" t="s">
        <v>28</v>
      </c>
      <c r="B106" s="9" t="s">
        <v>32</v>
      </c>
      <c r="C106" s="9" t="s">
        <v>5</v>
      </c>
      <c r="D106" s="19">
        <v>46258</v>
      </c>
      <c r="E106" s="20">
        <v>1255463.95</v>
      </c>
      <c r="F106" s="20">
        <v>0</v>
      </c>
      <c r="G106" s="10">
        <f t="shared" si="3"/>
        <v>1255463.95</v>
      </c>
      <c r="H106" s="20">
        <v>1295239.57</v>
      </c>
      <c r="I106" s="21">
        <f t="shared" si="4"/>
        <v>-3.0709083416900325E-2</v>
      </c>
      <c r="J106" s="11" t="str">
        <f t="shared" si="5"/>
        <v>▼</v>
      </c>
      <c r="K106" s="9" t="s">
        <v>59</v>
      </c>
    </row>
    <row r="107" spans="1:11" x14ac:dyDescent="0.3">
      <c r="A107" s="9" t="s">
        <v>28</v>
      </c>
      <c r="B107" s="9" t="s">
        <v>32</v>
      </c>
      <c r="C107" s="9" t="s">
        <v>7</v>
      </c>
      <c r="D107" s="19">
        <v>46265</v>
      </c>
      <c r="E107" s="20">
        <v>1238490.18</v>
      </c>
      <c r="F107" s="20">
        <v>0</v>
      </c>
      <c r="G107" s="10">
        <f t="shared" si="3"/>
        <v>1238490.18</v>
      </c>
      <c r="H107" s="20">
        <v>1255463.95</v>
      </c>
      <c r="I107" s="21">
        <f t="shared" si="4"/>
        <v>-1.3519918274037274E-2</v>
      </c>
      <c r="J107" s="11" t="str">
        <f t="shared" si="5"/>
        <v>▼</v>
      </c>
      <c r="K107" s="9" t="s">
        <v>59</v>
      </c>
    </row>
    <row r="108" spans="1:11" x14ac:dyDescent="0.3">
      <c r="A108" s="9" t="s">
        <v>28</v>
      </c>
      <c r="B108" s="9" t="s">
        <v>32</v>
      </c>
      <c r="C108" s="9" t="s">
        <v>8</v>
      </c>
      <c r="D108" s="19">
        <v>46272</v>
      </c>
      <c r="E108" s="20">
        <v>1327700.8700000001</v>
      </c>
      <c r="F108" s="20">
        <v>0</v>
      </c>
      <c r="G108" s="10">
        <f t="shared" si="3"/>
        <v>1327700.8700000001</v>
      </c>
      <c r="H108" s="20">
        <v>1238490.18</v>
      </c>
      <c r="I108" s="21">
        <f t="shared" si="4"/>
        <v>7.2031810538861263E-2</v>
      </c>
      <c r="J108" s="11" t="str">
        <f t="shared" si="5"/>
        <v>▲</v>
      </c>
      <c r="K108" s="9" t="s">
        <v>59</v>
      </c>
    </row>
    <row r="109" spans="1:11" x14ac:dyDescent="0.3">
      <c r="A109" s="9" t="s">
        <v>28</v>
      </c>
      <c r="B109" s="9" t="s">
        <v>32</v>
      </c>
      <c r="C109" s="9" t="s">
        <v>9</v>
      </c>
      <c r="D109" s="19">
        <v>46279</v>
      </c>
      <c r="E109" s="20">
        <v>1341001.51</v>
      </c>
      <c r="F109" s="20">
        <v>0</v>
      </c>
      <c r="G109" s="10">
        <f t="shared" si="3"/>
        <v>1341001.51</v>
      </c>
      <c r="H109" s="20">
        <v>1327700.8700000001</v>
      </c>
      <c r="I109" s="21">
        <f t="shared" si="4"/>
        <v>1.0017798662736357E-2</v>
      </c>
      <c r="J109" s="11" t="str">
        <f t="shared" si="5"/>
        <v>▲</v>
      </c>
      <c r="K109" s="9" t="s">
        <v>59</v>
      </c>
    </row>
    <row r="110" spans="1:11" x14ac:dyDescent="0.3">
      <c r="A110" s="9" t="s">
        <v>28</v>
      </c>
      <c r="B110" s="9" t="s">
        <v>32</v>
      </c>
      <c r="C110" s="9" t="s">
        <v>10</v>
      </c>
      <c r="D110" s="19">
        <v>46286</v>
      </c>
      <c r="E110" s="20">
        <v>1339775.1000000001</v>
      </c>
      <c r="F110" s="20">
        <v>0</v>
      </c>
      <c r="G110" s="10">
        <f t="shared" si="3"/>
        <v>1339775.1000000001</v>
      </c>
      <c r="H110" s="20">
        <v>1341001.51</v>
      </c>
      <c r="I110" s="21">
        <f t="shared" si="4"/>
        <v>-9.1454781434207049E-4</v>
      </c>
      <c r="J110" s="11" t="str">
        <f t="shared" si="5"/>
        <v>▼</v>
      </c>
      <c r="K110" s="9" t="s">
        <v>59</v>
      </c>
    </row>
    <row r="111" spans="1:11" x14ac:dyDescent="0.3">
      <c r="A111" s="9" t="s">
        <v>28</v>
      </c>
      <c r="B111" s="9" t="s">
        <v>32</v>
      </c>
      <c r="C111" s="9" t="s">
        <v>11</v>
      </c>
      <c r="D111" s="19">
        <v>46293</v>
      </c>
      <c r="E111" s="20">
        <v>1346351.02</v>
      </c>
      <c r="F111" s="20">
        <v>0</v>
      </c>
      <c r="G111" s="10">
        <f t="shared" si="3"/>
        <v>1346351.02</v>
      </c>
      <c r="H111" s="20">
        <v>1339775.1000000001</v>
      </c>
      <c r="I111" s="21">
        <f t="shared" si="4"/>
        <v>4.9082267613422019E-3</v>
      </c>
      <c r="J111" s="11" t="str">
        <f t="shared" si="5"/>
        <v>▲</v>
      </c>
      <c r="K111" s="9" t="s">
        <v>59</v>
      </c>
    </row>
    <row r="112" spans="1:11" x14ac:dyDescent="0.3">
      <c r="A112" s="9" t="s">
        <v>28</v>
      </c>
      <c r="B112" s="9" t="s">
        <v>32</v>
      </c>
      <c r="C112" s="9" t="s">
        <v>12</v>
      </c>
      <c r="D112" s="19">
        <v>46300</v>
      </c>
      <c r="E112" s="20">
        <v>1337987.48</v>
      </c>
      <c r="F112" s="20">
        <v>0</v>
      </c>
      <c r="G112" s="10">
        <f t="shared" si="3"/>
        <v>1337987.48</v>
      </c>
      <c r="H112" s="20">
        <v>1346351.02</v>
      </c>
      <c r="I112" s="21">
        <f t="shared" si="4"/>
        <v>-6.2120055436954598E-3</v>
      </c>
      <c r="J112" s="11" t="str">
        <f t="shared" si="5"/>
        <v>▼</v>
      </c>
      <c r="K112" s="9" t="s">
        <v>59</v>
      </c>
    </row>
    <row r="113" spans="1:11" x14ac:dyDescent="0.3">
      <c r="A113" s="9" t="s">
        <v>28</v>
      </c>
      <c r="B113" s="9" t="s">
        <v>32</v>
      </c>
      <c r="C113" s="9" t="s">
        <v>60</v>
      </c>
      <c r="D113" s="19">
        <v>46307</v>
      </c>
      <c r="E113" s="20">
        <v>942448.53</v>
      </c>
      <c r="F113" s="20">
        <v>454679.23</v>
      </c>
      <c r="G113" s="10">
        <f t="shared" si="3"/>
        <v>1397127.76</v>
      </c>
      <c r="H113" s="20">
        <v>1337987.48</v>
      </c>
      <c r="I113" s="21">
        <f t="shared" si="4"/>
        <v>4.4200921820284914E-2</v>
      </c>
      <c r="J113" s="11" t="str">
        <f t="shared" si="5"/>
        <v>▲</v>
      </c>
      <c r="K113" s="9" t="s">
        <v>61</v>
      </c>
    </row>
    <row r="114" spans="1:11" x14ac:dyDescent="0.3">
      <c r="A114" s="9" t="s">
        <v>28</v>
      </c>
      <c r="B114" s="9" t="s">
        <v>31</v>
      </c>
      <c r="C114" s="9" t="s">
        <v>5</v>
      </c>
      <c r="D114" s="19">
        <v>46258</v>
      </c>
      <c r="E114" s="20">
        <v>1407495.81</v>
      </c>
      <c r="F114" s="20">
        <v>0</v>
      </c>
      <c r="G114" s="10">
        <f t="shared" si="3"/>
        <v>1407495.81</v>
      </c>
      <c r="H114" s="20">
        <v>1566929.39</v>
      </c>
      <c r="I114" s="21">
        <f t="shared" si="4"/>
        <v>-0.10174905201056944</v>
      </c>
      <c r="J114" s="11" t="str">
        <f t="shared" si="5"/>
        <v>▼</v>
      </c>
      <c r="K114" s="9" t="s">
        <v>59</v>
      </c>
    </row>
    <row r="115" spans="1:11" x14ac:dyDescent="0.3">
      <c r="A115" s="9" t="s">
        <v>28</v>
      </c>
      <c r="B115" s="9" t="s">
        <v>31</v>
      </c>
      <c r="C115" s="9" t="s">
        <v>7</v>
      </c>
      <c r="D115" s="19">
        <v>46265</v>
      </c>
      <c r="E115" s="20">
        <v>1435803.23</v>
      </c>
      <c r="F115" s="20">
        <v>0</v>
      </c>
      <c r="G115" s="10">
        <f t="shared" si="3"/>
        <v>1435803.23</v>
      </c>
      <c r="H115" s="20">
        <v>1407495.81</v>
      </c>
      <c r="I115" s="21">
        <f t="shared" si="4"/>
        <v>2.0111903565808786E-2</v>
      </c>
      <c r="J115" s="11" t="str">
        <f t="shared" si="5"/>
        <v>▲</v>
      </c>
      <c r="K115" s="9" t="s">
        <v>59</v>
      </c>
    </row>
    <row r="116" spans="1:11" x14ac:dyDescent="0.3">
      <c r="A116" s="9" t="s">
        <v>28</v>
      </c>
      <c r="B116" s="9" t="s">
        <v>31</v>
      </c>
      <c r="C116" s="9" t="s">
        <v>8</v>
      </c>
      <c r="D116" s="19">
        <v>46272</v>
      </c>
      <c r="E116" s="20">
        <v>1553876.72</v>
      </c>
      <c r="F116" s="20">
        <v>0</v>
      </c>
      <c r="G116" s="10">
        <f t="shared" si="3"/>
        <v>1553876.72</v>
      </c>
      <c r="H116" s="20">
        <v>1435803.23</v>
      </c>
      <c r="I116" s="21">
        <f t="shared" si="4"/>
        <v>8.2235147221391885E-2</v>
      </c>
      <c r="J116" s="11" t="str">
        <f t="shared" si="5"/>
        <v>▲</v>
      </c>
      <c r="K116" s="9" t="s">
        <v>59</v>
      </c>
    </row>
    <row r="117" spans="1:11" x14ac:dyDescent="0.3">
      <c r="A117" s="9" t="s">
        <v>28</v>
      </c>
      <c r="B117" s="9" t="s">
        <v>31</v>
      </c>
      <c r="C117" s="9" t="s">
        <v>9</v>
      </c>
      <c r="D117" s="19">
        <v>46279</v>
      </c>
      <c r="E117" s="20">
        <v>1456983.18</v>
      </c>
      <c r="F117" s="20">
        <v>0</v>
      </c>
      <c r="G117" s="10">
        <f t="shared" si="3"/>
        <v>1456983.18</v>
      </c>
      <c r="H117" s="20">
        <v>1553876.72</v>
      </c>
      <c r="I117" s="21">
        <f t="shared" si="4"/>
        <v>-6.2356002090050003E-2</v>
      </c>
      <c r="J117" s="11" t="str">
        <f t="shared" si="5"/>
        <v>▼</v>
      </c>
      <c r="K117" s="9" t="s">
        <v>59</v>
      </c>
    </row>
    <row r="118" spans="1:11" x14ac:dyDescent="0.3">
      <c r="A118" s="9" t="s">
        <v>28</v>
      </c>
      <c r="B118" s="9" t="s">
        <v>31</v>
      </c>
      <c r="C118" s="9" t="s">
        <v>10</v>
      </c>
      <c r="D118" s="19">
        <v>46286</v>
      </c>
      <c r="E118" s="20">
        <v>1334457.6000000001</v>
      </c>
      <c r="F118" s="20">
        <v>0</v>
      </c>
      <c r="G118" s="10">
        <f t="shared" si="3"/>
        <v>1334457.6000000001</v>
      </c>
      <c r="H118" s="20">
        <v>1456983.18</v>
      </c>
      <c r="I118" s="21">
        <f t="shared" si="4"/>
        <v>-8.4095397724495244E-2</v>
      </c>
      <c r="J118" s="11" t="str">
        <f t="shared" si="5"/>
        <v>▼</v>
      </c>
      <c r="K118" s="9" t="s">
        <v>59</v>
      </c>
    </row>
    <row r="119" spans="1:11" x14ac:dyDescent="0.3">
      <c r="A119" s="9" t="s">
        <v>28</v>
      </c>
      <c r="B119" s="9" t="s">
        <v>31</v>
      </c>
      <c r="C119" s="9" t="s">
        <v>11</v>
      </c>
      <c r="D119" s="19">
        <v>46293</v>
      </c>
      <c r="E119" s="20">
        <v>1282812.92</v>
      </c>
      <c r="F119" s="20">
        <v>0</v>
      </c>
      <c r="G119" s="10">
        <f t="shared" si="3"/>
        <v>1282812.92</v>
      </c>
      <c r="H119" s="20">
        <v>1334457.6000000001</v>
      </c>
      <c r="I119" s="21">
        <f t="shared" si="4"/>
        <v>-3.8700877420159444E-2</v>
      </c>
      <c r="J119" s="11" t="str">
        <f t="shared" si="5"/>
        <v>▼</v>
      </c>
      <c r="K119" s="9" t="s">
        <v>59</v>
      </c>
    </row>
    <row r="120" spans="1:11" x14ac:dyDescent="0.3">
      <c r="A120" s="9" t="s">
        <v>28</v>
      </c>
      <c r="B120" s="9" t="s">
        <v>31</v>
      </c>
      <c r="C120" s="9" t="s">
        <v>12</v>
      </c>
      <c r="D120" s="19">
        <v>46300</v>
      </c>
      <c r="E120" s="20">
        <v>1227939.54</v>
      </c>
      <c r="F120" s="20">
        <v>0</v>
      </c>
      <c r="G120" s="10">
        <f t="shared" si="3"/>
        <v>1227939.54</v>
      </c>
      <c r="H120" s="20">
        <v>1282812.92</v>
      </c>
      <c r="I120" s="21">
        <f t="shared" si="4"/>
        <v>-4.2775824240996803E-2</v>
      </c>
      <c r="J120" s="11" t="str">
        <f t="shared" si="5"/>
        <v>▼</v>
      </c>
      <c r="K120" s="9" t="s">
        <v>59</v>
      </c>
    </row>
    <row r="121" spans="1:11" x14ac:dyDescent="0.3">
      <c r="A121" s="9" t="s">
        <v>28</v>
      </c>
      <c r="B121" s="9" t="s">
        <v>31</v>
      </c>
      <c r="C121" s="9" t="s">
        <v>60</v>
      </c>
      <c r="D121" s="19">
        <v>46307</v>
      </c>
      <c r="E121" s="20">
        <v>797044.09</v>
      </c>
      <c r="F121" s="20">
        <v>458180.1</v>
      </c>
      <c r="G121" s="10">
        <f t="shared" si="3"/>
        <v>1255224.19</v>
      </c>
      <c r="H121" s="20">
        <v>1227939.54</v>
      </c>
      <c r="I121" s="21">
        <f t="shared" si="4"/>
        <v>2.2219864342832307E-2</v>
      </c>
      <c r="J121" s="11" t="str">
        <f t="shared" si="5"/>
        <v>▲</v>
      </c>
      <c r="K121" s="9" t="s">
        <v>61</v>
      </c>
    </row>
    <row r="122" spans="1:11" x14ac:dyDescent="0.3">
      <c r="A122" s="9" t="s">
        <v>28</v>
      </c>
      <c r="B122" s="9" t="s">
        <v>43</v>
      </c>
      <c r="C122" s="9" t="s">
        <v>5</v>
      </c>
      <c r="D122" s="19">
        <v>46258</v>
      </c>
      <c r="E122" s="20">
        <v>10764.3</v>
      </c>
      <c r="F122" s="20">
        <v>0</v>
      </c>
      <c r="G122" s="10">
        <f t="shared" si="3"/>
        <v>10764.3</v>
      </c>
      <c r="H122" s="20">
        <v>21361.02</v>
      </c>
      <c r="I122" s="21">
        <f t="shared" si="4"/>
        <v>-0.49607743450453212</v>
      </c>
      <c r="J122" s="11" t="str">
        <f t="shared" si="5"/>
        <v>▼</v>
      </c>
      <c r="K122" s="9" t="s">
        <v>59</v>
      </c>
    </row>
    <row r="123" spans="1:11" x14ac:dyDescent="0.3">
      <c r="A123" s="9" t="s">
        <v>28</v>
      </c>
      <c r="B123" s="9" t="s">
        <v>43</v>
      </c>
      <c r="C123" s="9" t="s">
        <v>7</v>
      </c>
      <c r="D123" s="19">
        <v>46265</v>
      </c>
      <c r="E123" s="20">
        <v>7727.28</v>
      </c>
      <c r="F123" s="20">
        <v>0</v>
      </c>
      <c r="G123" s="10">
        <f t="shared" si="3"/>
        <v>7727.28</v>
      </c>
      <c r="H123" s="20">
        <v>10764.3</v>
      </c>
      <c r="I123" s="21">
        <f t="shared" si="4"/>
        <v>-0.28213817898051891</v>
      </c>
      <c r="J123" s="11" t="str">
        <f t="shared" si="5"/>
        <v>▼</v>
      </c>
      <c r="K123" s="9" t="s">
        <v>59</v>
      </c>
    </row>
    <row r="124" spans="1:11" x14ac:dyDescent="0.3">
      <c r="A124" s="9" t="s">
        <v>28</v>
      </c>
      <c r="B124" s="9" t="s">
        <v>43</v>
      </c>
      <c r="C124" s="9" t="s">
        <v>8</v>
      </c>
      <c r="D124" s="19">
        <v>46272</v>
      </c>
      <c r="E124" s="20">
        <v>10417.44</v>
      </c>
      <c r="F124" s="20">
        <v>0</v>
      </c>
      <c r="G124" s="10">
        <f t="shared" si="3"/>
        <v>10417.44</v>
      </c>
      <c r="H124" s="20">
        <v>7727.28</v>
      </c>
      <c r="I124" s="21">
        <f t="shared" si="4"/>
        <v>0.34813802528185867</v>
      </c>
      <c r="J124" s="11" t="str">
        <f t="shared" si="5"/>
        <v>▲</v>
      </c>
      <c r="K124" s="9" t="s">
        <v>59</v>
      </c>
    </row>
    <row r="125" spans="1:11" x14ac:dyDescent="0.3">
      <c r="A125" s="9" t="s">
        <v>28</v>
      </c>
      <c r="B125" s="9" t="s">
        <v>43</v>
      </c>
      <c r="C125" s="9" t="s">
        <v>9</v>
      </c>
      <c r="D125" s="19">
        <v>46279</v>
      </c>
      <c r="E125" s="20">
        <v>5672</v>
      </c>
      <c r="F125" s="20">
        <v>0</v>
      </c>
      <c r="G125" s="10">
        <f t="shared" si="3"/>
        <v>5672</v>
      </c>
      <c r="H125" s="20">
        <v>10417.44</v>
      </c>
      <c r="I125" s="21">
        <f t="shared" si="4"/>
        <v>-0.45552842156998269</v>
      </c>
      <c r="J125" s="11" t="str">
        <f t="shared" si="5"/>
        <v>▼</v>
      </c>
      <c r="K125" s="9" t="s">
        <v>59</v>
      </c>
    </row>
    <row r="126" spans="1:11" x14ac:dyDescent="0.3">
      <c r="A126" s="9" t="s">
        <v>28</v>
      </c>
      <c r="B126" s="9" t="s">
        <v>43</v>
      </c>
      <c r="C126" s="9" t="s">
        <v>10</v>
      </c>
      <c r="D126" s="19">
        <v>46286</v>
      </c>
      <c r="E126" s="20">
        <v>0</v>
      </c>
      <c r="F126" s="20">
        <v>0</v>
      </c>
      <c r="G126" s="10">
        <f t="shared" si="3"/>
        <v>0</v>
      </c>
      <c r="H126" s="20">
        <v>5672</v>
      </c>
      <c r="I126" s="21">
        <f t="shared" si="4"/>
        <v>-1</v>
      </c>
      <c r="J126" s="11" t="str">
        <f t="shared" si="5"/>
        <v>▼</v>
      </c>
      <c r="K126" s="9" t="s">
        <v>59</v>
      </c>
    </row>
    <row r="127" spans="1:11" x14ac:dyDescent="0.3">
      <c r="A127" s="9" t="s">
        <v>28</v>
      </c>
      <c r="B127" s="9" t="s">
        <v>43</v>
      </c>
      <c r="C127" s="9" t="s">
        <v>11</v>
      </c>
      <c r="D127" s="19">
        <v>46293</v>
      </c>
      <c r="E127" s="20">
        <v>0</v>
      </c>
      <c r="F127" s="20">
        <v>0</v>
      </c>
      <c r="G127" s="10">
        <f t="shared" si="3"/>
        <v>0</v>
      </c>
      <c r="H127" s="20">
        <v>0</v>
      </c>
      <c r="I127" s="21" t="str">
        <f t="shared" si="4"/>
        <v/>
      </c>
      <c r="J127" s="11" t="str">
        <f t="shared" si="5"/>
        <v>=</v>
      </c>
      <c r="K127" s="9" t="s">
        <v>59</v>
      </c>
    </row>
    <row r="128" spans="1:11" x14ac:dyDescent="0.3">
      <c r="A128" s="9" t="s">
        <v>28</v>
      </c>
      <c r="B128" s="9" t="s">
        <v>43</v>
      </c>
      <c r="C128" s="9" t="s">
        <v>12</v>
      </c>
      <c r="D128" s="19">
        <v>46300</v>
      </c>
      <c r="E128" s="20">
        <v>0</v>
      </c>
      <c r="F128" s="20">
        <v>0</v>
      </c>
      <c r="G128" s="10">
        <f t="shared" si="3"/>
        <v>0</v>
      </c>
      <c r="H128" s="20">
        <v>0</v>
      </c>
      <c r="I128" s="21" t="str">
        <f t="shared" si="4"/>
        <v/>
      </c>
      <c r="J128" s="11" t="str">
        <f t="shared" si="5"/>
        <v>=</v>
      </c>
      <c r="K128" s="9" t="s">
        <v>59</v>
      </c>
    </row>
    <row r="129" spans="1:11" x14ac:dyDescent="0.3">
      <c r="A129" s="9" t="s">
        <v>28</v>
      </c>
      <c r="B129" s="9" t="s">
        <v>43</v>
      </c>
      <c r="C129" s="9" t="s">
        <v>60</v>
      </c>
      <c r="D129" s="19">
        <v>46307</v>
      </c>
      <c r="E129" s="20">
        <v>0</v>
      </c>
      <c r="F129" s="20">
        <v>0</v>
      </c>
      <c r="G129" s="10">
        <f t="shared" si="3"/>
        <v>0</v>
      </c>
      <c r="H129" s="20">
        <v>0</v>
      </c>
      <c r="I129" s="21" t="str">
        <f t="shared" si="4"/>
        <v/>
      </c>
      <c r="J129" s="11" t="str">
        <f t="shared" si="5"/>
        <v>=</v>
      </c>
      <c r="K129" s="9" t="s">
        <v>61</v>
      </c>
    </row>
    <row r="130" spans="1:11" x14ac:dyDescent="0.3">
      <c r="A130" s="9" t="s">
        <v>28</v>
      </c>
      <c r="B130" s="9" t="s">
        <v>35</v>
      </c>
      <c r="C130" s="9" t="s">
        <v>5</v>
      </c>
      <c r="D130" s="19">
        <v>46258</v>
      </c>
      <c r="E130" s="20">
        <v>524637.61</v>
      </c>
      <c r="F130" s="20">
        <v>0</v>
      </c>
      <c r="G130" s="10">
        <f t="shared" ref="G130:G193" si="6">E130+F130</f>
        <v>524637.61</v>
      </c>
      <c r="H130" s="20">
        <v>534819.24</v>
      </c>
      <c r="I130" s="21">
        <f t="shared" ref="I130:I193" si="7">IF(H130&gt;0,(G130-H130)/H130,"")</f>
        <v>-1.9037516301769558E-2</v>
      </c>
      <c r="J130" s="11" t="str">
        <f t="shared" ref="J130:J193" si="8">IF(G130&gt;H130,"▲",IF(G130&lt;H130,"▼","="))</f>
        <v>▼</v>
      </c>
      <c r="K130" s="9" t="s">
        <v>59</v>
      </c>
    </row>
    <row r="131" spans="1:11" x14ac:dyDescent="0.3">
      <c r="A131" s="9" t="s">
        <v>28</v>
      </c>
      <c r="B131" s="9" t="s">
        <v>35</v>
      </c>
      <c r="C131" s="9" t="s">
        <v>7</v>
      </c>
      <c r="D131" s="19">
        <v>46265</v>
      </c>
      <c r="E131" s="20">
        <v>462123.28</v>
      </c>
      <c r="F131" s="20">
        <v>0</v>
      </c>
      <c r="G131" s="10">
        <f t="shared" si="6"/>
        <v>462123.28</v>
      </c>
      <c r="H131" s="20">
        <v>524637.61</v>
      </c>
      <c r="I131" s="21">
        <f t="shared" si="7"/>
        <v>-0.11915716450446616</v>
      </c>
      <c r="J131" s="11" t="str">
        <f t="shared" si="8"/>
        <v>▼</v>
      </c>
      <c r="K131" s="9" t="s">
        <v>59</v>
      </c>
    </row>
    <row r="132" spans="1:11" x14ac:dyDescent="0.3">
      <c r="A132" s="9" t="s">
        <v>28</v>
      </c>
      <c r="B132" s="9" t="s">
        <v>35</v>
      </c>
      <c r="C132" s="9" t="s">
        <v>8</v>
      </c>
      <c r="D132" s="19">
        <v>46272</v>
      </c>
      <c r="E132" s="20">
        <v>456813.73</v>
      </c>
      <c r="F132" s="20">
        <v>0</v>
      </c>
      <c r="G132" s="10">
        <f t="shared" si="6"/>
        <v>456813.73</v>
      </c>
      <c r="H132" s="20">
        <v>462123.28</v>
      </c>
      <c r="I132" s="21">
        <f t="shared" si="7"/>
        <v>-1.1489466620249139E-2</v>
      </c>
      <c r="J132" s="11" t="str">
        <f t="shared" si="8"/>
        <v>▼</v>
      </c>
      <c r="K132" s="9" t="s">
        <v>59</v>
      </c>
    </row>
    <row r="133" spans="1:11" x14ac:dyDescent="0.3">
      <c r="A133" s="9" t="s">
        <v>28</v>
      </c>
      <c r="B133" s="9" t="s">
        <v>35</v>
      </c>
      <c r="C133" s="9" t="s">
        <v>9</v>
      </c>
      <c r="D133" s="19">
        <v>46279</v>
      </c>
      <c r="E133" s="20">
        <v>479469.21</v>
      </c>
      <c r="F133" s="20">
        <v>0</v>
      </c>
      <c r="G133" s="10">
        <f t="shared" si="6"/>
        <v>479469.21</v>
      </c>
      <c r="H133" s="20">
        <v>456813.73</v>
      </c>
      <c r="I133" s="21">
        <f t="shared" si="7"/>
        <v>4.9594568884783828E-2</v>
      </c>
      <c r="J133" s="11" t="str">
        <f t="shared" si="8"/>
        <v>▲</v>
      </c>
      <c r="K133" s="9" t="s">
        <v>59</v>
      </c>
    </row>
    <row r="134" spans="1:11" x14ac:dyDescent="0.3">
      <c r="A134" s="9" t="s">
        <v>28</v>
      </c>
      <c r="B134" s="9" t="s">
        <v>35</v>
      </c>
      <c r="C134" s="9" t="s">
        <v>10</v>
      </c>
      <c r="D134" s="19">
        <v>46286</v>
      </c>
      <c r="E134" s="20">
        <v>550835.24</v>
      </c>
      <c r="F134" s="20">
        <v>0</v>
      </c>
      <c r="G134" s="10">
        <f t="shared" si="6"/>
        <v>550835.24</v>
      </c>
      <c r="H134" s="20">
        <v>479469.21</v>
      </c>
      <c r="I134" s="21">
        <f t="shared" si="7"/>
        <v>0.14884382252616382</v>
      </c>
      <c r="J134" s="11" t="str">
        <f t="shared" si="8"/>
        <v>▲</v>
      </c>
      <c r="K134" s="9" t="s">
        <v>59</v>
      </c>
    </row>
    <row r="135" spans="1:11" x14ac:dyDescent="0.3">
      <c r="A135" s="9" t="s">
        <v>28</v>
      </c>
      <c r="B135" s="9" t="s">
        <v>35</v>
      </c>
      <c r="C135" s="9" t="s">
        <v>11</v>
      </c>
      <c r="D135" s="19">
        <v>46293</v>
      </c>
      <c r="E135" s="20">
        <v>499739.3</v>
      </c>
      <c r="F135" s="20">
        <v>0</v>
      </c>
      <c r="G135" s="10">
        <f t="shared" si="6"/>
        <v>499739.3</v>
      </c>
      <c r="H135" s="20">
        <v>550835.24</v>
      </c>
      <c r="I135" s="21">
        <f t="shared" si="7"/>
        <v>-9.2760840791522345E-2</v>
      </c>
      <c r="J135" s="11" t="str">
        <f t="shared" si="8"/>
        <v>▼</v>
      </c>
      <c r="K135" s="9" t="s">
        <v>59</v>
      </c>
    </row>
    <row r="136" spans="1:11" x14ac:dyDescent="0.3">
      <c r="A136" s="9" t="s">
        <v>28</v>
      </c>
      <c r="B136" s="9" t="s">
        <v>35</v>
      </c>
      <c r="C136" s="9" t="s">
        <v>12</v>
      </c>
      <c r="D136" s="19">
        <v>46300</v>
      </c>
      <c r="E136" s="20">
        <v>553212.02</v>
      </c>
      <c r="F136" s="20">
        <v>0</v>
      </c>
      <c r="G136" s="10">
        <f t="shared" si="6"/>
        <v>553212.02</v>
      </c>
      <c r="H136" s="20">
        <v>499739.3</v>
      </c>
      <c r="I136" s="21">
        <f t="shared" si="7"/>
        <v>0.10700123044155228</v>
      </c>
      <c r="J136" s="11" t="str">
        <f t="shared" si="8"/>
        <v>▲</v>
      </c>
      <c r="K136" s="9" t="s">
        <v>59</v>
      </c>
    </row>
    <row r="137" spans="1:11" x14ac:dyDescent="0.3">
      <c r="A137" s="9" t="s">
        <v>28</v>
      </c>
      <c r="B137" s="9" t="s">
        <v>35</v>
      </c>
      <c r="C137" s="9" t="s">
        <v>60</v>
      </c>
      <c r="D137" s="19">
        <v>46307</v>
      </c>
      <c r="E137" s="20">
        <v>374952.01</v>
      </c>
      <c r="F137" s="20">
        <v>174094.72</v>
      </c>
      <c r="G137" s="10">
        <f t="shared" si="6"/>
        <v>549046.73</v>
      </c>
      <c r="H137" s="20">
        <v>553212.02</v>
      </c>
      <c r="I137" s="21">
        <f t="shared" si="7"/>
        <v>-7.5292832574390504E-3</v>
      </c>
      <c r="J137" s="11" t="str">
        <f t="shared" si="8"/>
        <v>▼</v>
      </c>
      <c r="K137" s="9" t="s">
        <v>61</v>
      </c>
    </row>
    <row r="138" spans="1:11" x14ac:dyDescent="0.3">
      <c r="A138" s="9" t="s">
        <v>28</v>
      </c>
      <c r="B138" s="9" t="s">
        <v>30</v>
      </c>
      <c r="C138" s="9" t="s">
        <v>5</v>
      </c>
      <c r="D138" s="19">
        <v>46258</v>
      </c>
      <c r="E138" s="20">
        <v>3063991.34</v>
      </c>
      <c r="F138" s="20">
        <v>0</v>
      </c>
      <c r="G138" s="10">
        <f t="shared" si="6"/>
        <v>3063991.34</v>
      </c>
      <c r="H138" s="20">
        <v>2919255.58</v>
      </c>
      <c r="I138" s="21">
        <f t="shared" si="7"/>
        <v>4.9579680858227483E-2</v>
      </c>
      <c r="J138" s="11" t="str">
        <f t="shared" si="8"/>
        <v>▲</v>
      </c>
      <c r="K138" s="9" t="s">
        <v>59</v>
      </c>
    </row>
    <row r="139" spans="1:11" x14ac:dyDescent="0.3">
      <c r="A139" s="9" t="s">
        <v>28</v>
      </c>
      <c r="B139" s="9" t="s">
        <v>30</v>
      </c>
      <c r="C139" s="9" t="s">
        <v>7</v>
      </c>
      <c r="D139" s="19">
        <v>46265</v>
      </c>
      <c r="E139" s="20">
        <v>3015517.88</v>
      </c>
      <c r="F139" s="20">
        <v>0</v>
      </c>
      <c r="G139" s="10">
        <f t="shared" si="6"/>
        <v>3015517.88</v>
      </c>
      <c r="H139" s="20">
        <v>3063991.34</v>
      </c>
      <c r="I139" s="21">
        <f t="shared" si="7"/>
        <v>-1.5820364557557778E-2</v>
      </c>
      <c r="J139" s="11" t="str">
        <f t="shared" si="8"/>
        <v>▼</v>
      </c>
      <c r="K139" s="9" t="s">
        <v>59</v>
      </c>
    </row>
    <row r="140" spans="1:11" x14ac:dyDescent="0.3">
      <c r="A140" s="9" t="s">
        <v>28</v>
      </c>
      <c r="B140" s="9" t="s">
        <v>30</v>
      </c>
      <c r="C140" s="9" t="s">
        <v>8</v>
      </c>
      <c r="D140" s="19">
        <v>46272</v>
      </c>
      <c r="E140" s="20">
        <v>3406802.69</v>
      </c>
      <c r="F140" s="20">
        <v>0</v>
      </c>
      <c r="G140" s="10">
        <f t="shared" si="6"/>
        <v>3406802.69</v>
      </c>
      <c r="H140" s="20">
        <v>3015517.88</v>
      </c>
      <c r="I140" s="21">
        <f t="shared" si="7"/>
        <v>0.12975708504172426</v>
      </c>
      <c r="J140" s="11" t="str">
        <f t="shared" si="8"/>
        <v>▲</v>
      </c>
      <c r="K140" s="9" t="s">
        <v>59</v>
      </c>
    </row>
    <row r="141" spans="1:11" x14ac:dyDescent="0.3">
      <c r="A141" s="9" t="s">
        <v>28</v>
      </c>
      <c r="B141" s="9" t="s">
        <v>30</v>
      </c>
      <c r="C141" s="9" t="s">
        <v>9</v>
      </c>
      <c r="D141" s="19">
        <v>46279</v>
      </c>
      <c r="E141" s="20">
        <v>3306385.39</v>
      </c>
      <c r="F141" s="20">
        <v>0</v>
      </c>
      <c r="G141" s="10">
        <f t="shared" si="6"/>
        <v>3306385.39</v>
      </c>
      <c r="H141" s="20">
        <v>3406802.69</v>
      </c>
      <c r="I141" s="21">
        <f t="shared" si="7"/>
        <v>-2.947552562840081E-2</v>
      </c>
      <c r="J141" s="11" t="str">
        <f t="shared" si="8"/>
        <v>▼</v>
      </c>
      <c r="K141" s="9" t="s">
        <v>59</v>
      </c>
    </row>
    <row r="142" spans="1:11" x14ac:dyDescent="0.3">
      <c r="A142" s="9" t="s">
        <v>28</v>
      </c>
      <c r="B142" s="9" t="s">
        <v>30</v>
      </c>
      <c r="C142" s="9" t="s">
        <v>10</v>
      </c>
      <c r="D142" s="19">
        <v>46286</v>
      </c>
      <c r="E142" s="20">
        <v>3600451.01</v>
      </c>
      <c r="F142" s="20">
        <v>0</v>
      </c>
      <c r="G142" s="10">
        <f t="shared" si="6"/>
        <v>3600451.01</v>
      </c>
      <c r="H142" s="20">
        <v>3306385.39</v>
      </c>
      <c r="I142" s="21">
        <f t="shared" si="7"/>
        <v>8.8938700518513852E-2</v>
      </c>
      <c r="J142" s="11" t="str">
        <f t="shared" si="8"/>
        <v>▲</v>
      </c>
      <c r="K142" s="9" t="s">
        <v>59</v>
      </c>
    </row>
    <row r="143" spans="1:11" x14ac:dyDescent="0.3">
      <c r="A143" s="9" t="s">
        <v>28</v>
      </c>
      <c r="B143" s="9" t="s">
        <v>30</v>
      </c>
      <c r="C143" s="9" t="s">
        <v>11</v>
      </c>
      <c r="D143" s="19">
        <v>46293</v>
      </c>
      <c r="E143" s="20">
        <v>3258031.98</v>
      </c>
      <c r="F143" s="20">
        <v>0</v>
      </c>
      <c r="G143" s="10">
        <f t="shared" si="6"/>
        <v>3258031.98</v>
      </c>
      <c r="H143" s="20">
        <v>3600451.01</v>
      </c>
      <c r="I143" s="21">
        <f t="shared" si="7"/>
        <v>-9.510448247982127E-2</v>
      </c>
      <c r="J143" s="11" t="str">
        <f t="shared" si="8"/>
        <v>▼</v>
      </c>
      <c r="K143" s="9" t="s">
        <v>59</v>
      </c>
    </row>
    <row r="144" spans="1:11" x14ac:dyDescent="0.3">
      <c r="A144" s="9" t="s">
        <v>28</v>
      </c>
      <c r="B144" s="9" t="s">
        <v>30</v>
      </c>
      <c r="C144" s="9" t="s">
        <v>12</v>
      </c>
      <c r="D144" s="19">
        <v>46300</v>
      </c>
      <c r="E144" s="20">
        <v>3007381.38</v>
      </c>
      <c r="F144" s="20">
        <v>0</v>
      </c>
      <c r="G144" s="10">
        <f t="shared" si="6"/>
        <v>3007381.38</v>
      </c>
      <c r="H144" s="20">
        <v>3258031.98</v>
      </c>
      <c r="I144" s="21">
        <f t="shared" si="7"/>
        <v>-7.6933130656378662E-2</v>
      </c>
      <c r="J144" s="11" t="str">
        <f t="shared" si="8"/>
        <v>▼</v>
      </c>
      <c r="K144" s="9" t="s">
        <v>59</v>
      </c>
    </row>
    <row r="145" spans="1:11" x14ac:dyDescent="0.3">
      <c r="A145" s="9" t="s">
        <v>28</v>
      </c>
      <c r="B145" s="9" t="s">
        <v>30</v>
      </c>
      <c r="C145" s="9" t="s">
        <v>60</v>
      </c>
      <c r="D145" s="19">
        <v>46307</v>
      </c>
      <c r="E145" s="20">
        <v>2069521.44</v>
      </c>
      <c r="F145" s="20">
        <v>1128323.56</v>
      </c>
      <c r="G145" s="10">
        <f t="shared" si="6"/>
        <v>3197845</v>
      </c>
      <c r="H145" s="20">
        <v>3007381.38</v>
      </c>
      <c r="I145" s="21">
        <f t="shared" si="7"/>
        <v>6.3332047364075952E-2</v>
      </c>
      <c r="J145" s="11" t="str">
        <f t="shared" si="8"/>
        <v>▲</v>
      </c>
      <c r="K145" s="9" t="s">
        <v>61</v>
      </c>
    </row>
    <row r="146" spans="1:11" x14ac:dyDescent="0.3">
      <c r="A146" s="9" t="s">
        <v>28</v>
      </c>
      <c r="B146" s="9" t="s">
        <v>36</v>
      </c>
      <c r="C146" s="9" t="s">
        <v>5</v>
      </c>
      <c r="D146" s="19">
        <v>46258</v>
      </c>
      <c r="E146" s="20">
        <v>94584.33</v>
      </c>
      <c r="F146" s="20">
        <v>0</v>
      </c>
      <c r="G146" s="10">
        <f t="shared" si="6"/>
        <v>94584.33</v>
      </c>
      <c r="H146" s="20">
        <v>74972.679999999993</v>
      </c>
      <c r="I146" s="21">
        <f t="shared" si="7"/>
        <v>0.26158395298127279</v>
      </c>
      <c r="J146" s="11" t="str">
        <f t="shared" si="8"/>
        <v>▲</v>
      </c>
      <c r="K146" s="9" t="s">
        <v>59</v>
      </c>
    </row>
    <row r="147" spans="1:11" x14ac:dyDescent="0.3">
      <c r="A147" s="9" t="s">
        <v>28</v>
      </c>
      <c r="B147" s="9" t="s">
        <v>36</v>
      </c>
      <c r="C147" s="9" t="s">
        <v>7</v>
      </c>
      <c r="D147" s="19">
        <v>46265</v>
      </c>
      <c r="E147" s="20">
        <v>87776.41</v>
      </c>
      <c r="F147" s="20">
        <v>0</v>
      </c>
      <c r="G147" s="10">
        <f t="shared" si="6"/>
        <v>87776.41</v>
      </c>
      <c r="H147" s="20">
        <v>94584.33</v>
      </c>
      <c r="I147" s="21">
        <f t="shared" si="7"/>
        <v>-7.1977250354260558E-2</v>
      </c>
      <c r="J147" s="11" t="str">
        <f t="shared" si="8"/>
        <v>▼</v>
      </c>
      <c r="K147" s="9" t="s">
        <v>59</v>
      </c>
    </row>
    <row r="148" spans="1:11" x14ac:dyDescent="0.3">
      <c r="A148" s="9" t="s">
        <v>28</v>
      </c>
      <c r="B148" s="9" t="s">
        <v>36</v>
      </c>
      <c r="C148" s="9" t="s">
        <v>8</v>
      </c>
      <c r="D148" s="19">
        <v>46272</v>
      </c>
      <c r="E148" s="20">
        <v>103843</v>
      </c>
      <c r="F148" s="20">
        <v>0</v>
      </c>
      <c r="G148" s="10">
        <f t="shared" si="6"/>
        <v>103843</v>
      </c>
      <c r="H148" s="20">
        <v>87776.41</v>
      </c>
      <c r="I148" s="21">
        <f t="shared" si="7"/>
        <v>0.18303995344535048</v>
      </c>
      <c r="J148" s="11" t="str">
        <f t="shared" si="8"/>
        <v>▲</v>
      </c>
      <c r="K148" s="9" t="s">
        <v>59</v>
      </c>
    </row>
    <row r="149" spans="1:11" x14ac:dyDescent="0.3">
      <c r="A149" s="9" t="s">
        <v>28</v>
      </c>
      <c r="B149" s="9" t="s">
        <v>36</v>
      </c>
      <c r="C149" s="9" t="s">
        <v>9</v>
      </c>
      <c r="D149" s="19">
        <v>46279</v>
      </c>
      <c r="E149" s="20">
        <v>96952.82</v>
      </c>
      <c r="F149" s="20">
        <v>0</v>
      </c>
      <c r="G149" s="10">
        <f t="shared" si="6"/>
        <v>96952.82</v>
      </c>
      <c r="H149" s="20">
        <v>103843</v>
      </c>
      <c r="I149" s="21">
        <f t="shared" si="7"/>
        <v>-6.6351896613156339E-2</v>
      </c>
      <c r="J149" s="11" t="str">
        <f t="shared" si="8"/>
        <v>▼</v>
      </c>
      <c r="K149" s="9" t="s">
        <v>59</v>
      </c>
    </row>
    <row r="150" spans="1:11" x14ac:dyDescent="0.3">
      <c r="A150" s="9" t="s">
        <v>28</v>
      </c>
      <c r="B150" s="9" t="s">
        <v>36</v>
      </c>
      <c r="C150" s="9" t="s">
        <v>10</v>
      </c>
      <c r="D150" s="19">
        <v>46286</v>
      </c>
      <c r="E150" s="20">
        <v>81329.149999999994</v>
      </c>
      <c r="F150" s="20">
        <v>0</v>
      </c>
      <c r="G150" s="10">
        <f t="shared" si="6"/>
        <v>81329.149999999994</v>
      </c>
      <c r="H150" s="20">
        <v>96952.82</v>
      </c>
      <c r="I150" s="21">
        <f t="shared" si="7"/>
        <v>-0.16114714352816156</v>
      </c>
      <c r="J150" s="11" t="str">
        <f t="shared" si="8"/>
        <v>▼</v>
      </c>
      <c r="K150" s="9" t="s">
        <v>59</v>
      </c>
    </row>
    <row r="151" spans="1:11" x14ac:dyDescent="0.3">
      <c r="A151" s="9" t="s">
        <v>28</v>
      </c>
      <c r="B151" s="9" t="s">
        <v>36</v>
      </c>
      <c r="C151" s="9" t="s">
        <v>11</v>
      </c>
      <c r="D151" s="19">
        <v>46293</v>
      </c>
      <c r="E151" s="20">
        <v>83340.399999999994</v>
      </c>
      <c r="F151" s="20">
        <v>0</v>
      </c>
      <c r="G151" s="10">
        <f t="shared" si="6"/>
        <v>83340.399999999994</v>
      </c>
      <c r="H151" s="20">
        <v>81329.149999999994</v>
      </c>
      <c r="I151" s="21">
        <f t="shared" si="7"/>
        <v>2.4729755567345781E-2</v>
      </c>
      <c r="J151" s="11" t="str">
        <f t="shared" si="8"/>
        <v>▲</v>
      </c>
      <c r="K151" s="9" t="s">
        <v>59</v>
      </c>
    </row>
    <row r="152" spans="1:11" x14ac:dyDescent="0.3">
      <c r="A152" s="9" t="s">
        <v>28</v>
      </c>
      <c r="B152" s="9" t="s">
        <v>36</v>
      </c>
      <c r="C152" s="9" t="s">
        <v>12</v>
      </c>
      <c r="D152" s="19">
        <v>46300</v>
      </c>
      <c r="E152" s="20">
        <v>89906.559999999998</v>
      </c>
      <c r="F152" s="20">
        <v>0</v>
      </c>
      <c r="G152" s="10">
        <f t="shared" si="6"/>
        <v>89906.559999999998</v>
      </c>
      <c r="H152" s="20">
        <v>83340.399999999994</v>
      </c>
      <c r="I152" s="21">
        <f t="shared" si="7"/>
        <v>7.8787238842146237E-2</v>
      </c>
      <c r="J152" s="11" t="str">
        <f t="shared" si="8"/>
        <v>▲</v>
      </c>
      <c r="K152" s="9" t="s">
        <v>59</v>
      </c>
    </row>
    <row r="153" spans="1:11" x14ac:dyDescent="0.3">
      <c r="A153" s="9" t="s">
        <v>28</v>
      </c>
      <c r="B153" s="9" t="s">
        <v>36</v>
      </c>
      <c r="C153" s="9" t="s">
        <v>60</v>
      </c>
      <c r="D153" s="19">
        <v>46307</v>
      </c>
      <c r="E153" s="20">
        <v>50420.03</v>
      </c>
      <c r="F153" s="20">
        <v>32007.17</v>
      </c>
      <c r="G153" s="10">
        <f t="shared" si="6"/>
        <v>82427.199999999997</v>
      </c>
      <c r="H153" s="20">
        <v>89906.559999999998</v>
      </c>
      <c r="I153" s="21">
        <f t="shared" si="7"/>
        <v>-8.3190370090903271E-2</v>
      </c>
      <c r="J153" s="11" t="str">
        <f t="shared" si="8"/>
        <v>▼</v>
      </c>
      <c r="K153" s="9" t="s">
        <v>61</v>
      </c>
    </row>
    <row r="154" spans="1:11" x14ac:dyDescent="0.3">
      <c r="A154" s="9" t="s">
        <v>28</v>
      </c>
      <c r="B154" s="9" t="s">
        <v>34</v>
      </c>
      <c r="C154" s="9" t="s">
        <v>5</v>
      </c>
      <c r="D154" s="19">
        <v>46258</v>
      </c>
      <c r="E154" s="20">
        <v>496267.88</v>
      </c>
      <c r="F154" s="20">
        <v>0</v>
      </c>
      <c r="G154" s="10">
        <f t="shared" si="6"/>
        <v>496267.88</v>
      </c>
      <c r="H154" s="20">
        <v>512521.33</v>
      </c>
      <c r="I154" s="21">
        <f t="shared" si="7"/>
        <v>-3.1712728912180126E-2</v>
      </c>
      <c r="J154" s="11" t="str">
        <f t="shared" si="8"/>
        <v>▼</v>
      </c>
      <c r="K154" s="9" t="s">
        <v>59</v>
      </c>
    </row>
    <row r="155" spans="1:11" x14ac:dyDescent="0.3">
      <c r="A155" s="9" t="s">
        <v>28</v>
      </c>
      <c r="B155" s="9" t="s">
        <v>34</v>
      </c>
      <c r="C155" s="9" t="s">
        <v>7</v>
      </c>
      <c r="D155" s="19">
        <v>46265</v>
      </c>
      <c r="E155" s="20">
        <v>475855.98</v>
      </c>
      <c r="F155" s="20">
        <v>0</v>
      </c>
      <c r="G155" s="10">
        <f t="shared" si="6"/>
        <v>475855.98</v>
      </c>
      <c r="H155" s="20">
        <v>496267.88</v>
      </c>
      <c r="I155" s="21">
        <f t="shared" si="7"/>
        <v>-4.1130810239018538E-2</v>
      </c>
      <c r="J155" s="11" t="str">
        <f t="shared" si="8"/>
        <v>▼</v>
      </c>
      <c r="K155" s="9" t="s">
        <v>59</v>
      </c>
    </row>
    <row r="156" spans="1:11" x14ac:dyDescent="0.3">
      <c r="A156" s="9" t="s">
        <v>28</v>
      </c>
      <c r="B156" s="9" t="s">
        <v>34</v>
      </c>
      <c r="C156" s="9" t="s">
        <v>8</v>
      </c>
      <c r="D156" s="19">
        <v>46272</v>
      </c>
      <c r="E156" s="20">
        <v>581676.89</v>
      </c>
      <c r="F156" s="20">
        <v>0</v>
      </c>
      <c r="G156" s="10">
        <f t="shared" si="6"/>
        <v>581676.89</v>
      </c>
      <c r="H156" s="20">
        <v>475855.98</v>
      </c>
      <c r="I156" s="21">
        <f t="shared" si="7"/>
        <v>0.22238012013634889</v>
      </c>
      <c r="J156" s="11" t="str">
        <f t="shared" si="8"/>
        <v>▲</v>
      </c>
      <c r="K156" s="9" t="s">
        <v>59</v>
      </c>
    </row>
    <row r="157" spans="1:11" x14ac:dyDescent="0.3">
      <c r="A157" s="9" t="s">
        <v>28</v>
      </c>
      <c r="B157" s="9" t="s">
        <v>34</v>
      </c>
      <c r="C157" s="9" t="s">
        <v>9</v>
      </c>
      <c r="D157" s="19">
        <v>46279</v>
      </c>
      <c r="E157" s="20">
        <v>551254.97</v>
      </c>
      <c r="F157" s="20">
        <v>0</v>
      </c>
      <c r="G157" s="10">
        <f t="shared" si="6"/>
        <v>551254.97</v>
      </c>
      <c r="H157" s="20">
        <v>581676.89</v>
      </c>
      <c r="I157" s="21">
        <f t="shared" si="7"/>
        <v>-5.2300375901129646E-2</v>
      </c>
      <c r="J157" s="11" t="str">
        <f t="shared" si="8"/>
        <v>▼</v>
      </c>
      <c r="K157" s="9" t="s">
        <v>59</v>
      </c>
    </row>
    <row r="158" spans="1:11" x14ac:dyDescent="0.3">
      <c r="A158" s="9" t="s">
        <v>28</v>
      </c>
      <c r="B158" s="9" t="s">
        <v>34</v>
      </c>
      <c r="C158" s="9" t="s">
        <v>10</v>
      </c>
      <c r="D158" s="19">
        <v>46286</v>
      </c>
      <c r="E158" s="20">
        <v>547187.13</v>
      </c>
      <c r="F158" s="20">
        <v>0</v>
      </c>
      <c r="G158" s="10">
        <f t="shared" si="6"/>
        <v>547187.13</v>
      </c>
      <c r="H158" s="20">
        <v>551254.97</v>
      </c>
      <c r="I158" s="21">
        <f t="shared" si="7"/>
        <v>-7.3792350570553002E-3</v>
      </c>
      <c r="J158" s="11" t="str">
        <f t="shared" si="8"/>
        <v>▼</v>
      </c>
      <c r="K158" s="9" t="s">
        <v>59</v>
      </c>
    </row>
    <row r="159" spans="1:11" x14ac:dyDescent="0.3">
      <c r="A159" s="9" t="s">
        <v>28</v>
      </c>
      <c r="B159" s="9" t="s">
        <v>34</v>
      </c>
      <c r="C159" s="9" t="s">
        <v>11</v>
      </c>
      <c r="D159" s="19">
        <v>46293</v>
      </c>
      <c r="E159" s="20">
        <v>550495.21</v>
      </c>
      <c r="F159" s="20">
        <v>0</v>
      </c>
      <c r="G159" s="10">
        <f t="shared" si="6"/>
        <v>550495.21</v>
      </c>
      <c r="H159" s="20">
        <v>547187.13</v>
      </c>
      <c r="I159" s="21">
        <f t="shared" si="7"/>
        <v>6.0456100274141281E-3</v>
      </c>
      <c r="J159" s="11" t="str">
        <f t="shared" si="8"/>
        <v>▲</v>
      </c>
      <c r="K159" s="9" t="s">
        <v>59</v>
      </c>
    </row>
    <row r="160" spans="1:11" x14ac:dyDescent="0.3">
      <c r="A160" s="9" t="s">
        <v>28</v>
      </c>
      <c r="B160" s="9" t="s">
        <v>34</v>
      </c>
      <c r="C160" s="9" t="s">
        <v>12</v>
      </c>
      <c r="D160" s="19">
        <v>46300</v>
      </c>
      <c r="E160" s="20">
        <v>604093.47</v>
      </c>
      <c r="F160" s="20">
        <v>0</v>
      </c>
      <c r="G160" s="10">
        <f t="shared" si="6"/>
        <v>604093.47</v>
      </c>
      <c r="H160" s="20">
        <v>550495.21</v>
      </c>
      <c r="I160" s="21">
        <f t="shared" si="7"/>
        <v>9.7363717297376695E-2</v>
      </c>
      <c r="J160" s="11" t="str">
        <f t="shared" si="8"/>
        <v>▲</v>
      </c>
      <c r="K160" s="9" t="s">
        <v>59</v>
      </c>
    </row>
    <row r="161" spans="1:11" x14ac:dyDescent="0.3">
      <c r="A161" s="9" t="s">
        <v>28</v>
      </c>
      <c r="B161" s="9" t="s">
        <v>34</v>
      </c>
      <c r="C161" s="9" t="s">
        <v>60</v>
      </c>
      <c r="D161" s="19">
        <v>46307</v>
      </c>
      <c r="E161" s="20">
        <v>402223.62</v>
      </c>
      <c r="F161" s="20">
        <v>174706.48</v>
      </c>
      <c r="G161" s="10">
        <f t="shared" si="6"/>
        <v>576930.1</v>
      </c>
      <c r="H161" s="20">
        <v>604093.47</v>
      </c>
      <c r="I161" s="21">
        <f t="shared" si="7"/>
        <v>-4.4965508400546021E-2</v>
      </c>
      <c r="J161" s="11" t="str">
        <f t="shared" si="8"/>
        <v>▼</v>
      </c>
      <c r="K161" s="9" t="s">
        <v>61</v>
      </c>
    </row>
    <row r="162" spans="1:11" x14ac:dyDescent="0.3">
      <c r="A162" s="9" t="s">
        <v>28</v>
      </c>
      <c r="B162" s="9" t="s">
        <v>45</v>
      </c>
      <c r="C162" s="9" t="s">
        <v>5</v>
      </c>
      <c r="D162" s="19">
        <v>46258</v>
      </c>
      <c r="E162" s="20">
        <v>0</v>
      </c>
      <c r="F162" s="20">
        <v>0</v>
      </c>
      <c r="G162" s="10">
        <f t="shared" si="6"/>
        <v>0</v>
      </c>
      <c r="H162" s="20">
        <v>0</v>
      </c>
      <c r="I162" s="21" t="str">
        <f t="shared" si="7"/>
        <v/>
      </c>
      <c r="J162" s="11" t="str">
        <f t="shared" si="8"/>
        <v>=</v>
      </c>
      <c r="K162" s="9" t="s">
        <v>59</v>
      </c>
    </row>
    <row r="163" spans="1:11" x14ac:dyDescent="0.3">
      <c r="A163" s="9" t="s">
        <v>28</v>
      </c>
      <c r="B163" s="9" t="s">
        <v>45</v>
      </c>
      <c r="C163" s="9" t="s">
        <v>7</v>
      </c>
      <c r="D163" s="19">
        <v>46265</v>
      </c>
      <c r="E163" s="20">
        <v>0</v>
      </c>
      <c r="F163" s="20">
        <v>0</v>
      </c>
      <c r="G163" s="10">
        <f t="shared" si="6"/>
        <v>0</v>
      </c>
      <c r="H163" s="20">
        <v>0</v>
      </c>
      <c r="I163" s="21" t="str">
        <f t="shared" si="7"/>
        <v/>
      </c>
      <c r="J163" s="11" t="str">
        <f t="shared" si="8"/>
        <v>=</v>
      </c>
      <c r="K163" s="9" t="s">
        <v>59</v>
      </c>
    </row>
    <row r="164" spans="1:11" x14ac:dyDescent="0.3">
      <c r="A164" s="9" t="s">
        <v>28</v>
      </c>
      <c r="B164" s="9" t="s">
        <v>45</v>
      </c>
      <c r="C164" s="9" t="s">
        <v>8</v>
      </c>
      <c r="D164" s="19">
        <v>46272</v>
      </c>
      <c r="E164" s="20">
        <v>0</v>
      </c>
      <c r="F164" s="20">
        <v>0</v>
      </c>
      <c r="G164" s="10">
        <f t="shared" si="6"/>
        <v>0</v>
      </c>
      <c r="H164" s="20">
        <v>0</v>
      </c>
      <c r="I164" s="21" t="str">
        <f t="shared" si="7"/>
        <v/>
      </c>
      <c r="J164" s="11" t="str">
        <f t="shared" si="8"/>
        <v>=</v>
      </c>
      <c r="K164" s="9" t="s">
        <v>59</v>
      </c>
    </row>
    <row r="165" spans="1:11" x14ac:dyDescent="0.3">
      <c r="A165" s="9" t="s">
        <v>28</v>
      </c>
      <c r="B165" s="9" t="s">
        <v>45</v>
      </c>
      <c r="C165" s="9" t="s">
        <v>9</v>
      </c>
      <c r="D165" s="19">
        <v>46279</v>
      </c>
      <c r="E165" s="20">
        <v>0</v>
      </c>
      <c r="F165" s="20">
        <v>0</v>
      </c>
      <c r="G165" s="10">
        <f t="shared" si="6"/>
        <v>0</v>
      </c>
      <c r="H165" s="20">
        <v>0</v>
      </c>
      <c r="I165" s="21" t="str">
        <f t="shared" si="7"/>
        <v/>
      </c>
      <c r="J165" s="11" t="str">
        <f t="shared" si="8"/>
        <v>=</v>
      </c>
      <c r="K165" s="9" t="s">
        <v>59</v>
      </c>
    </row>
    <row r="166" spans="1:11" x14ac:dyDescent="0.3">
      <c r="A166" s="9" t="s">
        <v>28</v>
      </c>
      <c r="B166" s="9" t="s">
        <v>45</v>
      </c>
      <c r="C166" s="9" t="s">
        <v>10</v>
      </c>
      <c r="D166" s="19">
        <v>46286</v>
      </c>
      <c r="E166" s="20">
        <v>877.11</v>
      </c>
      <c r="F166" s="20">
        <v>0</v>
      </c>
      <c r="G166" s="10">
        <f t="shared" si="6"/>
        <v>877.11</v>
      </c>
      <c r="H166" s="20">
        <v>0</v>
      </c>
      <c r="I166" s="21" t="str">
        <f t="shared" si="7"/>
        <v/>
      </c>
      <c r="J166" s="11" t="str">
        <f t="shared" si="8"/>
        <v>▲</v>
      </c>
      <c r="K166" s="9" t="s">
        <v>59</v>
      </c>
    </row>
    <row r="167" spans="1:11" x14ac:dyDescent="0.3">
      <c r="A167" s="9" t="s">
        <v>28</v>
      </c>
      <c r="B167" s="9" t="s">
        <v>45</v>
      </c>
      <c r="C167" s="9" t="s">
        <v>11</v>
      </c>
      <c r="D167" s="19">
        <v>46293</v>
      </c>
      <c r="E167" s="20">
        <v>0</v>
      </c>
      <c r="F167" s="20">
        <v>0</v>
      </c>
      <c r="G167" s="10">
        <f t="shared" si="6"/>
        <v>0</v>
      </c>
      <c r="H167" s="20">
        <v>877.11</v>
      </c>
      <c r="I167" s="21">
        <f t="shared" si="7"/>
        <v>-1</v>
      </c>
      <c r="J167" s="11" t="str">
        <f t="shared" si="8"/>
        <v>▼</v>
      </c>
      <c r="K167" s="9" t="s">
        <v>59</v>
      </c>
    </row>
    <row r="168" spans="1:11" x14ac:dyDescent="0.3">
      <c r="A168" s="9" t="s">
        <v>28</v>
      </c>
      <c r="B168" s="9" t="s">
        <v>45</v>
      </c>
      <c r="C168" s="9" t="s">
        <v>12</v>
      </c>
      <c r="D168" s="19">
        <v>46300</v>
      </c>
      <c r="E168" s="20">
        <v>0</v>
      </c>
      <c r="F168" s="20">
        <v>0</v>
      </c>
      <c r="G168" s="10">
        <f t="shared" si="6"/>
        <v>0</v>
      </c>
      <c r="H168" s="20">
        <v>0</v>
      </c>
      <c r="I168" s="21" t="str">
        <f t="shared" si="7"/>
        <v/>
      </c>
      <c r="J168" s="11" t="str">
        <f t="shared" si="8"/>
        <v>=</v>
      </c>
      <c r="K168" s="9" t="s">
        <v>59</v>
      </c>
    </row>
    <row r="169" spans="1:11" x14ac:dyDescent="0.3">
      <c r="A169" s="9" t="s">
        <v>28</v>
      </c>
      <c r="B169" s="9" t="s">
        <v>45</v>
      </c>
      <c r="C169" s="9" t="s">
        <v>60</v>
      </c>
      <c r="D169" s="19">
        <v>46307</v>
      </c>
      <c r="E169" s="20">
        <v>0</v>
      </c>
      <c r="F169" s="20">
        <v>219.28</v>
      </c>
      <c r="G169" s="10">
        <f t="shared" si="6"/>
        <v>219.28</v>
      </c>
      <c r="H169" s="20">
        <v>0</v>
      </c>
      <c r="I169" s="21" t="str">
        <f t="shared" si="7"/>
        <v/>
      </c>
      <c r="J169" s="11" t="str">
        <f t="shared" si="8"/>
        <v>▲</v>
      </c>
      <c r="K169" s="9" t="s">
        <v>61</v>
      </c>
    </row>
    <row r="170" spans="1:11" x14ac:dyDescent="0.3">
      <c r="A170" s="9" t="s">
        <v>28</v>
      </c>
      <c r="B170" s="9" t="s">
        <v>42</v>
      </c>
      <c r="C170" s="9" t="s">
        <v>5</v>
      </c>
      <c r="D170" s="19">
        <v>46258</v>
      </c>
      <c r="E170" s="20">
        <v>9432.58</v>
      </c>
      <c r="F170" s="20">
        <v>0</v>
      </c>
      <c r="G170" s="10">
        <f t="shared" si="6"/>
        <v>9432.58</v>
      </c>
      <c r="H170" s="20">
        <v>9293.36</v>
      </c>
      <c r="I170" s="21">
        <f t="shared" si="7"/>
        <v>1.498058829099479E-2</v>
      </c>
      <c r="J170" s="11" t="str">
        <f t="shared" si="8"/>
        <v>▲</v>
      </c>
      <c r="K170" s="9" t="s">
        <v>59</v>
      </c>
    </row>
    <row r="171" spans="1:11" x14ac:dyDescent="0.3">
      <c r="A171" s="9" t="s">
        <v>28</v>
      </c>
      <c r="B171" s="9" t="s">
        <v>42</v>
      </c>
      <c r="C171" s="9" t="s">
        <v>7</v>
      </c>
      <c r="D171" s="19">
        <v>46265</v>
      </c>
      <c r="E171" s="20">
        <v>8103.03</v>
      </c>
      <c r="F171" s="20">
        <v>0</v>
      </c>
      <c r="G171" s="10">
        <f t="shared" si="6"/>
        <v>8103.03</v>
      </c>
      <c r="H171" s="20">
        <v>9432.58</v>
      </c>
      <c r="I171" s="21">
        <f t="shared" si="7"/>
        <v>-0.14095295242658956</v>
      </c>
      <c r="J171" s="11" t="str">
        <f t="shared" si="8"/>
        <v>▼</v>
      </c>
      <c r="K171" s="9" t="s">
        <v>59</v>
      </c>
    </row>
    <row r="172" spans="1:11" x14ac:dyDescent="0.3">
      <c r="A172" s="9" t="s">
        <v>28</v>
      </c>
      <c r="B172" s="9" t="s">
        <v>42</v>
      </c>
      <c r="C172" s="9" t="s">
        <v>8</v>
      </c>
      <c r="D172" s="19">
        <v>46272</v>
      </c>
      <c r="E172" s="20">
        <v>13839.04</v>
      </c>
      <c r="F172" s="20">
        <v>0</v>
      </c>
      <c r="G172" s="10">
        <f t="shared" si="6"/>
        <v>13839.04</v>
      </c>
      <c r="H172" s="20">
        <v>8103.03</v>
      </c>
      <c r="I172" s="21">
        <f t="shared" si="7"/>
        <v>0.70788458144669353</v>
      </c>
      <c r="J172" s="11" t="str">
        <f t="shared" si="8"/>
        <v>▲</v>
      </c>
      <c r="K172" s="9" t="s">
        <v>59</v>
      </c>
    </row>
    <row r="173" spans="1:11" x14ac:dyDescent="0.3">
      <c r="A173" s="9" t="s">
        <v>28</v>
      </c>
      <c r="B173" s="9" t="s">
        <v>42</v>
      </c>
      <c r="C173" s="9" t="s">
        <v>9</v>
      </c>
      <c r="D173" s="19">
        <v>46279</v>
      </c>
      <c r="E173" s="20">
        <v>9015.98</v>
      </c>
      <c r="F173" s="20">
        <v>0</v>
      </c>
      <c r="G173" s="10">
        <f t="shared" si="6"/>
        <v>9015.98</v>
      </c>
      <c r="H173" s="20">
        <v>13839.04</v>
      </c>
      <c r="I173" s="21">
        <f t="shared" si="7"/>
        <v>-0.34851116840474489</v>
      </c>
      <c r="J173" s="11" t="str">
        <f t="shared" si="8"/>
        <v>▼</v>
      </c>
      <c r="K173" s="9" t="s">
        <v>59</v>
      </c>
    </row>
    <row r="174" spans="1:11" x14ac:dyDescent="0.3">
      <c r="A174" s="9" t="s">
        <v>28</v>
      </c>
      <c r="B174" s="9" t="s">
        <v>42</v>
      </c>
      <c r="C174" s="9" t="s">
        <v>10</v>
      </c>
      <c r="D174" s="19">
        <v>46286</v>
      </c>
      <c r="E174" s="20">
        <v>13371.54</v>
      </c>
      <c r="F174" s="20">
        <v>0</v>
      </c>
      <c r="G174" s="10">
        <f t="shared" si="6"/>
        <v>13371.54</v>
      </c>
      <c r="H174" s="20">
        <v>9015.98</v>
      </c>
      <c r="I174" s="21">
        <f t="shared" si="7"/>
        <v>0.48309335202606946</v>
      </c>
      <c r="J174" s="11" t="str">
        <f t="shared" si="8"/>
        <v>▲</v>
      </c>
      <c r="K174" s="9" t="s">
        <v>59</v>
      </c>
    </row>
    <row r="175" spans="1:11" x14ac:dyDescent="0.3">
      <c r="A175" s="9" t="s">
        <v>28</v>
      </c>
      <c r="B175" s="9" t="s">
        <v>42</v>
      </c>
      <c r="C175" s="9" t="s">
        <v>11</v>
      </c>
      <c r="D175" s="19">
        <v>46293</v>
      </c>
      <c r="E175" s="20">
        <v>17933.18</v>
      </c>
      <c r="F175" s="20">
        <v>0</v>
      </c>
      <c r="G175" s="10">
        <f t="shared" si="6"/>
        <v>17933.18</v>
      </c>
      <c r="H175" s="20">
        <v>13371.54</v>
      </c>
      <c r="I175" s="21">
        <f t="shared" si="7"/>
        <v>0.34114544771955951</v>
      </c>
      <c r="J175" s="11" t="str">
        <f t="shared" si="8"/>
        <v>▲</v>
      </c>
      <c r="K175" s="9" t="s">
        <v>59</v>
      </c>
    </row>
    <row r="176" spans="1:11" x14ac:dyDescent="0.3">
      <c r="A176" s="9" t="s">
        <v>28</v>
      </c>
      <c r="B176" s="9" t="s">
        <v>42</v>
      </c>
      <c r="C176" s="9" t="s">
        <v>12</v>
      </c>
      <c r="D176" s="19">
        <v>46300</v>
      </c>
      <c r="E176" s="20">
        <v>10972.08</v>
      </c>
      <c r="F176" s="20">
        <v>0</v>
      </c>
      <c r="G176" s="10">
        <f t="shared" si="6"/>
        <v>10972.08</v>
      </c>
      <c r="H176" s="20">
        <v>17933.18</v>
      </c>
      <c r="I176" s="21">
        <f t="shared" si="7"/>
        <v>-0.38816874642422594</v>
      </c>
      <c r="J176" s="11" t="str">
        <f t="shared" si="8"/>
        <v>▼</v>
      </c>
      <c r="K176" s="9" t="s">
        <v>59</v>
      </c>
    </row>
    <row r="177" spans="1:11" x14ac:dyDescent="0.3">
      <c r="A177" s="9" t="s">
        <v>28</v>
      </c>
      <c r="B177" s="9" t="s">
        <v>42</v>
      </c>
      <c r="C177" s="9" t="s">
        <v>60</v>
      </c>
      <c r="D177" s="19">
        <v>46307</v>
      </c>
      <c r="E177" s="20">
        <v>11562.93</v>
      </c>
      <c r="F177" s="20">
        <v>4763.12</v>
      </c>
      <c r="G177" s="10">
        <f t="shared" si="6"/>
        <v>16326.05</v>
      </c>
      <c r="H177" s="20">
        <v>10972.08</v>
      </c>
      <c r="I177" s="21">
        <f t="shared" si="7"/>
        <v>0.48796308448352538</v>
      </c>
      <c r="J177" s="11" t="str">
        <f t="shared" si="8"/>
        <v>▲</v>
      </c>
      <c r="K177" s="9" t="s">
        <v>61</v>
      </c>
    </row>
    <row r="178" spans="1:11" x14ac:dyDescent="0.3">
      <c r="A178" s="9" t="s">
        <v>28</v>
      </c>
      <c r="B178" s="9" t="s">
        <v>40</v>
      </c>
      <c r="C178" s="9" t="s">
        <v>5</v>
      </c>
      <c r="D178" s="19">
        <v>46258</v>
      </c>
      <c r="E178" s="20">
        <v>33050</v>
      </c>
      <c r="F178" s="20">
        <v>0</v>
      </c>
      <c r="G178" s="10">
        <f t="shared" si="6"/>
        <v>33050</v>
      </c>
      <c r="H178" s="20">
        <v>28995.31</v>
      </c>
      <c r="I178" s="21">
        <f t="shared" si="7"/>
        <v>0.13983951197624714</v>
      </c>
      <c r="J178" s="11" t="str">
        <f t="shared" si="8"/>
        <v>▲</v>
      </c>
      <c r="K178" s="9" t="s">
        <v>59</v>
      </c>
    </row>
    <row r="179" spans="1:11" x14ac:dyDescent="0.3">
      <c r="A179" s="9" t="s">
        <v>28</v>
      </c>
      <c r="B179" s="9" t="s">
        <v>40</v>
      </c>
      <c r="C179" s="9" t="s">
        <v>7</v>
      </c>
      <c r="D179" s="19">
        <v>46265</v>
      </c>
      <c r="E179" s="20">
        <v>29826.880000000001</v>
      </c>
      <c r="F179" s="20">
        <v>0</v>
      </c>
      <c r="G179" s="10">
        <f t="shared" si="6"/>
        <v>29826.880000000001</v>
      </c>
      <c r="H179" s="20">
        <v>33050</v>
      </c>
      <c r="I179" s="21">
        <f t="shared" si="7"/>
        <v>-9.752254160363083E-2</v>
      </c>
      <c r="J179" s="11" t="str">
        <f t="shared" si="8"/>
        <v>▼</v>
      </c>
      <c r="K179" s="9" t="s">
        <v>59</v>
      </c>
    </row>
    <row r="180" spans="1:11" x14ac:dyDescent="0.3">
      <c r="A180" s="9" t="s">
        <v>28</v>
      </c>
      <c r="B180" s="9" t="s">
        <v>40</v>
      </c>
      <c r="C180" s="9" t="s">
        <v>8</v>
      </c>
      <c r="D180" s="19">
        <v>46272</v>
      </c>
      <c r="E180" s="20">
        <v>29905.22</v>
      </c>
      <c r="F180" s="20">
        <v>0</v>
      </c>
      <c r="G180" s="10">
        <f t="shared" si="6"/>
        <v>29905.22</v>
      </c>
      <c r="H180" s="20">
        <v>29826.880000000001</v>
      </c>
      <c r="I180" s="21">
        <f t="shared" si="7"/>
        <v>2.6264899312298216E-3</v>
      </c>
      <c r="J180" s="11" t="str">
        <f t="shared" si="8"/>
        <v>▲</v>
      </c>
      <c r="K180" s="9" t="s">
        <v>59</v>
      </c>
    </row>
    <row r="181" spans="1:11" x14ac:dyDescent="0.3">
      <c r="A181" s="9" t="s">
        <v>28</v>
      </c>
      <c r="B181" s="9" t="s">
        <v>40</v>
      </c>
      <c r="C181" s="9" t="s">
        <v>9</v>
      </c>
      <c r="D181" s="19">
        <v>46279</v>
      </c>
      <c r="E181" s="20">
        <v>21878.959999999999</v>
      </c>
      <c r="F181" s="20">
        <v>0</v>
      </c>
      <c r="G181" s="10">
        <f t="shared" si="6"/>
        <v>21878.959999999999</v>
      </c>
      <c r="H181" s="20">
        <v>29905.22</v>
      </c>
      <c r="I181" s="21">
        <f t="shared" si="7"/>
        <v>-0.26838993326248733</v>
      </c>
      <c r="J181" s="11" t="str">
        <f t="shared" si="8"/>
        <v>▼</v>
      </c>
      <c r="K181" s="9" t="s">
        <v>59</v>
      </c>
    </row>
    <row r="182" spans="1:11" x14ac:dyDescent="0.3">
      <c r="A182" s="9" t="s">
        <v>28</v>
      </c>
      <c r="B182" s="9" t="s">
        <v>40</v>
      </c>
      <c r="C182" s="9" t="s">
        <v>10</v>
      </c>
      <c r="D182" s="19">
        <v>46286</v>
      </c>
      <c r="E182" s="20">
        <v>11718.4</v>
      </c>
      <c r="F182" s="20">
        <v>0</v>
      </c>
      <c r="G182" s="10">
        <f t="shared" si="6"/>
        <v>11718.4</v>
      </c>
      <c r="H182" s="20">
        <v>21878.959999999999</v>
      </c>
      <c r="I182" s="21">
        <f t="shared" si="7"/>
        <v>-0.46439867342871871</v>
      </c>
      <c r="J182" s="11" t="str">
        <f t="shared" si="8"/>
        <v>▼</v>
      </c>
      <c r="K182" s="9" t="s">
        <v>59</v>
      </c>
    </row>
    <row r="183" spans="1:11" x14ac:dyDescent="0.3">
      <c r="A183" s="9" t="s">
        <v>28</v>
      </c>
      <c r="B183" s="9" t="s">
        <v>40</v>
      </c>
      <c r="C183" s="9" t="s">
        <v>11</v>
      </c>
      <c r="D183" s="19">
        <v>46293</v>
      </c>
      <c r="E183" s="20">
        <v>33430.1</v>
      </c>
      <c r="F183" s="20">
        <v>0</v>
      </c>
      <c r="G183" s="10">
        <f t="shared" si="6"/>
        <v>33430.1</v>
      </c>
      <c r="H183" s="20">
        <v>11718.4</v>
      </c>
      <c r="I183" s="21">
        <f t="shared" si="7"/>
        <v>1.8527870699071545</v>
      </c>
      <c r="J183" s="11" t="str">
        <f t="shared" si="8"/>
        <v>▲</v>
      </c>
      <c r="K183" s="9" t="s">
        <v>59</v>
      </c>
    </row>
    <row r="184" spans="1:11" x14ac:dyDescent="0.3">
      <c r="A184" s="9" t="s">
        <v>28</v>
      </c>
      <c r="B184" s="9" t="s">
        <v>40</v>
      </c>
      <c r="C184" s="9" t="s">
        <v>12</v>
      </c>
      <c r="D184" s="19">
        <v>46300</v>
      </c>
      <c r="E184" s="20">
        <v>29630.42</v>
      </c>
      <c r="F184" s="20">
        <v>0</v>
      </c>
      <c r="G184" s="10">
        <f t="shared" si="6"/>
        <v>29630.42</v>
      </c>
      <c r="H184" s="20">
        <v>33430.1</v>
      </c>
      <c r="I184" s="21">
        <f t="shared" si="7"/>
        <v>-0.11366044373184646</v>
      </c>
      <c r="J184" s="11" t="str">
        <f t="shared" si="8"/>
        <v>▼</v>
      </c>
      <c r="K184" s="9" t="s">
        <v>59</v>
      </c>
    </row>
    <row r="185" spans="1:11" x14ac:dyDescent="0.3">
      <c r="A185" s="9" t="s">
        <v>28</v>
      </c>
      <c r="B185" s="9" t="s">
        <v>40</v>
      </c>
      <c r="C185" s="9" t="s">
        <v>60</v>
      </c>
      <c r="D185" s="19">
        <v>46307</v>
      </c>
      <c r="E185" s="20">
        <v>15713.37</v>
      </c>
      <c r="F185" s="20">
        <v>11477.18</v>
      </c>
      <c r="G185" s="10">
        <f t="shared" si="6"/>
        <v>27190.550000000003</v>
      </c>
      <c r="H185" s="20">
        <v>29630.42</v>
      </c>
      <c r="I185" s="21">
        <f t="shared" si="7"/>
        <v>-8.2343415989378332E-2</v>
      </c>
      <c r="J185" s="11" t="str">
        <f t="shared" si="8"/>
        <v>▼</v>
      </c>
      <c r="K185" s="9" t="s">
        <v>61</v>
      </c>
    </row>
    <row r="186" spans="1:11" x14ac:dyDescent="0.3">
      <c r="A186" s="9" t="s">
        <v>28</v>
      </c>
      <c r="B186" s="9" t="s">
        <v>44</v>
      </c>
      <c r="C186" s="9" t="s">
        <v>5</v>
      </c>
      <c r="D186" s="19">
        <v>46258</v>
      </c>
      <c r="E186" s="20">
        <v>2253.5500000000002</v>
      </c>
      <c r="F186" s="20">
        <v>0</v>
      </c>
      <c r="G186" s="10">
        <f t="shared" si="6"/>
        <v>2253.5500000000002</v>
      </c>
      <c r="H186" s="20">
        <v>1430.85</v>
      </c>
      <c r="I186" s="21">
        <f t="shared" si="7"/>
        <v>0.57497291819547847</v>
      </c>
      <c r="J186" s="11" t="str">
        <f t="shared" si="8"/>
        <v>▲</v>
      </c>
      <c r="K186" s="9" t="s">
        <v>59</v>
      </c>
    </row>
    <row r="187" spans="1:11" x14ac:dyDescent="0.3">
      <c r="A187" s="9" t="s">
        <v>28</v>
      </c>
      <c r="B187" s="9" t="s">
        <v>44</v>
      </c>
      <c r="C187" s="9" t="s">
        <v>7</v>
      </c>
      <c r="D187" s="19">
        <v>46265</v>
      </c>
      <c r="E187" s="20">
        <v>766.48</v>
      </c>
      <c r="F187" s="20">
        <v>0</v>
      </c>
      <c r="G187" s="10">
        <f t="shared" si="6"/>
        <v>766.48</v>
      </c>
      <c r="H187" s="20">
        <v>2253.5500000000002</v>
      </c>
      <c r="I187" s="21">
        <f t="shared" si="7"/>
        <v>-0.6598788578021344</v>
      </c>
      <c r="J187" s="11" t="str">
        <f t="shared" si="8"/>
        <v>▼</v>
      </c>
      <c r="K187" s="9" t="s">
        <v>59</v>
      </c>
    </row>
    <row r="188" spans="1:11" x14ac:dyDescent="0.3">
      <c r="A188" s="9" t="s">
        <v>28</v>
      </c>
      <c r="B188" s="9" t="s">
        <v>44</v>
      </c>
      <c r="C188" s="9" t="s">
        <v>8</v>
      </c>
      <c r="D188" s="19">
        <v>46272</v>
      </c>
      <c r="E188" s="20">
        <v>1502.31</v>
      </c>
      <c r="F188" s="20">
        <v>0</v>
      </c>
      <c r="G188" s="10">
        <f t="shared" si="6"/>
        <v>1502.31</v>
      </c>
      <c r="H188" s="20">
        <v>766.48</v>
      </c>
      <c r="I188" s="21">
        <f t="shared" si="7"/>
        <v>0.96001200292245059</v>
      </c>
      <c r="J188" s="11" t="str">
        <f t="shared" si="8"/>
        <v>▲</v>
      </c>
      <c r="K188" s="9" t="s">
        <v>59</v>
      </c>
    </row>
    <row r="189" spans="1:11" x14ac:dyDescent="0.3">
      <c r="A189" s="9" t="s">
        <v>28</v>
      </c>
      <c r="B189" s="9" t="s">
        <v>44</v>
      </c>
      <c r="C189" s="9" t="s">
        <v>9</v>
      </c>
      <c r="D189" s="19">
        <v>46279</v>
      </c>
      <c r="E189" s="20">
        <v>13081.04</v>
      </c>
      <c r="F189" s="20">
        <v>0</v>
      </c>
      <c r="G189" s="10">
        <f t="shared" si="6"/>
        <v>13081.04</v>
      </c>
      <c r="H189" s="20">
        <v>1502.31</v>
      </c>
      <c r="I189" s="21">
        <f t="shared" si="7"/>
        <v>7.7072841157950105</v>
      </c>
      <c r="J189" s="11" t="str">
        <f t="shared" si="8"/>
        <v>▲</v>
      </c>
      <c r="K189" s="9" t="s">
        <v>59</v>
      </c>
    </row>
    <row r="190" spans="1:11" x14ac:dyDescent="0.3">
      <c r="A190" s="9" t="s">
        <v>28</v>
      </c>
      <c r="B190" s="9" t="s">
        <v>44</v>
      </c>
      <c r="C190" s="9" t="s">
        <v>10</v>
      </c>
      <c r="D190" s="19">
        <v>46286</v>
      </c>
      <c r="E190" s="20">
        <v>7548.36</v>
      </c>
      <c r="F190" s="20">
        <v>0</v>
      </c>
      <c r="G190" s="10">
        <f t="shared" si="6"/>
        <v>7548.36</v>
      </c>
      <c r="H190" s="20">
        <v>13081.04</v>
      </c>
      <c r="I190" s="21">
        <f t="shared" si="7"/>
        <v>-0.4229541382030787</v>
      </c>
      <c r="J190" s="11" t="str">
        <f t="shared" si="8"/>
        <v>▼</v>
      </c>
      <c r="K190" s="9" t="s">
        <v>59</v>
      </c>
    </row>
    <row r="191" spans="1:11" x14ac:dyDescent="0.3">
      <c r="A191" s="9" t="s">
        <v>28</v>
      </c>
      <c r="B191" s="9" t="s">
        <v>44</v>
      </c>
      <c r="C191" s="9" t="s">
        <v>11</v>
      </c>
      <c r="D191" s="19">
        <v>46293</v>
      </c>
      <c r="E191" s="20">
        <v>2279.6</v>
      </c>
      <c r="F191" s="20">
        <v>0</v>
      </c>
      <c r="G191" s="10">
        <f t="shared" si="6"/>
        <v>2279.6</v>
      </c>
      <c r="H191" s="20">
        <v>7548.36</v>
      </c>
      <c r="I191" s="21">
        <f t="shared" si="7"/>
        <v>-0.69800062530139007</v>
      </c>
      <c r="J191" s="11" t="str">
        <f t="shared" si="8"/>
        <v>▼</v>
      </c>
      <c r="K191" s="9" t="s">
        <v>59</v>
      </c>
    </row>
    <row r="192" spans="1:11" x14ac:dyDescent="0.3">
      <c r="A192" s="9" t="s">
        <v>28</v>
      </c>
      <c r="B192" s="9" t="s">
        <v>44</v>
      </c>
      <c r="C192" s="9" t="s">
        <v>12</v>
      </c>
      <c r="D192" s="19">
        <v>46300</v>
      </c>
      <c r="E192" s="20">
        <v>0</v>
      </c>
      <c r="F192" s="20">
        <v>0</v>
      </c>
      <c r="G192" s="10">
        <f t="shared" si="6"/>
        <v>0</v>
      </c>
      <c r="H192" s="20">
        <v>2279.6</v>
      </c>
      <c r="I192" s="21">
        <f t="shared" si="7"/>
        <v>-1</v>
      </c>
      <c r="J192" s="11" t="str">
        <f t="shared" si="8"/>
        <v>▼</v>
      </c>
      <c r="K192" s="9" t="s">
        <v>59</v>
      </c>
    </row>
    <row r="193" spans="1:11" x14ac:dyDescent="0.3">
      <c r="A193" s="9" t="s">
        <v>28</v>
      </c>
      <c r="B193" s="9" t="s">
        <v>44</v>
      </c>
      <c r="C193" s="9" t="s">
        <v>60</v>
      </c>
      <c r="D193" s="19">
        <v>46307</v>
      </c>
      <c r="E193" s="20">
        <v>481.72</v>
      </c>
      <c r="F193" s="20">
        <v>1474.86</v>
      </c>
      <c r="G193" s="10">
        <f t="shared" si="6"/>
        <v>1956.58</v>
      </c>
      <c r="H193" s="20">
        <v>0</v>
      </c>
      <c r="I193" s="21" t="str">
        <f t="shared" si="7"/>
        <v/>
      </c>
      <c r="J193" s="11" t="str">
        <f t="shared" si="8"/>
        <v>▲</v>
      </c>
      <c r="K193" s="9" t="s">
        <v>61</v>
      </c>
    </row>
    <row r="194" spans="1:11" x14ac:dyDescent="0.3">
      <c r="A194" s="9" t="s">
        <v>28</v>
      </c>
      <c r="B194" s="9" t="s">
        <v>29</v>
      </c>
      <c r="C194" s="9" t="s">
        <v>5</v>
      </c>
      <c r="D194" s="19">
        <v>46258</v>
      </c>
      <c r="E194" s="20">
        <v>3629995.12</v>
      </c>
      <c r="F194" s="20">
        <v>0</v>
      </c>
      <c r="G194" s="10">
        <f t="shared" ref="G194:G257" si="9">E194+F194</f>
        <v>3629995.12</v>
      </c>
      <c r="H194" s="20">
        <v>3682977.19</v>
      </c>
      <c r="I194" s="21">
        <f t="shared" ref="I194:I257" si="10">IF(H194&gt;0,(G194-H194)/H194,"")</f>
        <v>-1.4385663355140093E-2</v>
      </c>
      <c r="J194" s="11" t="str">
        <f t="shared" ref="J194:J217" si="11">IF(G194&gt;H194,"▲",IF(G194&lt;H194,"▼","="))</f>
        <v>▼</v>
      </c>
      <c r="K194" s="9" t="s">
        <v>59</v>
      </c>
    </row>
    <row r="195" spans="1:11" x14ac:dyDescent="0.3">
      <c r="A195" s="9" t="s">
        <v>28</v>
      </c>
      <c r="B195" s="9" t="s">
        <v>29</v>
      </c>
      <c r="C195" s="9" t="s">
        <v>7</v>
      </c>
      <c r="D195" s="19">
        <v>46265</v>
      </c>
      <c r="E195" s="20">
        <v>4053951.75</v>
      </c>
      <c r="F195" s="20">
        <v>0</v>
      </c>
      <c r="G195" s="10">
        <f t="shared" si="9"/>
        <v>4053951.75</v>
      </c>
      <c r="H195" s="20">
        <v>3629995.12</v>
      </c>
      <c r="I195" s="21">
        <f t="shared" si="10"/>
        <v>0.1167926170655568</v>
      </c>
      <c r="J195" s="11" t="str">
        <f t="shared" si="11"/>
        <v>▲</v>
      </c>
      <c r="K195" s="9" t="s">
        <v>59</v>
      </c>
    </row>
    <row r="196" spans="1:11" x14ac:dyDescent="0.3">
      <c r="A196" s="9" t="s">
        <v>28</v>
      </c>
      <c r="B196" s="9" t="s">
        <v>29</v>
      </c>
      <c r="C196" s="9" t="s">
        <v>8</v>
      </c>
      <c r="D196" s="19">
        <v>46272</v>
      </c>
      <c r="E196" s="20">
        <v>4639612.3499999996</v>
      </c>
      <c r="F196" s="20">
        <v>0</v>
      </c>
      <c r="G196" s="10">
        <f t="shared" si="9"/>
        <v>4639612.3499999996</v>
      </c>
      <c r="H196" s="20">
        <v>4053951.75</v>
      </c>
      <c r="I196" s="21">
        <f t="shared" si="10"/>
        <v>0.14446659361448977</v>
      </c>
      <c r="J196" s="11" t="str">
        <f t="shared" si="11"/>
        <v>▲</v>
      </c>
      <c r="K196" s="9" t="s">
        <v>59</v>
      </c>
    </row>
    <row r="197" spans="1:11" x14ac:dyDescent="0.3">
      <c r="A197" s="9" t="s">
        <v>28</v>
      </c>
      <c r="B197" s="9" t="s">
        <v>29</v>
      </c>
      <c r="C197" s="9" t="s">
        <v>9</v>
      </c>
      <c r="D197" s="19">
        <v>46279</v>
      </c>
      <c r="E197" s="20">
        <v>3674509.32</v>
      </c>
      <c r="F197" s="20">
        <v>0</v>
      </c>
      <c r="G197" s="10">
        <f t="shared" si="9"/>
        <v>3674509.32</v>
      </c>
      <c r="H197" s="20">
        <v>4639612.3499999996</v>
      </c>
      <c r="I197" s="21">
        <f t="shared" si="10"/>
        <v>-0.2080137212325508</v>
      </c>
      <c r="J197" s="11" t="str">
        <f t="shared" si="11"/>
        <v>▼</v>
      </c>
      <c r="K197" s="9" t="s">
        <v>59</v>
      </c>
    </row>
    <row r="198" spans="1:11" x14ac:dyDescent="0.3">
      <c r="A198" s="9" t="s">
        <v>28</v>
      </c>
      <c r="B198" s="9" t="s">
        <v>29</v>
      </c>
      <c r="C198" s="9" t="s">
        <v>10</v>
      </c>
      <c r="D198" s="19">
        <v>46286</v>
      </c>
      <c r="E198" s="20">
        <v>3868852.55</v>
      </c>
      <c r="F198" s="20">
        <v>0</v>
      </c>
      <c r="G198" s="10">
        <f t="shared" si="9"/>
        <v>3868852.55</v>
      </c>
      <c r="H198" s="20">
        <v>3674509.32</v>
      </c>
      <c r="I198" s="21">
        <f t="shared" si="10"/>
        <v>5.2889573294101752E-2</v>
      </c>
      <c r="J198" s="11" t="str">
        <f t="shared" si="11"/>
        <v>▲</v>
      </c>
      <c r="K198" s="9" t="s">
        <v>59</v>
      </c>
    </row>
    <row r="199" spans="1:11" x14ac:dyDescent="0.3">
      <c r="A199" s="9" t="s">
        <v>28</v>
      </c>
      <c r="B199" s="9" t="s">
        <v>29</v>
      </c>
      <c r="C199" s="9" t="s">
        <v>11</v>
      </c>
      <c r="D199" s="19">
        <v>46293</v>
      </c>
      <c r="E199" s="20">
        <v>3463006.27</v>
      </c>
      <c r="F199" s="20">
        <v>0</v>
      </c>
      <c r="G199" s="10">
        <f t="shared" si="9"/>
        <v>3463006.27</v>
      </c>
      <c r="H199" s="20">
        <v>3868852.55</v>
      </c>
      <c r="I199" s="21">
        <f t="shared" si="10"/>
        <v>-0.10490094278728711</v>
      </c>
      <c r="J199" s="11" t="str">
        <f t="shared" si="11"/>
        <v>▼</v>
      </c>
      <c r="K199" s="9" t="s">
        <v>59</v>
      </c>
    </row>
    <row r="200" spans="1:11" x14ac:dyDescent="0.3">
      <c r="A200" s="9" t="s">
        <v>28</v>
      </c>
      <c r="B200" s="9" t="s">
        <v>29</v>
      </c>
      <c r="C200" s="9" t="s">
        <v>12</v>
      </c>
      <c r="D200" s="19">
        <v>46300</v>
      </c>
      <c r="E200" s="20">
        <v>3489262.57</v>
      </c>
      <c r="F200" s="20">
        <v>0</v>
      </c>
      <c r="G200" s="10">
        <f t="shared" si="9"/>
        <v>3489262.57</v>
      </c>
      <c r="H200" s="20">
        <v>3463006.27</v>
      </c>
      <c r="I200" s="21">
        <f t="shared" si="10"/>
        <v>7.5819383370622122E-3</v>
      </c>
      <c r="J200" s="11" t="str">
        <f t="shared" si="11"/>
        <v>▲</v>
      </c>
      <c r="K200" s="9" t="s">
        <v>59</v>
      </c>
    </row>
    <row r="201" spans="1:11" x14ac:dyDescent="0.3">
      <c r="A201" s="9" t="s">
        <v>28</v>
      </c>
      <c r="B201" s="9" t="s">
        <v>29</v>
      </c>
      <c r="C201" s="9" t="s">
        <v>60</v>
      </c>
      <c r="D201" s="19">
        <v>46307</v>
      </c>
      <c r="E201" s="20">
        <v>2565805.7000000002</v>
      </c>
      <c r="F201" s="20">
        <v>973834.77</v>
      </c>
      <c r="G201" s="10">
        <f t="shared" si="9"/>
        <v>3539640.47</v>
      </c>
      <c r="H201" s="20">
        <v>3489262.57</v>
      </c>
      <c r="I201" s="21">
        <f t="shared" si="10"/>
        <v>1.443797908278378E-2</v>
      </c>
      <c r="J201" s="11" t="str">
        <f t="shared" si="11"/>
        <v>▲</v>
      </c>
      <c r="K201" s="9" t="s">
        <v>61</v>
      </c>
    </row>
    <row r="202" spans="1:11" x14ac:dyDescent="0.3">
      <c r="A202" s="9" t="s">
        <v>28</v>
      </c>
      <c r="B202" s="9" t="s">
        <v>37</v>
      </c>
      <c r="C202" s="9" t="s">
        <v>5</v>
      </c>
      <c r="D202" s="19">
        <v>46258</v>
      </c>
      <c r="E202" s="20">
        <v>100086.18</v>
      </c>
      <c r="F202" s="20">
        <v>0</v>
      </c>
      <c r="G202" s="10">
        <f t="shared" si="9"/>
        <v>100086.18</v>
      </c>
      <c r="H202" s="20">
        <v>93782.01</v>
      </c>
      <c r="I202" s="21">
        <f t="shared" si="10"/>
        <v>6.7221527881520124E-2</v>
      </c>
      <c r="J202" s="11" t="str">
        <f t="shared" si="11"/>
        <v>▲</v>
      </c>
      <c r="K202" s="9" t="s">
        <v>59</v>
      </c>
    </row>
    <row r="203" spans="1:11" x14ac:dyDescent="0.3">
      <c r="A203" s="9" t="s">
        <v>28</v>
      </c>
      <c r="B203" s="9" t="s">
        <v>37</v>
      </c>
      <c r="C203" s="9" t="s">
        <v>7</v>
      </c>
      <c r="D203" s="19">
        <v>46265</v>
      </c>
      <c r="E203" s="20">
        <v>85923.39</v>
      </c>
      <c r="F203" s="20">
        <v>0</v>
      </c>
      <c r="G203" s="10">
        <f t="shared" si="9"/>
        <v>85923.39</v>
      </c>
      <c r="H203" s="20">
        <v>100086.18</v>
      </c>
      <c r="I203" s="21">
        <f t="shared" si="10"/>
        <v>-0.1415059501721416</v>
      </c>
      <c r="J203" s="11" t="str">
        <f t="shared" si="11"/>
        <v>▼</v>
      </c>
      <c r="K203" s="9" t="s">
        <v>59</v>
      </c>
    </row>
    <row r="204" spans="1:11" x14ac:dyDescent="0.3">
      <c r="A204" s="9" t="s">
        <v>28</v>
      </c>
      <c r="B204" s="9" t="s">
        <v>37</v>
      </c>
      <c r="C204" s="9" t="s">
        <v>8</v>
      </c>
      <c r="D204" s="19">
        <v>46272</v>
      </c>
      <c r="E204" s="20">
        <v>95669.4</v>
      </c>
      <c r="F204" s="20">
        <v>0</v>
      </c>
      <c r="G204" s="10">
        <f t="shared" si="9"/>
        <v>95669.4</v>
      </c>
      <c r="H204" s="20">
        <v>85923.39</v>
      </c>
      <c r="I204" s="21">
        <f t="shared" si="10"/>
        <v>0.11342673979692834</v>
      </c>
      <c r="J204" s="11" t="str">
        <f t="shared" si="11"/>
        <v>▲</v>
      </c>
      <c r="K204" s="9" t="s">
        <v>59</v>
      </c>
    </row>
    <row r="205" spans="1:11" x14ac:dyDescent="0.3">
      <c r="A205" s="9" t="s">
        <v>28</v>
      </c>
      <c r="B205" s="9" t="s">
        <v>37</v>
      </c>
      <c r="C205" s="9" t="s">
        <v>9</v>
      </c>
      <c r="D205" s="19">
        <v>46279</v>
      </c>
      <c r="E205" s="20">
        <v>112794.28</v>
      </c>
      <c r="F205" s="20">
        <v>0</v>
      </c>
      <c r="G205" s="10">
        <f t="shared" si="9"/>
        <v>112794.28</v>
      </c>
      <c r="H205" s="20">
        <v>95669.4</v>
      </c>
      <c r="I205" s="21">
        <f t="shared" si="10"/>
        <v>0.17900059998285769</v>
      </c>
      <c r="J205" s="11" t="str">
        <f t="shared" si="11"/>
        <v>▲</v>
      </c>
      <c r="K205" s="9" t="s">
        <v>59</v>
      </c>
    </row>
    <row r="206" spans="1:11" x14ac:dyDescent="0.3">
      <c r="A206" s="9" t="s">
        <v>28</v>
      </c>
      <c r="B206" s="9" t="s">
        <v>37</v>
      </c>
      <c r="C206" s="9" t="s">
        <v>10</v>
      </c>
      <c r="D206" s="19">
        <v>46286</v>
      </c>
      <c r="E206" s="20">
        <v>67066.880000000005</v>
      </c>
      <c r="F206" s="20">
        <v>0</v>
      </c>
      <c r="G206" s="10">
        <f t="shared" si="9"/>
        <v>67066.880000000005</v>
      </c>
      <c r="H206" s="20">
        <v>112794.28</v>
      </c>
      <c r="I206" s="21">
        <f t="shared" si="10"/>
        <v>-0.40540530956002374</v>
      </c>
      <c r="J206" s="11" t="str">
        <f t="shared" si="11"/>
        <v>▼</v>
      </c>
      <c r="K206" s="9" t="s">
        <v>59</v>
      </c>
    </row>
    <row r="207" spans="1:11" x14ac:dyDescent="0.3">
      <c r="A207" s="9" t="s">
        <v>28</v>
      </c>
      <c r="B207" s="9" t="s">
        <v>37</v>
      </c>
      <c r="C207" s="9" t="s">
        <v>11</v>
      </c>
      <c r="D207" s="19">
        <v>46293</v>
      </c>
      <c r="E207" s="20">
        <v>57918.47</v>
      </c>
      <c r="F207" s="20">
        <v>0</v>
      </c>
      <c r="G207" s="10">
        <f t="shared" si="9"/>
        <v>57918.47</v>
      </c>
      <c r="H207" s="20">
        <v>67066.880000000005</v>
      </c>
      <c r="I207" s="21">
        <f t="shared" si="10"/>
        <v>-0.13640726987747159</v>
      </c>
      <c r="J207" s="11" t="str">
        <f t="shared" si="11"/>
        <v>▼</v>
      </c>
      <c r="K207" s="9" t="s">
        <v>59</v>
      </c>
    </row>
    <row r="208" spans="1:11" x14ac:dyDescent="0.3">
      <c r="A208" s="9" t="s">
        <v>28</v>
      </c>
      <c r="B208" s="9" t="s">
        <v>37</v>
      </c>
      <c r="C208" s="9" t="s">
        <v>12</v>
      </c>
      <c r="D208" s="19">
        <v>46300</v>
      </c>
      <c r="E208" s="20">
        <v>28233.74</v>
      </c>
      <c r="F208" s="20">
        <v>0</v>
      </c>
      <c r="G208" s="10">
        <f t="shared" si="9"/>
        <v>28233.74</v>
      </c>
      <c r="H208" s="20">
        <v>57918.47</v>
      </c>
      <c r="I208" s="21">
        <f t="shared" si="10"/>
        <v>-0.51252614235148131</v>
      </c>
      <c r="J208" s="11" t="str">
        <f t="shared" si="11"/>
        <v>▼</v>
      </c>
      <c r="K208" s="9" t="s">
        <v>59</v>
      </c>
    </row>
    <row r="209" spans="1:11" x14ac:dyDescent="0.3">
      <c r="A209" s="9" t="s">
        <v>28</v>
      </c>
      <c r="B209" s="9" t="s">
        <v>37</v>
      </c>
      <c r="C209" s="9" t="s">
        <v>60</v>
      </c>
      <c r="D209" s="19">
        <v>46307</v>
      </c>
      <c r="E209" s="20">
        <v>17494.080000000002</v>
      </c>
      <c r="F209" s="20">
        <v>21229.31</v>
      </c>
      <c r="G209" s="10">
        <f t="shared" si="9"/>
        <v>38723.39</v>
      </c>
      <c r="H209" s="20">
        <v>28233.74</v>
      </c>
      <c r="I209" s="21">
        <f t="shared" si="10"/>
        <v>0.37152888706915899</v>
      </c>
      <c r="J209" s="11" t="str">
        <f t="shared" si="11"/>
        <v>▲</v>
      </c>
      <c r="K209" s="9" t="s">
        <v>61</v>
      </c>
    </row>
    <row r="210" spans="1:11" x14ac:dyDescent="0.3">
      <c r="A210" s="9" t="s">
        <v>28</v>
      </c>
      <c r="B210" s="9" t="s">
        <v>39</v>
      </c>
      <c r="C210" s="9" t="s">
        <v>5</v>
      </c>
      <c r="D210" s="19">
        <v>46258</v>
      </c>
      <c r="E210" s="20">
        <v>24569.599999999999</v>
      </c>
      <c r="F210" s="20">
        <v>0</v>
      </c>
      <c r="G210" s="10">
        <f t="shared" si="9"/>
        <v>24569.599999999999</v>
      </c>
      <c r="H210" s="20">
        <v>20768</v>
      </c>
      <c r="I210" s="21">
        <f t="shared" si="10"/>
        <v>0.18305084745762704</v>
      </c>
      <c r="J210" s="11" t="str">
        <f t="shared" si="11"/>
        <v>▲</v>
      </c>
      <c r="K210" s="9" t="s">
        <v>59</v>
      </c>
    </row>
    <row r="211" spans="1:11" x14ac:dyDescent="0.3">
      <c r="A211" s="9" t="s">
        <v>28</v>
      </c>
      <c r="B211" s="9" t="s">
        <v>39</v>
      </c>
      <c r="C211" s="9" t="s">
        <v>7</v>
      </c>
      <c r="D211" s="19">
        <v>46265</v>
      </c>
      <c r="E211" s="20">
        <v>34531.199999999997</v>
      </c>
      <c r="F211" s="20">
        <v>0</v>
      </c>
      <c r="G211" s="10">
        <f t="shared" si="9"/>
        <v>34531.199999999997</v>
      </c>
      <c r="H211" s="20">
        <v>24569.599999999999</v>
      </c>
      <c r="I211" s="21">
        <f t="shared" si="10"/>
        <v>0.40544412607449853</v>
      </c>
      <c r="J211" s="11" t="str">
        <f t="shared" si="11"/>
        <v>▲</v>
      </c>
      <c r="K211" s="9" t="s">
        <v>59</v>
      </c>
    </row>
    <row r="212" spans="1:11" x14ac:dyDescent="0.3">
      <c r="A212" s="9" t="s">
        <v>28</v>
      </c>
      <c r="B212" s="9" t="s">
        <v>39</v>
      </c>
      <c r="C212" s="9" t="s">
        <v>8</v>
      </c>
      <c r="D212" s="19">
        <v>46272</v>
      </c>
      <c r="E212" s="20">
        <v>41131.199999999997</v>
      </c>
      <c r="F212" s="20">
        <v>0</v>
      </c>
      <c r="G212" s="10">
        <f t="shared" si="9"/>
        <v>41131.199999999997</v>
      </c>
      <c r="H212" s="20">
        <v>34531.199999999997</v>
      </c>
      <c r="I212" s="21">
        <f t="shared" si="10"/>
        <v>0.19113149847094804</v>
      </c>
      <c r="J212" s="11" t="str">
        <f t="shared" si="11"/>
        <v>▲</v>
      </c>
      <c r="K212" s="9" t="s">
        <v>59</v>
      </c>
    </row>
    <row r="213" spans="1:11" x14ac:dyDescent="0.3">
      <c r="A213" s="9" t="s">
        <v>28</v>
      </c>
      <c r="B213" s="9" t="s">
        <v>39</v>
      </c>
      <c r="C213" s="9" t="s">
        <v>9</v>
      </c>
      <c r="D213" s="19">
        <v>46279</v>
      </c>
      <c r="E213" s="20">
        <v>45127.28</v>
      </c>
      <c r="F213" s="20">
        <v>0</v>
      </c>
      <c r="G213" s="10">
        <f t="shared" si="9"/>
        <v>45127.28</v>
      </c>
      <c r="H213" s="20">
        <v>41131.199999999997</v>
      </c>
      <c r="I213" s="21">
        <f t="shared" si="10"/>
        <v>9.7154471544715501E-2</v>
      </c>
      <c r="J213" s="11" t="str">
        <f t="shared" si="11"/>
        <v>▲</v>
      </c>
      <c r="K213" s="9" t="s">
        <v>59</v>
      </c>
    </row>
    <row r="214" spans="1:11" x14ac:dyDescent="0.3">
      <c r="A214" s="9" t="s">
        <v>28</v>
      </c>
      <c r="B214" s="9" t="s">
        <v>39</v>
      </c>
      <c r="C214" s="9" t="s">
        <v>10</v>
      </c>
      <c r="D214" s="19">
        <v>46286</v>
      </c>
      <c r="E214" s="20">
        <v>63170.8</v>
      </c>
      <c r="F214" s="20">
        <v>0</v>
      </c>
      <c r="G214" s="10">
        <f t="shared" si="9"/>
        <v>63170.8</v>
      </c>
      <c r="H214" s="20">
        <v>45127.28</v>
      </c>
      <c r="I214" s="21">
        <f t="shared" si="10"/>
        <v>0.39983619664203124</v>
      </c>
      <c r="J214" s="11" t="str">
        <f t="shared" si="11"/>
        <v>▲</v>
      </c>
      <c r="K214" s="9" t="s">
        <v>59</v>
      </c>
    </row>
    <row r="215" spans="1:11" x14ac:dyDescent="0.3">
      <c r="A215" s="9" t="s">
        <v>28</v>
      </c>
      <c r="B215" s="9" t="s">
        <v>39</v>
      </c>
      <c r="C215" s="9" t="s">
        <v>11</v>
      </c>
      <c r="D215" s="19">
        <v>46293</v>
      </c>
      <c r="E215" s="20">
        <v>33387.199999999997</v>
      </c>
      <c r="F215" s="20">
        <v>0</v>
      </c>
      <c r="G215" s="10">
        <f t="shared" si="9"/>
        <v>33387.199999999997</v>
      </c>
      <c r="H215" s="20">
        <v>63170.8</v>
      </c>
      <c r="I215" s="21">
        <f t="shared" si="10"/>
        <v>-0.47147732813261828</v>
      </c>
      <c r="J215" s="11" t="str">
        <f t="shared" si="11"/>
        <v>▼</v>
      </c>
      <c r="K215" s="9" t="s">
        <v>59</v>
      </c>
    </row>
    <row r="216" spans="1:11" x14ac:dyDescent="0.3">
      <c r="A216" s="9" t="s">
        <v>28</v>
      </c>
      <c r="B216" s="9" t="s">
        <v>39</v>
      </c>
      <c r="C216" s="9" t="s">
        <v>12</v>
      </c>
      <c r="D216" s="19">
        <v>46300</v>
      </c>
      <c r="E216" s="20">
        <v>11739.2</v>
      </c>
      <c r="F216" s="20">
        <v>0</v>
      </c>
      <c r="G216" s="10">
        <f t="shared" si="9"/>
        <v>11739.2</v>
      </c>
      <c r="H216" s="20">
        <v>33387.199999999997</v>
      </c>
      <c r="I216" s="21">
        <f t="shared" si="10"/>
        <v>-0.64839219820769634</v>
      </c>
      <c r="J216" s="11" t="str">
        <f t="shared" si="11"/>
        <v>▼</v>
      </c>
      <c r="K216" s="9" t="s">
        <v>59</v>
      </c>
    </row>
    <row r="217" spans="1:11" x14ac:dyDescent="0.3">
      <c r="A217" s="9" t="s">
        <v>28</v>
      </c>
      <c r="B217" s="9" t="s">
        <v>39</v>
      </c>
      <c r="C217" s="9" t="s">
        <v>60</v>
      </c>
      <c r="D217" s="19">
        <v>46307</v>
      </c>
      <c r="E217" s="20">
        <v>22528</v>
      </c>
      <c r="F217" s="20">
        <v>16074.52</v>
      </c>
      <c r="G217" s="10">
        <f t="shared" si="9"/>
        <v>38602.520000000004</v>
      </c>
      <c r="H217" s="20">
        <v>11739.2</v>
      </c>
      <c r="I217" s="21">
        <f t="shared" si="10"/>
        <v>2.2883433283358321</v>
      </c>
      <c r="J217" s="11" t="str">
        <f t="shared" si="11"/>
        <v>▲</v>
      </c>
      <c r="K217" s="9" t="s">
        <v>61</v>
      </c>
    </row>
  </sheetData>
  <autoFilter ref="A1:K217" xr:uid="{00000000-0009-0000-0000-000003000000}"/>
  <conditionalFormatting sqref="J2:J217">
    <cfRule type="expression" dxfId="1" priority="1">
      <formula>J2="▲"</formula>
    </cfRule>
    <cfRule type="expression" dxfId="0" priority="2">
      <formula>J2="▼"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1"/>
  <sheetViews>
    <sheetView showGridLines="0" workbookViewId="0"/>
  </sheetViews>
  <sheetFormatPr baseColWidth="10" defaultColWidth="8.88671875" defaultRowHeight="14.4" x14ac:dyDescent="0.3"/>
  <cols>
    <col min="1" max="1" width="150" customWidth="1"/>
  </cols>
  <sheetData>
    <row r="1" spans="1:1" ht="17.399999999999999" x14ac:dyDescent="0.3">
      <c r="A1" s="1" t="s">
        <v>62</v>
      </c>
    </row>
    <row r="2" spans="1:1" x14ac:dyDescent="0.3">
      <c r="A2" s="2" t="s">
        <v>63</v>
      </c>
    </row>
    <row r="3" spans="1:1" x14ac:dyDescent="0.3">
      <c r="A3" s="9"/>
    </row>
    <row r="4" spans="1:1" x14ac:dyDescent="0.3">
      <c r="A4" s="22" t="s">
        <v>64</v>
      </c>
    </row>
    <row r="5" spans="1:1" x14ac:dyDescent="0.3">
      <c r="A5" s="9" t="s">
        <v>65</v>
      </c>
    </row>
    <row r="6" spans="1:1" x14ac:dyDescent="0.3">
      <c r="A6" s="9" t="s">
        <v>66</v>
      </c>
    </row>
    <row r="7" spans="1:1" x14ac:dyDescent="0.3">
      <c r="A7" s="9" t="s">
        <v>67</v>
      </c>
    </row>
    <row r="8" spans="1:1" x14ac:dyDescent="0.3">
      <c r="A8" s="9" t="s">
        <v>68</v>
      </c>
    </row>
    <row r="9" spans="1:1" x14ac:dyDescent="0.3">
      <c r="A9" s="9" t="s">
        <v>69</v>
      </c>
    </row>
    <row r="10" spans="1:1" x14ac:dyDescent="0.3">
      <c r="A10" s="9" t="s">
        <v>70</v>
      </c>
    </row>
    <row r="11" spans="1:1" x14ac:dyDescent="0.3">
      <c r="A11" s="9"/>
    </row>
    <row r="12" spans="1:1" x14ac:dyDescent="0.3">
      <c r="A12" s="22" t="s">
        <v>71</v>
      </c>
    </row>
    <row r="13" spans="1:1" x14ac:dyDescent="0.3">
      <c r="A13" s="9" t="s">
        <v>72</v>
      </c>
    </row>
    <row r="14" spans="1:1" x14ac:dyDescent="0.3">
      <c r="A14" s="9" t="s">
        <v>73</v>
      </c>
    </row>
    <row r="15" spans="1:1" x14ac:dyDescent="0.3">
      <c r="A15" s="9" t="s">
        <v>74</v>
      </c>
    </row>
    <row r="16" spans="1:1" x14ac:dyDescent="0.3">
      <c r="A16" s="9" t="s">
        <v>75</v>
      </c>
    </row>
    <row r="17" spans="1:1" x14ac:dyDescent="0.3">
      <c r="A17" s="9"/>
    </row>
    <row r="18" spans="1:1" x14ac:dyDescent="0.3">
      <c r="A18" s="22" t="s">
        <v>76</v>
      </c>
    </row>
    <row r="19" spans="1:1" x14ac:dyDescent="0.3">
      <c r="A19" s="9" t="s">
        <v>77</v>
      </c>
    </row>
    <row r="20" spans="1:1" x14ac:dyDescent="0.3">
      <c r="A20" s="9" t="s">
        <v>78</v>
      </c>
    </row>
    <row r="21" spans="1:1" x14ac:dyDescent="0.3">
      <c r="A21" s="9" t="s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Centro</vt:lpstr>
      <vt:lpstr>Supervisor</vt:lpstr>
      <vt:lpstr>Suplidor</vt:lpstr>
      <vt:lpstr>Detalle</vt:lpstr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Rudy Mercedes</cp:lastModifiedBy>
  <dcterms:created xsi:type="dcterms:W3CDTF">2026-10-15T19:26:57Z</dcterms:created>
  <dcterms:modified xsi:type="dcterms:W3CDTF">2026-10-15T19:27:05Z</dcterms:modified>
</cp:coreProperties>
</file>